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pivotTables/pivotTable1.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slicers/slicer2.xml" ContentType="application/vnd.ms-excel.slicer+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1.xml" ContentType="application/vnd.openxmlformats-officedocument.themeOverrid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ThisWorkbook" hidePivotFieldList="1"/>
  <mc:AlternateContent xmlns:mc="http://schemas.openxmlformats.org/markup-compatibility/2006">
    <mc:Choice Requires="x15">
      <x15ac:absPath xmlns:x15ac="http://schemas.microsoft.com/office/spreadsheetml/2010/11/ac" url="C:\Users\ASUS\Desktop\Dashboards\data\"/>
    </mc:Choice>
  </mc:AlternateContent>
  <xr:revisionPtr revIDLastSave="0" documentId="13_ncr:1_{BB58BF9C-9D44-4CB1-9691-34BF7072D85D}" xr6:coauthVersionLast="47" xr6:coauthVersionMax="47" xr10:uidLastSave="{00000000-0000-0000-0000-000000000000}"/>
  <bookViews>
    <workbookView xWindow="-120" yWindow="-120" windowWidth="20730" windowHeight="11160" tabRatio="879" xr2:uid="{00000000-000D-0000-FFFF-FFFF00000000}"/>
  </bookViews>
  <sheets>
    <sheet name="Indices" sheetId="1" r:id="rId1"/>
    <sheet name="Rend journaliers" sheetId="2" r:id="rId2"/>
    <sheet name="Rend hebdo" sheetId="4" r:id="rId3"/>
    <sheet name="Rend mensuels" sheetId="5" r:id="rId4"/>
    <sheet name="Drawdown 2022" sheetId="6" r:id="rId5"/>
    <sheet name="Corrélation roulante" sheetId="8" r:id="rId6"/>
    <sheet name="Indicateurs" sheetId="7" r:id="rId7"/>
    <sheet name="Dashboard" sheetId="9" r:id="rId8"/>
  </sheets>
  <definedNames>
    <definedName name="ExternalData_1" localSheetId="0" hidden="1">Indices!$A$7:$L$418</definedName>
    <definedName name="Slicer_année">#N/A</definedName>
  </definedNames>
  <calcPr calcId="191029"/>
  <pivotCaches>
    <pivotCache cacheId="0"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123" i="8" l="1"/>
  <c r="G122" i="8"/>
  <c r="G121" i="8"/>
  <c r="G120" i="8"/>
  <c r="G119" i="8"/>
  <c r="G118" i="8"/>
  <c r="G117" i="8"/>
  <c r="G116" i="8"/>
  <c r="G115" i="8"/>
  <c r="G114" i="8"/>
  <c r="G113" i="8"/>
  <c r="G112" i="8"/>
  <c r="G111" i="8"/>
  <c r="G110" i="8"/>
  <c r="G109" i="8"/>
  <c r="G108" i="8"/>
  <c r="G107" i="8"/>
  <c r="G106" i="8"/>
  <c r="G105" i="8"/>
  <c r="G104" i="8"/>
  <c r="G103" i="8"/>
  <c r="G102" i="8"/>
  <c r="G101" i="8"/>
  <c r="G100" i="8"/>
  <c r="G99" i="8"/>
  <c r="G98" i="8"/>
  <c r="G97" i="8"/>
  <c r="G96" i="8"/>
  <c r="G95" i="8"/>
  <c r="G94" i="8"/>
  <c r="G93" i="8"/>
  <c r="G92" i="8"/>
  <c r="G91" i="8"/>
  <c r="G90" i="8"/>
  <c r="G89" i="8"/>
  <c r="G88" i="8"/>
  <c r="G87" i="8"/>
  <c r="G86" i="8"/>
  <c r="G85" i="8"/>
  <c r="G84" i="8"/>
  <c r="G83" i="8"/>
  <c r="G82" i="8"/>
  <c r="G81" i="8"/>
  <c r="G80" i="8"/>
  <c r="G79" i="8"/>
  <c r="G78" i="8"/>
  <c r="G77" i="8"/>
  <c r="G76" i="8"/>
  <c r="G75" i="8"/>
  <c r="G74" i="8"/>
  <c r="G73" i="8"/>
  <c r="G72" i="8"/>
  <c r="G71" i="8"/>
  <c r="G70" i="8"/>
  <c r="G69" i="8"/>
  <c r="G68" i="8"/>
  <c r="G67" i="8"/>
  <c r="G66" i="8"/>
  <c r="G65" i="8"/>
  <c r="G64" i="8"/>
  <c r="G63" i="8"/>
  <c r="G62" i="8"/>
  <c r="G61" i="8"/>
  <c r="G60" i="8"/>
  <c r="G59" i="8"/>
  <c r="G58" i="8"/>
  <c r="G57" i="8"/>
  <c r="G56" i="8"/>
  <c r="G55" i="8"/>
  <c r="G54" i="8"/>
  <c r="G53" i="8"/>
  <c r="G52" i="8"/>
  <c r="G51" i="8"/>
  <c r="G50" i="8"/>
  <c r="G49" i="8"/>
  <c r="G48" i="8"/>
  <c r="G47" i="8"/>
  <c r="G46" i="8"/>
  <c r="G45" i="8"/>
  <c r="G44" i="8"/>
  <c r="G43" i="8"/>
  <c r="G42" i="8"/>
  <c r="G41" i="8"/>
  <c r="G40" i="8"/>
  <c r="G39" i="8"/>
  <c r="G38" i="8"/>
  <c r="G37" i="8"/>
  <c r="G36" i="8"/>
  <c r="G35" i="8"/>
  <c r="G34" i="8"/>
  <c r="G33" i="8"/>
  <c r="G32" i="8"/>
  <c r="G31" i="8"/>
  <c r="G30" i="8"/>
  <c r="G29" i="8"/>
  <c r="G28" i="8"/>
  <c r="G27" i="8"/>
  <c r="G26" i="8"/>
  <c r="G25" i="8"/>
  <c r="G24" i="8"/>
  <c r="G23" i="8"/>
  <c r="G22" i="8"/>
  <c r="G21" i="8"/>
  <c r="G20" i="8"/>
  <c r="G19" i="8"/>
  <c r="G18" i="8"/>
  <c r="G17" i="8"/>
  <c r="G16" i="8"/>
  <c r="G15" i="8"/>
  <c r="G14" i="8"/>
  <c r="G13" i="8"/>
  <c r="G12" i="8"/>
  <c r="G11" i="8"/>
  <c r="G10" i="8"/>
  <c r="G9" i="8"/>
  <c r="G8" i="8"/>
  <c r="G7" i="8"/>
  <c r="G6" i="8"/>
  <c r="G5" i="8"/>
  <c r="D123" i="8"/>
  <c r="D122" i="8"/>
  <c r="D121" i="8"/>
  <c r="D120" i="8"/>
  <c r="D119" i="8"/>
  <c r="D118" i="8"/>
  <c r="D117" i="8"/>
  <c r="D116" i="8"/>
  <c r="D115" i="8"/>
  <c r="D114" i="8"/>
  <c r="D113" i="8"/>
  <c r="D112" i="8"/>
  <c r="D111" i="8"/>
  <c r="D110" i="8"/>
  <c r="D109" i="8"/>
  <c r="D108" i="8"/>
  <c r="D107" i="8"/>
  <c r="D106" i="8"/>
  <c r="D105" i="8"/>
  <c r="D104" i="8"/>
  <c r="D103" i="8"/>
  <c r="D102" i="8"/>
  <c r="D101" i="8"/>
  <c r="D100" i="8"/>
  <c r="D99" i="8"/>
  <c r="D98" i="8"/>
  <c r="D97" i="8"/>
  <c r="D96" i="8"/>
  <c r="D95" i="8"/>
  <c r="D94" i="8"/>
  <c r="D93" i="8"/>
  <c r="D92" i="8"/>
  <c r="D91" i="8"/>
  <c r="D90" i="8"/>
  <c r="D89" i="8"/>
  <c r="D88" i="8"/>
  <c r="D87" i="8"/>
  <c r="D86" i="8"/>
  <c r="D85" i="8"/>
  <c r="D84" i="8"/>
  <c r="D83" i="8"/>
  <c r="D82" i="8"/>
  <c r="D81" i="8"/>
  <c r="D80" i="8"/>
  <c r="D79" i="8"/>
  <c r="D78" i="8"/>
  <c r="D77" i="8"/>
  <c r="D76" i="8"/>
  <c r="D75" i="8"/>
  <c r="D74" i="8"/>
  <c r="D73" i="8"/>
  <c r="D72" i="8"/>
  <c r="D71" i="8"/>
  <c r="D70" i="8"/>
  <c r="D69" i="8"/>
  <c r="D68" i="8"/>
  <c r="D67" i="8"/>
  <c r="D66" i="8"/>
  <c r="D65" i="8"/>
  <c r="D64" i="8"/>
  <c r="D63" i="8"/>
  <c r="D62" i="8"/>
  <c r="D61" i="8"/>
  <c r="D60" i="8"/>
  <c r="D59" i="8"/>
  <c r="D58" i="8"/>
  <c r="D57" i="8"/>
  <c r="D56" i="8"/>
  <c r="D55" i="8"/>
  <c r="D53" i="8"/>
  <c r="D52" i="8"/>
  <c r="D51" i="8"/>
  <c r="D50" i="8"/>
  <c r="D49" i="8"/>
  <c r="D48" i="8"/>
  <c r="D47" i="8"/>
  <c r="D46" i="8"/>
  <c r="D45" i="8"/>
  <c r="D44" i="8"/>
  <c r="D43" i="8"/>
  <c r="D42" i="8"/>
  <c r="D41" i="8"/>
  <c r="D40" i="8"/>
  <c r="D39" i="8"/>
  <c r="D38" i="8"/>
  <c r="D37" i="8"/>
  <c r="D36" i="8"/>
  <c r="D35" i="8"/>
  <c r="D34" i="8"/>
  <c r="D33" i="8"/>
  <c r="D32" i="8"/>
  <c r="D31" i="8"/>
  <c r="D30" i="8"/>
  <c r="D29" i="8"/>
  <c r="D28" i="8"/>
  <c r="D27" i="8"/>
  <c r="D26" i="8"/>
  <c r="D25" i="8"/>
  <c r="D24" i="8"/>
  <c r="D23" i="8"/>
  <c r="D22" i="8"/>
  <c r="D21" i="8"/>
  <c r="D20" i="8"/>
  <c r="D19" i="8"/>
  <c r="D18" i="8"/>
  <c r="D17" i="8"/>
  <c r="D16" i="8"/>
  <c r="D15" i="8"/>
  <c r="D14" i="8"/>
  <c r="D13" i="8"/>
  <c r="D12" i="8"/>
  <c r="D11" i="8"/>
  <c r="D10" i="8"/>
  <c r="D9" i="8"/>
  <c r="D8" i="8"/>
  <c r="D7" i="8"/>
  <c r="D6" i="8"/>
  <c r="D5" i="8"/>
  <c r="C123" i="8"/>
  <c r="C122" i="8"/>
  <c r="C121" i="8"/>
  <c r="C120" i="8"/>
  <c r="C119" i="8"/>
  <c r="C118" i="8"/>
  <c r="C117" i="8"/>
  <c r="C116" i="8"/>
  <c r="C115" i="8"/>
  <c r="C114" i="8"/>
  <c r="C113" i="8"/>
  <c r="C112" i="8"/>
  <c r="C111" i="8"/>
  <c r="C110" i="8"/>
  <c r="C109" i="8"/>
  <c r="C108" i="8"/>
  <c r="C107" i="8"/>
  <c r="C106" i="8"/>
  <c r="C105" i="8"/>
  <c r="C104" i="8"/>
  <c r="C103" i="8"/>
  <c r="C102" i="8"/>
  <c r="C101" i="8"/>
  <c r="C100" i="8"/>
  <c r="C99" i="8"/>
  <c r="C98" i="8"/>
  <c r="C97" i="8"/>
  <c r="C96" i="8"/>
  <c r="C95" i="8"/>
  <c r="C94" i="8"/>
  <c r="C93" i="8"/>
  <c r="C92" i="8"/>
  <c r="C91" i="8"/>
  <c r="C90" i="8"/>
  <c r="C89" i="8"/>
  <c r="C88" i="8"/>
  <c r="C87" i="8"/>
  <c r="C86" i="8"/>
  <c r="C85" i="8"/>
  <c r="C84" i="8"/>
  <c r="C83" i="8"/>
  <c r="C82" i="8"/>
  <c r="C81" i="8"/>
  <c r="C80" i="8"/>
  <c r="C79" i="8"/>
  <c r="C78" i="8"/>
  <c r="C77" i="8"/>
  <c r="C76" i="8"/>
  <c r="C75" i="8"/>
  <c r="C74" i="8"/>
  <c r="C73" i="8"/>
  <c r="C72" i="8"/>
  <c r="C71" i="8"/>
  <c r="C70" i="8"/>
  <c r="C69" i="8"/>
  <c r="C68" i="8"/>
  <c r="C67" i="8"/>
  <c r="C66" i="8"/>
  <c r="C65" i="8"/>
  <c r="C64" i="8"/>
  <c r="C63" i="8"/>
  <c r="C62" i="8"/>
  <c r="C61" i="8"/>
  <c r="C60" i="8"/>
  <c r="C59" i="8"/>
  <c r="C58" i="8"/>
  <c r="C57" i="8"/>
  <c r="C56" i="8"/>
  <c r="C55" i="8"/>
  <c r="C54" i="8"/>
  <c r="C53" i="8"/>
  <c r="C52" i="8"/>
  <c r="C51" i="8"/>
  <c r="C50" i="8"/>
  <c r="C49" i="8"/>
  <c r="C48" i="8"/>
  <c r="C47" i="8"/>
  <c r="C46" i="8"/>
  <c r="C45" i="8"/>
  <c r="C44" i="8"/>
  <c r="C43" i="8"/>
  <c r="C42" i="8"/>
  <c r="C41" i="8"/>
  <c r="C40" i="8"/>
  <c r="C39" i="8"/>
  <c r="C38" i="8"/>
  <c r="C37" i="8"/>
  <c r="C36" i="8"/>
  <c r="C35" i="8"/>
  <c r="C34" i="8"/>
  <c r="C33" i="8"/>
  <c r="C32" i="8"/>
  <c r="C31" i="8"/>
  <c r="C30" i="8"/>
  <c r="C29" i="8"/>
  <c r="C28" i="8"/>
  <c r="C27" i="8"/>
  <c r="C26" i="8"/>
  <c r="C25" i="8"/>
  <c r="C24" i="8"/>
  <c r="C23" i="8"/>
  <c r="C22" i="8"/>
  <c r="C21" i="8"/>
  <c r="C20" i="8"/>
  <c r="C19" i="8"/>
  <c r="C18" i="8"/>
  <c r="C17" i="8"/>
  <c r="C16" i="8"/>
  <c r="C15" i="8"/>
  <c r="C14" i="8"/>
  <c r="C13" i="8"/>
  <c r="C12" i="8"/>
  <c r="C11" i="8"/>
  <c r="C10" i="8"/>
  <c r="C9" i="8"/>
  <c r="C8" i="8"/>
  <c r="C7" i="8"/>
  <c r="C6" i="8"/>
  <c r="C5"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6" i="8"/>
  <c r="B5" i="8"/>
  <c r="P144" i="6"/>
  <c r="Q144" i="6"/>
  <c r="R144" i="6"/>
  <c r="S144" i="6"/>
  <c r="T144" i="6"/>
  <c r="U144" i="6"/>
  <c r="V144" i="6"/>
  <c r="W144" i="6"/>
  <c r="X144" i="6"/>
  <c r="Y144" i="6"/>
  <c r="Z144" i="6"/>
  <c r="AA144" i="6"/>
  <c r="B144" i="6"/>
  <c r="C144" i="6"/>
  <c r="D144" i="6"/>
  <c r="E144" i="6"/>
  <c r="F144" i="6"/>
  <c r="G144" i="6"/>
  <c r="H144" i="6"/>
  <c r="I144" i="6"/>
  <c r="J144" i="6"/>
  <c r="K144" i="6"/>
  <c r="L144" i="6"/>
  <c r="B404" i="2"/>
  <c r="C404" i="2"/>
  <c r="D404" i="2"/>
  <c r="D85" i="4" s="1" a="1"/>
  <c r="D85" i="4" s="1"/>
  <c r="E404" i="2"/>
  <c r="E86" i="4" s="1" a="1"/>
  <c r="E86" i="4" s="1"/>
  <c r="F404" i="2"/>
  <c r="G404" i="2"/>
  <c r="H404" i="2"/>
  <c r="H85" i="4" s="1" a="1"/>
  <c r="H85" i="4" s="1"/>
  <c r="I404" i="2"/>
  <c r="I85" i="4" s="1" a="1"/>
  <c r="I85" i="4" s="1"/>
  <c r="J404" i="2"/>
  <c r="K404" i="2"/>
  <c r="L404" i="2"/>
  <c r="L85" i="4" s="1" a="1"/>
  <c r="L85" i="4" s="1"/>
  <c r="B86" i="4" a="1"/>
  <c r="B86" i="4" s="1"/>
  <c r="C86" i="4" a="1"/>
  <c r="C86" i="4"/>
  <c r="D86" i="4" a="1"/>
  <c r="D86" i="4" s="1"/>
  <c r="F86" i="4" a="1"/>
  <c r="F86" i="4" s="1"/>
  <c r="G86" i="4" a="1"/>
  <c r="G86" i="4" s="1"/>
  <c r="J86" i="4" a="1"/>
  <c r="J86" i="4" s="1"/>
  <c r="K86" i="4" a="1"/>
  <c r="K86" i="4"/>
  <c r="L86" i="4" a="1"/>
  <c r="L86" i="4" s="1"/>
  <c r="M86" i="4"/>
  <c r="N86" i="4"/>
  <c r="B85" i="4" a="1"/>
  <c r="B85" i="4" s="1"/>
  <c r="C85" i="4" a="1"/>
  <c r="C85" i="4" s="1"/>
  <c r="F85" i="4" a="1"/>
  <c r="F85" i="4" s="1"/>
  <c r="G85" i="4" a="1"/>
  <c r="G85" i="4" s="1"/>
  <c r="J85" i="4" a="1"/>
  <c r="J85" i="4" s="1"/>
  <c r="K85" i="4" a="1"/>
  <c r="K85" i="4" s="1"/>
  <c r="M85" i="4"/>
  <c r="N85" i="4"/>
  <c r="P146" i="6"/>
  <c r="P147" i="6"/>
  <c r="P148" i="6"/>
  <c r="P150" i="6"/>
  <c r="P151" i="6"/>
  <c r="P152" i="6"/>
  <c r="P154" i="6"/>
  <c r="Q145" i="6"/>
  <c r="Q146" i="6"/>
  <c r="Q149" i="6"/>
  <c r="Q150" i="6"/>
  <c r="Q153" i="6"/>
  <c r="Q154" i="6"/>
  <c r="S145" i="6"/>
  <c r="S149" i="6"/>
  <c r="S153" i="6"/>
  <c r="T146" i="6"/>
  <c r="T147" i="6"/>
  <c r="T148" i="6"/>
  <c r="T150" i="6"/>
  <c r="T151" i="6"/>
  <c r="T152" i="6"/>
  <c r="T154" i="6"/>
  <c r="U145" i="6"/>
  <c r="U146" i="6"/>
  <c r="U149" i="6"/>
  <c r="U150" i="6"/>
  <c r="U153" i="6"/>
  <c r="U154" i="6"/>
  <c r="W145" i="6"/>
  <c r="W149" i="6"/>
  <c r="W153" i="6"/>
  <c r="X146" i="6"/>
  <c r="X147" i="6"/>
  <c r="X148" i="6"/>
  <c r="X150" i="6"/>
  <c r="X151" i="6"/>
  <c r="X152" i="6"/>
  <c r="X154" i="6"/>
  <c r="Y145" i="6"/>
  <c r="Y146" i="6"/>
  <c r="Y149" i="6"/>
  <c r="Y150" i="6"/>
  <c r="Y153" i="6"/>
  <c r="Y154" i="6"/>
  <c r="AA145" i="6"/>
  <c r="AA146" i="6"/>
  <c r="AA147" i="6"/>
  <c r="AA148" i="6"/>
  <c r="AA149" i="6"/>
  <c r="AA150" i="6"/>
  <c r="AA151" i="6"/>
  <c r="AA152" i="6"/>
  <c r="AA153" i="6"/>
  <c r="AA154" i="6"/>
  <c r="B145" i="6"/>
  <c r="B146" i="6" s="1"/>
  <c r="B147" i="6" s="1"/>
  <c r="B148" i="6" s="1"/>
  <c r="B149" i="6" s="1"/>
  <c r="B150" i="6" s="1"/>
  <c r="B151" i="6" s="1"/>
  <c r="B152" i="6" s="1"/>
  <c r="B153" i="6" s="1"/>
  <c r="B154" i="6" s="1"/>
  <c r="C145" i="6"/>
  <c r="C146" i="6" s="1"/>
  <c r="C147" i="6" s="1"/>
  <c r="C148" i="6" s="1"/>
  <c r="C149" i="6" s="1"/>
  <c r="C150" i="6" s="1"/>
  <c r="C151" i="6" s="1"/>
  <c r="C152" i="6" s="1"/>
  <c r="C153" i="6" s="1"/>
  <c r="C154" i="6" s="1"/>
  <c r="D145" i="6"/>
  <c r="D146" i="6" s="1"/>
  <c r="D147" i="6" s="1"/>
  <c r="D148" i="6" s="1"/>
  <c r="D149" i="6" s="1"/>
  <c r="D150" i="6" s="1"/>
  <c r="D151" i="6" s="1"/>
  <c r="D152" i="6" s="1"/>
  <c r="D153" i="6" s="1"/>
  <c r="D154" i="6" s="1"/>
  <c r="R154" i="6" s="1"/>
  <c r="E145" i="6"/>
  <c r="E146" i="6" s="1"/>
  <c r="E147" i="6" s="1"/>
  <c r="E148" i="6" s="1"/>
  <c r="E149" i="6" s="1"/>
  <c r="E150" i="6" s="1"/>
  <c r="E151" i="6" s="1"/>
  <c r="E152" i="6" s="1"/>
  <c r="E153" i="6" s="1"/>
  <c r="E154" i="6" s="1"/>
  <c r="S154" i="6" s="1"/>
  <c r="F145" i="6"/>
  <c r="F146" i="6" s="1"/>
  <c r="F147" i="6" s="1"/>
  <c r="F148" i="6" s="1"/>
  <c r="F149" i="6" s="1"/>
  <c r="F150" i="6" s="1"/>
  <c r="F151" i="6" s="1"/>
  <c r="F152" i="6" s="1"/>
  <c r="F153" i="6" s="1"/>
  <c r="F154" i="6" s="1"/>
  <c r="G145" i="6"/>
  <c r="G146" i="6" s="1"/>
  <c r="G147" i="6" s="1"/>
  <c r="G148" i="6" s="1"/>
  <c r="G149" i="6" s="1"/>
  <c r="G150" i="6" s="1"/>
  <c r="G151" i="6" s="1"/>
  <c r="G152" i="6" s="1"/>
  <c r="G153" i="6" s="1"/>
  <c r="G154" i="6" s="1"/>
  <c r="H145" i="6"/>
  <c r="H146" i="6" s="1"/>
  <c r="H147" i="6" s="1"/>
  <c r="H148" i="6" s="1"/>
  <c r="H149" i="6" s="1"/>
  <c r="H150" i="6" s="1"/>
  <c r="H151" i="6" s="1"/>
  <c r="H152" i="6" s="1"/>
  <c r="H153" i="6" s="1"/>
  <c r="H154" i="6" s="1"/>
  <c r="V154" i="6" s="1"/>
  <c r="I145" i="6"/>
  <c r="I146" i="6" s="1"/>
  <c r="I147" i="6" s="1"/>
  <c r="I148" i="6" s="1"/>
  <c r="I149" i="6" s="1"/>
  <c r="I150" i="6" s="1"/>
  <c r="I151" i="6" s="1"/>
  <c r="I152" i="6" s="1"/>
  <c r="I153" i="6" s="1"/>
  <c r="I154" i="6" s="1"/>
  <c r="W154" i="6" s="1"/>
  <c r="J145" i="6"/>
  <c r="J146" i="6" s="1"/>
  <c r="J147" i="6" s="1"/>
  <c r="J148" i="6" s="1"/>
  <c r="J149" i="6" s="1"/>
  <c r="J150" i="6" s="1"/>
  <c r="J151" i="6" s="1"/>
  <c r="J152" i="6" s="1"/>
  <c r="J153" i="6" s="1"/>
  <c r="J154" i="6" s="1"/>
  <c r="K145" i="6"/>
  <c r="K146" i="6" s="1"/>
  <c r="K147" i="6" s="1"/>
  <c r="K148" i="6" s="1"/>
  <c r="K149" i="6" s="1"/>
  <c r="K150" i="6" s="1"/>
  <c r="K151" i="6" s="1"/>
  <c r="K152" i="6" s="1"/>
  <c r="K153" i="6" s="1"/>
  <c r="K154" i="6" s="1"/>
  <c r="L145" i="6"/>
  <c r="L146" i="6" s="1"/>
  <c r="L147" i="6" s="1"/>
  <c r="L148" i="6" s="1"/>
  <c r="L149" i="6" s="1"/>
  <c r="L150" i="6" s="1"/>
  <c r="L151" i="6" s="1"/>
  <c r="L152" i="6" s="1"/>
  <c r="L153" i="6" s="1"/>
  <c r="L154" i="6" s="1"/>
  <c r="Z154" i="6" s="1"/>
  <c r="B405" i="2"/>
  <c r="B406" i="2"/>
  <c r="B407" i="2"/>
  <c r="B408" i="2"/>
  <c r="B409" i="2"/>
  <c r="B410" i="2"/>
  <c r="B411" i="2"/>
  <c r="B412" i="2"/>
  <c r="B413" i="2"/>
  <c r="B414" i="2"/>
  <c r="C405" i="2"/>
  <c r="C406" i="2"/>
  <c r="C407" i="2"/>
  <c r="C408" i="2"/>
  <c r="C409" i="2"/>
  <c r="C410" i="2"/>
  <c r="C411" i="2"/>
  <c r="C412" i="2"/>
  <c r="C413" i="2"/>
  <c r="C414" i="2"/>
  <c r="D405" i="2"/>
  <c r="D406" i="2"/>
  <c r="D407" i="2"/>
  <c r="D408" i="2"/>
  <c r="D409" i="2"/>
  <c r="D410" i="2"/>
  <c r="D411" i="2"/>
  <c r="D412" i="2"/>
  <c r="D413" i="2"/>
  <c r="D414" i="2"/>
  <c r="E405" i="2"/>
  <c r="E406" i="2"/>
  <c r="E407" i="2"/>
  <c r="E408" i="2"/>
  <c r="E409" i="2"/>
  <c r="E410" i="2"/>
  <c r="E411" i="2"/>
  <c r="E412" i="2"/>
  <c r="E413" i="2"/>
  <c r="E414" i="2"/>
  <c r="F405" i="2"/>
  <c r="F406" i="2"/>
  <c r="F407" i="2"/>
  <c r="F408" i="2"/>
  <c r="F409" i="2"/>
  <c r="F410" i="2"/>
  <c r="F411" i="2"/>
  <c r="F412" i="2"/>
  <c r="F413" i="2"/>
  <c r="F414" i="2"/>
  <c r="G405" i="2"/>
  <c r="G406" i="2"/>
  <c r="G407" i="2"/>
  <c r="G408" i="2"/>
  <c r="G409" i="2"/>
  <c r="G410" i="2"/>
  <c r="G411" i="2"/>
  <c r="G412" i="2"/>
  <c r="G413" i="2"/>
  <c r="G414" i="2"/>
  <c r="H405" i="2"/>
  <c r="H406" i="2"/>
  <c r="H407" i="2"/>
  <c r="H408" i="2"/>
  <c r="H409" i="2"/>
  <c r="H410" i="2"/>
  <c r="H411" i="2"/>
  <c r="H412" i="2"/>
  <c r="H413" i="2"/>
  <c r="H414" i="2"/>
  <c r="I405" i="2"/>
  <c r="I406" i="2"/>
  <c r="I407" i="2"/>
  <c r="I408" i="2"/>
  <c r="I409" i="2"/>
  <c r="I410" i="2"/>
  <c r="I411" i="2"/>
  <c r="I412" i="2"/>
  <c r="I413" i="2"/>
  <c r="I414" i="2"/>
  <c r="J405" i="2"/>
  <c r="J406" i="2"/>
  <c r="J407" i="2"/>
  <c r="J408" i="2"/>
  <c r="J409" i="2"/>
  <c r="J410" i="2"/>
  <c r="J411" i="2"/>
  <c r="J412" i="2"/>
  <c r="J413" i="2"/>
  <c r="J414" i="2"/>
  <c r="K405" i="2"/>
  <c r="K406" i="2"/>
  <c r="K407" i="2"/>
  <c r="K408" i="2"/>
  <c r="K409" i="2"/>
  <c r="K410" i="2"/>
  <c r="K411" i="2"/>
  <c r="K412" i="2"/>
  <c r="K413" i="2"/>
  <c r="K414" i="2"/>
  <c r="L405" i="2"/>
  <c r="L406" i="2"/>
  <c r="L407" i="2"/>
  <c r="L408" i="2"/>
  <c r="L409" i="2"/>
  <c r="L410" i="2"/>
  <c r="L411" i="2"/>
  <c r="L412" i="2"/>
  <c r="L413" i="2"/>
  <c r="L414" i="2"/>
  <c r="M405" i="2"/>
  <c r="M406" i="2"/>
  <c r="M407" i="2"/>
  <c r="M408" i="2"/>
  <c r="M409" i="2"/>
  <c r="M410" i="2"/>
  <c r="M411" i="2"/>
  <c r="M412" i="2"/>
  <c r="M413" i="2"/>
  <c r="M414" i="2"/>
  <c r="N405" i="2"/>
  <c r="N406" i="2"/>
  <c r="N407" i="2"/>
  <c r="N408" i="2"/>
  <c r="N409" i="2"/>
  <c r="N410" i="2"/>
  <c r="N411" i="2"/>
  <c r="N412" i="2"/>
  <c r="N413" i="2"/>
  <c r="N414" i="2"/>
  <c r="O405" i="2"/>
  <c r="O406" i="2"/>
  <c r="R406" i="2" s="1"/>
  <c r="O407" i="2"/>
  <c r="O408" i="2"/>
  <c r="O409" i="2"/>
  <c r="O410" i="2"/>
  <c r="R410" i="2" s="1"/>
  <c r="O411" i="2"/>
  <c r="O412" i="2"/>
  <c r="O413" i="2"/>
  <c r="O414" i="2"/>
  <c r="R414" i="2" s="1"/>
  <c r="P405" i="2"/>
  <c r="P406" i="2"/>
  <c r="P407" i="2"/>
  <c r="P408" i="2"/>
  <c r="Q408" i="2" s="1"/>
  <c r="P409" i="2"/>
  <c r="P410" i="2"/>
  <c r="P411" i="2"/>
  <c r="P412" i="2"/>
  <c r="Q412" i="2" s="1"/>
  <c r="P413" i="2"/>
  <c r="P414" i="2"/>
  <c r="Q405" i="2"/>
  <c r="Q406" i="2"/>
  <c r="Q407" i="2"/>
  <c r="Q409" i="2"/>
  <c r="Q410" i="2"/>
  <c r="Q411" i="2"/>
  <c r="Q413" i="2"/>
  <c r="Q414" i="2"/>
  <c r="R405" i="2"/>
  <c r="R407" i="2"/>
  <c r="R408" i="2"/>
  <c r="R409" i="2"/>
  <c r="R411" i="2"/>
  <c r="R412" i="2"/>
  <c r="R413" i="2"/>
  <c r="D54" i="8" l="1"/>
  <c r="Z147" i="6"/>
  <c r="R151" i="6"/>
  <c r="Z150" i="6"/>
  <c r="Y152" i="6"/>
  <c r="Y148" i="6"/>
  <c r="W148" i="6"/>
  <c r="V150" i="6"/>
  <c r="Q148" i="6"/>
  <c r="Z151" i="6"/>
  <c r="V151" i="6"/>
  <c r="V147" i="6"/>
  <c r="R147" i="6"/>
  <c r="Z146" i="6"/>
  <c r="W152" i="6"/>
  <c r="V146" i="6"/>
  <c r="U152" i="6"/>
  <c r="U148" i="6"/>
  <c r="S152" i="6"/>
  <c r="S148" i="6"/>
  <c r="R150" i="6"/>
  <c r="R146" i="6"/>
  <c r="Q152" i="6"/>
  <c r="Z153" i="6"/>
  <c r="Z149" i="6"/>
  <c r="Z145" i="6"/>
  <c r="Y151" i="6"/>
  <c r="Y147" i="6"/>
  <c r="X153" i="6"/>
  <c r="X149" i="6"/>
  <c r="X145" i="6"/>
  <c r="W151" i="6"/>
  <c r="W147" i="6"/>
  <c r="V153" i="6"/>
  <c r="V149" i="6"/>
  <c r="V145" i="6"/>
  <c r="U151" i="6"/>
  <c r="U147" i="6"/>
  <c r="T153" i="6"/>
  <c r="T149" i="6"/>
  <c r="T145" i="6"/>
  <c r="S151" i="6"/>
  <c r="S147" i="6"/>
  <c r="R153" i="6"/>
  <c r="R149" i="6"/>
  <c r="R145" i="6"/>
  <c r="Q151" i="6"/>
  <c r="Q147" i="6"/>
  <c r="P153" i="6"/>
  <c r="P149" i="6"/>
  <c r="P145" i="6"/>
  <c r="Z152" i="6"/>
  <c r="Z148" i="6"/>
  <c r="W150" i="6"/>
  <c r="W146" i="6"/>
  <c r="V152" i="6"/>
  <c r="V148" i="6"/>
  <c r="S150" i="6"/>
  <c r="S146" i="6"/>
  <c r="R152" i="6"/>
  <c r="R148" i="6"/>
  <c r="I86" i="4" a="1"/>
  <c r="I86" i="4" s="1"/>
  <c r="E85" i="4" a="1"/>
  <c r="E85" i="4" s="1"/>
  <c r="H86" i="4" a="1"/>
  <c r="H86" i="4" s="1"/>
  <c r="C393" i="2"/>
  <c r="D393" i="2"/>
  <c r="E393" i="2"/>
  <c r="F393" i="2"/>
  <c r="G393" i="2"/>
  <c r="H393" i="2"/>
  <c r="I393" i="2"/>
  <c r="J393" i="2"/>
  <c r="K393" i="2"/>
  <c r="L393" i="2"/>
  <c r="B393" i="2"/>
  <c r="M23" i="5"/>
  <c r="N23" i="5"/>
  <c r="M84" i="4"/>
  <c r="N84" i="4"/>
  <c r="M83" i="4"/>
  <c r="N83" i="4"/>
  <c r="AA134" i="6"/>
  <c r="AA135" i="6"/>
  <c r="AA136" i="6"/>
  <c r="AA137" i="6"/>
  <c r="AA138" i="6"/>
  <c r="AA139" i="6"/>
  <c r="AA140" i="6"/>
  <c r="AA141" i="6"/>
  <c r="AA142" i="6"/>
  <c r="AA143" i="6"/>
  <c r="B394" i="2"/>
  <c r="B395" i="2"/>
  <c r="B396" i="2"/>
  <c r="B397" i="2"/>
  <c r="B398" i="2"/>
  <c r="B399" i="2"/>
  <c r="B400" i="2"/>
  <c r="B401" i="2"/>
  <c r="B402" i="2"/>
  <c r="B403" i="2"/>
  <c r="C394" i="2"/>
  <c r="C395" i="2"/>
  <c r="C396" i="2"/>
  <c r="C397" i="2"/>
  <c r="C398" i="2"/>
  <c r="C399" i="2"/>
  <c r="C400" i="2"/>
  <c r="C401" i="2"/>
  <c r="C402" i="2"/>
  <c r="C403" i="2"/>
  <c r="D394" i="2"/>
  <c r="D395" i="2"/>
  <c r="D396" i="2"/>
  <c r="D397" i="2"/>
  <c r="D398" i="2"/>
  <c r="D399" i="2"/>
  <c r="D400" i="2"/>
  <c r="D401" i="2"/>
  <c r="D402" i="2"/>
  <c r="D403" i="2"/>
  <c r="E394" i="2"/>
  <c r="E395" i="2"/>
  <c r="E396" i="2"/>
  <c r="E397" i="2"/>
  <c r="E398" i="2"/>
  <c r="E399" i="2"/>
  <c r="E400" i="2"/>
  <c r="E401" i="2"/>
  <c r="E402" i="2"/>
  <c r="E403" i="2"/>
  <c r="F394" i="2"/>
  <c r="F395" i="2"/>
  <c r="F396" i="2"/>
  <c r="F397" i="2"/>
  <c r="F398" i="2"/>
  <c r="F399" i="2"/>
  <c r="F400" i="2"/>
  <c r="F401" i="2"/>
  <c r="F402" i="2"/>
  <c r="F403" i="2"/>
  <c r="G394" i="2"/>
  <c r="G395" i="2"/>
  <c r="G396" i="2"/>
  <c r="G397" i="2"/>
  <c r="G398" i="2"/>
  <c r="G399" i="2"/>
  <c r="G400" i="2"/>
  <c r="G401" i="2"/>
  <c r="G402" i="2"/>
  <c r="G403" i="2"/>
  <c r="H394" i="2"/>
  <c r="H395" i="2"/>
  <c r="H396" i="2"/>
  <c r="H397" i="2"/>
  <c r="H398" i="2"/>
  <c r="H399" i="2"/>
  <c r="H400" i="2"/>
  <c r="H401" i="2"/>
  <c r="H402" i="2"/>
  <c r="H403" i="2"/>
  <c r="I394" i="2"/>
  <c r="I395" i="2"/>
  <c r="I396" i="2"/>
  <c r="I397" i="2"/>
  <c r="I398" i="2"/>
  <c r="I399" i="2"/>
  <c r="I400" i="2"/>
  <c r="I401" i="2"/>
  <c r="I402" i="2"/>
  <c r="I403" i="2"/>
  <c r="J394" i="2"/>
  <c r="J395" i="2"/>
  <c r="J396" i="2"/>
  <c r="J397" i="2"/>
  <c r="J398" i="2"/>
  <c r="J399" i="2"/>
  <c r="J400" i="2"/>
  <c r="J401" i="2"/>
  <c r="J402" i="2"/>
  <c r="J403" i="2"/>
  <c r="K394" i="2"/>
  <c r="K395" i="2"/>
  <c r="K396" i="2"/>
  <c r="K397" i="2"/>
  <c r="K398" i="2"/>
  <c r="K399" i="2"/>
  <c r="K400" i="2"/>
  <c r="K401" i="2"/>
  <c r="K402" i="2"/>
  <c r="K403" i="2"/>
  <c r="L394" i="2"/>
  <c r="L395" i="2"/>
  <c r="L396" i="2"/>
  <c r="L397" i="2"/>
  <c r="L398" i="2"/>
  <c r="L399" i="2"/>
  <c r="L400" i="2"/>
  <c r="L401" i="2"/>
  <c r="L402" i="2"/>
  <c r="L403" i="2"/>
  <c r="M394" i="2"/>
  <c r="M395" i="2"/>
  <c r="M396" i="2"/>
  <c r="M397" i="2"/>
  <c r="M398" i="2"/>
  <c r="M399" i="2"/>
  <c r="M400" i="2"/>
  <c r="M401" i="2"/>
  <c r="M402" i="2"/>
  <c r="M403" i="2"/>
  <c r="M404" i="2"/>
  <c r="N394" i="2"/>
  <c r="N395" i="2"/>
  <c r="N396" i="2"/>
  <c r="N397" i="2"/>
  <c r="N398" i="2"/>
  <c r="N399" i="2"/>
  <c r="N400" i="2"/>
  <c r="N401" i="2"/>
  <c r="N402" i="2"/>
  <c r="N403" i="2"/>
  <c r="N404" i="2"/>
  <c r="O394" i="2"/>
  <c r="R394" i="2" s="1"/>
  <c r="O395" i="2"/>
  <c r="O396" i="2"/>
  <c r="O397" i="2"/>
  <c r="O398" i="2"/>
  <c r="R398" i="2" s="1"/>
  <c r="O399" i="2"/>
  <c r="O400" i="2"/>
  <c r="O401" i="2"/>
  <c r="O402" i="2"/>
  <c r="R402" i="2" s="1"/>
  <c r="O403" i="2"/>
  <c r="O404" i="2"/>
  <c r="P394" i="2"/>
  <c r="P395" i="2"/>
  <c r="R395" i="2" s="1"/>
  <c r="P396" i="2"/>
  <c r="P397" i="2"/>
  <c r="P398" i="2"/>
  <c r="P399" i="2"/>
  <c r="R399" i="2" s="1"/>
  <c r="P400" i="2"/>
  <c r="P401" i="2"/>
  <c r="P402" i="2"/>
  <c r="P403" i="2"/>
  <c r="R403" i="2" s="1"/>
  <c r="P404" i="2"/>
  <c r="Q394" i="2"/>
  <c r="Q396" i="2"/>
  <c r="Q397" i="2"/>
  <c r="Q398" i="2"/>
  <c r="Q400" i="2"/>
  <c r="Q401" i="2"/>
  <c r="Q402" i="2"/>
  <c r="Q404" i="2"/>
  <c r="R396" i="2"/>
  <c r="R397" i="2"/>
  <c r="R400" i="2"/>
  <c r="R401" i="2"/>
  <c r="R404" i="2"/>
  <c r="P70" i="2"/>
  <c r="Q403" i="2" l="1"/>
  <c r="Q399" i="2"/>
  <c r="Q395" i="2"/>
  <c r="P9" i="2"/>
  <c r="M4" i="8"/>
  <c r="F54" i="8" s="1"/>
  <c r="A63" i="7"/>
  <c r="B62" i="7"/>
  <c r="C62" i="7"/>
  <c r="D62" i="7"/>
  <c r="A62" i="7"/>
  <c r="C29" i="9"/>
  <c r="S14" i="7"/>
  <c r="S13" i="7"/>
  <c r="M22" i="7"/>
  <c r="M23" i="7"/>
  <c r="M24" i="7"/>
  <c r="M25" i="7"/>
  <c r="M26" i="7"/>
  <c r="M27" i="7"/>
  <c r="M28" i="7"/>
  <c r="M29" i="7"/>
  <c r="M30" i="7"/>
  <c r="M31" i="7"/>
  <c r="M21" i="7"/>
  <c r="K30" i="7"/>
  <c r="K31" i="7"/>
  <c r="K29" i="7"/>
  <c r="K22" i="7"/>
  <c r="K23" i="7"/>
  <c r="K24" i="7"/>
  <c r="K25" i="7"/>
  <c r="K26" i="7"/>
  <c r="K27" i="7"/>
  <c r="K28" i="7"/>
  <c r="K21" i="7"/>
  <c r="M11" i="7"/>
  <c r="M12" i="7"/>
  <c r="M13" i="7"/>
  <c r="M14" i="7"/>
  <c r="M15" i="7"/>
  <c r="M16" i="7"/>
  <c r="M17" i="7"/>
  <c r="M18" i="7"/>
  <c r="M19" i="7"/>
  <c r="M20" i="7"/>
  <c r="M10" i="7"/>
  <c r="K11" i="7"/>
  <c r="K12" i="7"/>
  <c r="K13" i="7"/>
  <c r="K14" i="7"/>
  <c r="K15" i="7"/>
  <c r="K16" i="7"/>
  <c r="K17" i="7"/>
  <c r="K18" i="7"/>
  <c r="K19" i="7"/>
  <c r="K20" i="7"/>
  <c r="K10" i="7"/>
  <c r="I2" i="7"/>
  <c r="E120" i="8" l="1"/>
  <c r="H120" i="8" s="1"/>
  <c r="E116" i="8"/>
  <c r="H116" i="8" s="1"/>
  <c r="E112" i="8"/>
  <c r="H112" i="8" s="1"/>
  <c r="E108" i="8"/>
  <c r="H108" i="8" s="1"/>
  <c r="E104" i="8"/>
  <c r="H104" i="8" s="1"/>
  <c r="E100" i="8"/>
  <c r="H100" i="8" s="1"/>
  <c r="E96" i="8"/>
  <c r="H96" i="8" s="1"/>
  <c r="E92" i="8"/>
  <c r="H92" i="8" s="1"/>
  <c r="E88" i="8"/>
  <c r="H88" i="8" s="1"/>
  <c r="E84" i="8"/>
  <c r="H84" i="8" s="1"/>
  <c r="E80" i="8"/>
  <c r="H80" i="8" s="1"/>
  <c r="E76" i="8"/>
  <c r="H76" i="8" s="1"/>
  <c r="E72" i="8"/>
  <c r="H72" i="8" s="1"/>
  <c r="E68" i="8"/>
  <c r="H68" i="8" s="1"/>
  <c r="E64" i="8"/>
  <c r="H64" i="8" s="1"/>
  <c r="E60" i="8"/>
  <c r="H60" i="8" s="1"/>
  <c r="E56" i="8"/>
  <c r="H56" i="8" s="1"/>
  <c r="E52" i="8"/>
  <c r="H52" i="8" s="1"/>
  <c r="E48" i="8"/>
  <c r="H48" i="8" s="1"/>
  <c r="E44" i="8"/>
  <c r="H44" i="8" s="1"/>
  <c r="E40" i="8"/>
  <c r="H40" i="8" s="1"/>
  <c r="E36" i="8"/>
  <c r="H36" i="8" s="1"/>
  <c r="E32" i="8"/>
  <c r="H32" i="8" s="1"/>
  <c r="E28" i="8"/>
  <c r="H28" i="8" s="1"/>
  <c r="E24" i="8"/>
  <c r="H24" i="8" s="1"/>
  <c r="E20" i="8"/>
  <c r="H20" i="8" s="1"/>
  <c r="E16" i="8"/>
  <c r="H16" i="8" s="1"/>
  <c r="E12" i="8"/>
  <c r="H12" i="8" s="1"/>
  <c r="E8" i="8"/>
  <c r="H8" i="8" s="1"/>
  <c r="E123" i="8"/>
  <c r="H123" i="8" s="1"/>
  <c r="E119" i="8"/>
  <c r="H119" i="8" s="1"/>
  <c r="E115" i="8"/>
  <c r="H115" i="8" s="1"/>
  <c r="E111" i="8"/>
  <c r="H111" i="8" s="1"/>
  <c r="E107" i="8"/>
  <c r="H107" i="8" s="1"/>
  <c r="E103" i="8"/>
  <c r="H103" i="8" s="1"/>
  <c r="E99" i="8"/>
  <c r="H99" i="8" s="1"/>
  <c r="E95" i="8"/>
  <c r="H95" i="8" s="1"/>
  <c r="E91" i="8"/>
  <c r="H91" i="8" s="1"/>
  <c r="E87" i="8"/>
  <c r="H87" i="8" s="1"/>
  <c r="E83" i="8"/>
  <c r="H83" i="8" s="1"/>
  <c r="E79" i="8"/>
  <c r="H79" i="8" s="1"/>
  <c r="E75" i="8"/>
  <c r="H75" i="8" s="1"/>
  <c r="E71" i="8"/>
  <c r="H71" i="8" s="1"/>
  <c r="E67" i="8"/>
  <c r="H67" i="8" s="1"/>
  <c r="E63" i="8"/>
  <c r="H63" i="8" s="1"/>
  <c r="E59" i="8"/>
  <c r="H59" i="8" s="1"/>
  <c r="E55" i="8"/>
  <c r="H55" i="8" s="1"/>
  <c r="E51" i="8"/>
  <c r="H51" i="8" s="1"/>
  <c r="E47" i="8"/>
  <c r="H47" i="8" s="1"/>
  <c r="E43" i="8"/>
  <c r="H43" i="8" s="1"/>
  <c r="E39" i="8"/>
  <c r="H39" i="8" s="1"/>
  <c r="E35" i="8"/>
  <c r="H35" i="8" s="1"/>
  <c r="E31" i="8"/>
  <c r="H31" i="8" s="1"/>
  <c r="E27" i="8"/>
  <c r="H27" i="8" s="1"/>
  <c r="E23" i="8"/>
  <c r="H23" i="8" s="1"/>
  <c r="E19" i="8"/>
  <c r="H19" i="8" s="1"/>
  <c r="E15" i="8"/>
  <c r="H15" i="8" s="1"/>
  <c r="E11" i="8"/>
  <c r="H11" i="8" s="1"/>
  <c r="E7" i="8"/>
  <c r="H7" i="8" s="1"/>
  <c r="E117" i="8"/>
  <c r="H117" i="8" s="1"/>
  <c r="E109" i="8"/>
  <c r="H109" i="8" s="1"/>
  <c r="E101" i="8"/>
  <c r="H101" i="8" s="1"/>
  <c r="E93" i="8"/>
  <c r="H93" i="8" s="1"/>
  <c r="E85" i="8"/>
  <c r="H85" i="8" s="1"/>
  <c r="E77" i="8"/>
  <c r="H77" i="8" s="1"/>
  <c r="E69" i="8"/>
  <c r="H69" i="8" s="1"/>
  <c r="E61" i="8"/>
  <c r="H61" i="8" s="1"/>
  <c r="E53" i="8"/>
  <c r="H53" i="8" s="1"/>
  <c r="E45" i="8"/>
  <c r="H45" i="8" s="1"/>
  <c r="E37" i="8"/>
  <c r="H37" i="8" s="1"/>
  <c r="E29" i="8"/>
  <c r="H29" i="8" s="1"/>
  <c r="E21" i="8"/>
  <c r="H21" i="8" s="1"/>
  <c r="E13" i="8"/>
  <c r="H13" i="8" s="1"/>
  <c r="E5" i="8"/>
  <c r="H5" i="8" s="1"/>
  <c r="E122" i="8"/>
  <c r="H122" i="8" s="1"/>
  <c r="E114" i="8"/>
  <c r="H114" i="8" s="1"/>
  <c r="E106" i="8"/>
  <c r="H106" i="8" s="1"/>
  <c r="E98" i="8"/>
  <c r="H98" i="8" s="1"/>
  <c r="E90" i="8"/>
  <c r="H90" i="8" s="1"/>
  <c r="E82" i="8"/>
  <c r="H82" i="8" s="1"/>
  <c r="E74" i="8"/>
  <c r="H74" i="8" s="1"/>
  <c r="E66" i="8"/>
  <c r="H66" i="8" s="1"/>
  <c r="E58" i="8"/>
  <c r="H58" i="8" s="1"/>
  <c r="E50" i="8"/>
  <c r="H50" i="8" s="1"/>
  <c r="E42" i="8"/>
  <c r="H42" i="8" s="1"/>
  <c r="E34" i="8"/>
  <c r="H34" i="8" s="1"/>
  <c r="E26" i="8"/>
  <c r="H26" i="8" s="1"/>
  <c r="E18" i="8"/>
  <c r="H18" i="8" s="1"/>
  <c r="E10" i="8"/>
  <c r="H10" i="8" s="1"/>
  <c r="E121" i="8"/>
  <c r="H121" i="8" s="1"/>
  <c r="E113" i="8"/>
  <c r="H113" i="8" s="1"/>
  <c r="E105" i="8"/>
  <c r="H105" i="8" s="1"/>
  <c r="E97" i="8"/>
  <c r="H97" i="8" s="1"/>
  <c r="E89" i="8"/>
  <c r="H89" i="8" s="1"/>
  <c r="E81" i="8"/>
  <c r="H81" i="8" s="1"/>
  <c r="E73" i="8"/>
  <c r="H73" i="8" s="1"/>
  <c r="E65" i="8"/>
  <c r="H65" i="8" s="1"/>
  <c r="E57" i="8"/>
  <c r="H57" i="8" s="1"/>
  <c r="E49" i="8"/>
  <c r="H49" i="8" s="1"/>
  <c r="E41" i="8"/>
  <c r="H41" i="8" s="1"/>
  <c r="E33" i="8"/>
  <c r="H33" i="8" s="1"/>
  <c r="E25" i="8"/>
  <c r="H25" i="8" s="1"/>
  <c r="E17" i="8"/>
  <c r="H17" i="8" s="1"/>
  <c r="E9" i="8"/>
  <c r="H9" i="8" s="1"/>
  <c r="E102" i="8"/>
  <c r="H102" i="8" s="1"/>
  <c r="E70" i="8"/>
  <c r="H70" i="8" s="1"/>
  <c r="E38" i="8"/>
  <c r="H38" i="8" s="1"/>
  <c r="E6" i="8"/>
  <c r="H6" i="8" s="1"/>
  <c r="E94" i="8"/>
  <c r="H94" i="8" s="1"/>
  <c r="E62" i="8"/>
  <c r="H62" i="8" s="1"/>
  <c r="E30" i="8"/>
  <c r="H30" i="8" s="1"/>
  <c r="E118" i="8"/>
  <c r="H118" i="8" s="1"/>
  <c r="E86" i="8"/>
  <c r="H86" i="8" s="1"/>
  <c r="E54" i="8"/>
  <c r="H54" i="8" s="1"/>
  <c r="E22" i="8"/>
  <c r="H22" i="8" s="1"/>
  <c r="E110" i="8"/>
  <c r="H110" i="8" s="1"/>
  <c r="E78" i="8"/>
  <c r="H78" i="8" s="1"/>
  <c r="E46" i="8"/>
  <c r="H46" i="8" s="1"/>
  <c r="E14" i="8"/>
  <c r="H14" i="8" s="1"/>
  <c r="F12" i="8"/>
  <c r="F73" i="8"/>
  <c r="F121" i="8"/>
  <c r="F65" i="8"/>
  <c r="F57" i="8"/>
  <c r="F105" i="8"/>
  <c r="F52" i="8"/>
  <c r="F117" i="8"/>
  <c r="F17" i="8"/>
  <c r="F115" i="8"/>
  <c r="F18" i="8"/>
  <c r="F34" i="8"/>
  <c r="F50" i="8"/>
  <c r="F67" i="8"/>
  <c r="F83" i="8"/>
  <c r="F99" i="8"/>
  <c r="F15" i="8"/>
  <c r="F31" i="8"/>
  <c r="F47" i="8"/>
  <c r="F64" i="8"/>
  <c r="F80" i="8"/>
  <c r="F96" i="8"/>
  <c r="F112" i="8"/>
  <c r="F29" i="8"/>
  <c r="F45" i="8"/>
  <c r="F62" i="8"/>
  <c r="F78" i="8"/>
  <c r="F94" i="8"/>
  <c r="F110" i="8"/>
  <c r="F119" i="8"/>
  <c r="F109" i="8"/>
  <c r="F24" i="8"/>
  <c r="F81" i="8"/>
  <c r="F16" i="8"/>
  <c r="F8" i="8"/>
  <c r="F77" i="8"/>
  <c r="F113" i="8"/>
  <c r="F69" i="8"/>
  <c r="F5" i="8"/>
  <c r="F21" i="8"/>
  <c r="F6" i="8"/>
  <c r="F22" i="8"/>
  <c r="F38" i="8"/>
  <c r="F55" i="8"/>
  <c r="F71" i="8"/>
  <c r="F87" i="8"/>
  <c r="F103" i="8"/>
  <c r="F19" i="8"/>
  <c r="F35" i="8"/>
  <c r="F51" i="8"/>
  <c r="F68" i="8"/>
  <c r="F84" i="8"/>
  <c r="F100" i="8"/>
  <c r="F116" i="8"/>
  <c r="F33" i="8"/>
  <c r="F49" i="8"/>
  <c r="F66" i="8"/>
  <c r="F82" i="8"/>
  <c r="F98" i="8"/>
  <c r="F114" i="8"/>
  <c r="F123" i="8"/>
  <c r="F61" i="8"/>
  <c r="F48" i="8"/>
  <c r="F40" i="8"/>
  <c r="F97" i="8"/>
  <c r="F36" i="8"/>
  <c r="F101" i="8"/>
  <c r="F13" i="8"/>
  <c r="F111" i="8"/>
  <c r="F14" i="8"/>
  <c r="F30" i="8"/>
  <c r="F46" i="8"/>
  <c r="F63" i="8"/>
  <c r="F79" i="8"/>
  <c r="F95" i="8"/>
  <c r="F11" i="8"/>
  <c r="F27" i="8"/>
  <c r="F43" i="8"/>
  <c r="F60" i="8"/>
  <c r="F76" i="8"/>
  <c r="F92" i="8"/>
  <c r="F108" i="8"/>
  <c r="F25" i="8"/>
  <c r="F41" i="8"/>
  <c r="F58" i="8"/>
  <c r="F74" i="8"/>
  <c r="F90" i="8"/>
  <c r="F106" i="8"/>
  <c r="F122" i="8"/>
  <c r="F44" i="8"/>
  <c r="F93" i="8"/>
  <c r="F32" i="8"/>
  <c r="F28" i="8"/>
  <c r="F85" i="8"/>
  <c r="F20" i="8"/>
  <c r="F89" i="8"/>
  <c r="F9" i="8"/>
  <c r="F107" i="8"/>
  <c r="F10" i="8"/>
  <c r="F26" i="8"/>
  <c r="F42" i="8"/>
  <c r="F59" i="8"/>
  <c r="F75" i="8"/>
  <c r="F91" i="8"/>
  <c r="F7" i="8"/>
  <c r="F23" i="8"/>
  <c r="F39" i="8"/>
  <c r="F56" i="8"/>
  <c r="F72" i="8"/>
  <c r="F88" i="8"/>
  <c r="F104" i="8"/>
  <c r="F120" i="8"/>
  <c r="F37" i="8"/>
  <c r="F53" i="8"/>
  <c r="F70" i="8"/>
  <c r="F86" i="8"/>
  <c r="F102" i="8"/>
  <c r="F118" i="8"/>
  <c r="A68" i="7"/>
  <c r="A58" i="7"/>
  <c r="B50" i="7"/>
  <c r="AA5" i="6"/>
  <c r="AA6" i="6"/>
  <c r="AA7" i="6"/>
  <c r="AA8" i="6"/>
  <c r="AA9" i="6"/>
  <c r="AA10" i="6"/>
  <c r="AA11" i="6"/>
  <c r="AA12" i="6"/>
  <c r="AA13" i="6"/>
  <c r="AA14" i="6"/>
  <c r="AA15" i="6"/>
  <c r="AA16" i="6"/>
  <c r="AA17" i="6"/>
  <c r="AA18" i="6"/>
  <c r="AA19" i="6"/>
  <c r="AA20" i="6"/>
  <c r="AA21" i="6"/>
  <c r="AA22" i="6"/>
  <c r="AA23" i="6"/>
  <c r="AA24" i="6"/>
  <c r="AA25" i="6"/>
  <c r="AA26" i="6"/>
  <c r="AA27" i="6"/>
  <c r="AA28" i="6"/>
  <c r="AA29" i="6"/>
  <c r="AA30" i="6"/>
  <c r="AA31" i="6"/>
  <c r="AA32" i="6"/>
  <c r="AA33" i="6"/>
  <c r="AA34" i="6"/>
  <c r="AA35" i="6"/>
  <c r="AA36" i="6"/>
  <c r="AA37" i="6"/>
  <c r="AA38" i="6"/>
  <c r="AA39" i="6"/>
  <c r="AA40" i="6"/>
  <c r="AA41" i="6"/>
  <c r="AA42" i="6"/>
  <c r="AA43" i="6"/>
  <c r="AA44" i="6"/>
  <c r="AA45" i="6"/>
  <c r="AA46" i="6"/>
  <c r="AA47" i="6"/>
  <c r="AA48" i="6"/>
  <c r="AA49" i="6"/>
  <c r="AA50" i="6"/>
  <c r="AA51" i="6"/>
  <c r="AA52" i="6"/>
  <c r="AA53" i="6"/>
  <c r="AA54" i="6"/>
  <c r="AA55" i="6"/>
  <c r="AA56" i="6"/>
  <c r="AA57" i="6"/>
  <c r="AA58" i="6"/>
  <c r="AA59" i="6"/>
  <c r="AA60" i="6"/>
  <c r="AA61" i="6"/>
  <c r="AA62" i="6"/>
  <c r="AA63" i="6"/>
  <c r="AA64" i="6"/>
  <c r="AA65" i="6"/>
  <c r="AA66" i="6"/>
  <c r="AA67" i="6"/>
  <c r="AA68" i="6"/>
  <c r="AA69" i="6"/>
  <c r="AA70" i="6"/>
  <c r="AA71" i="6"/>
  <c r="AA72" i="6"/>
  <c r="AA73" i="6"/>
  <c r="AA74" i="6"/>
  <c r="AA75" i="6"/>
  <c r="AA76" i="6"/>
  <c r="AA77" i="6"/>
  <c r="AA78" i="6"/>
  <c r="AA79" i="6"/>
  <c r="AA80" i="6"/>
  <c r="AA81" i="6"/>
  <c r="AA82" i="6"/>
  <c r="AA83" i="6"/>
  <c r="AA84" i="6"/>
  <c r="AA85" i="6"/>
  <c r="AA86" i="6"/>
  <c r="AA87" i="6"/>
  <c r="AA88" i="6"/>
  <c r="AA89" i="6"/>
  <c r="AA90" i="6"/>
  <c r="AA91" i="6"/>
  <c r="AA92" i="6"/>
  <c r="AA93" i="6"/>
  <c r="AA94" i="6"/>
  <c r="AA95" i="6"/>
  <c r="AA96" i="6"/>
  <c r="AA97" i="6"/>
  <c r="AA98" i="6"/>
  <c r="AA99" i="6"/>
  <c r="AA100" i="6"/>
  <c r="AA101" i="6"/>
  <c r="AA102" i="6"/>
  <c r="AA103" i="6"/>
  <c r="AA104" i="6"/>
  <c r="AA105" i="6"/>
  <c r="AA106" i="6"/>
  <c r="AA107" i="6"/>
  <c r="AA108" i="6"/>
  <c r="AA109" i="6"/>
  <c r="AA110" i="6"/>
  <c r="AA111" i="6"/>
  <c r="AA112" i="6"/>
  <c r="AA113" i="6"/>
  <c r="AA114" i="6"/>
  <c r="AA115" i="6"/>
  <c r="AA116" i="6"/>
  <c r="AA117" i="6"/>
  <c r="AA118" i="6"/>
  <c r="AA119" i="6"/>
  <c r="AA120" i="6"/>
  <c r="AA121" i="6"/>
  <c r="AA122" i="6"/>
  <c r="AA123" i="6"/>
  <c r="AA124" i="6"/>
  <c r="AA125" i="6"/>
  <c r="AA126" i="6"/>
  <c r="AA127" i="6"/>
  <c r="AA128" i="6"/>
  <c r="AA129" i="6"/>
  <c r="AA130" i="6"/>
  <c r="AA131" i="6"/>
  <c r="AA132" i="6"/>
  <c r="AA133" i="6"/>
  <c r="A59" i="7" l="1"/>
  <c r="A64" i="7"/>
  <c r="D29" i="9"/>
  <c r="C50" i="7"/>
  <c r="A65" i="7" l="1"/>
  <c r="E29" i="9"/>
  <c r="D50" i="7"/>
  <c r="F29" i="9" l="1"/>
  <c r="F28" i="9" s="1"/>
  <c r="N5" i="5"/>
  <c r="N6" i="5"/>
  <c r="N7" i="5"/>
  <c r="N8" i="5"/>
  <c r="N9" i="5"/>
  <c r="N10" i="5"/>
  <c r="N11" i="5"/>
  <c r="N12" i="5"/>
  <c r="N13" i="5"/>
  <c r="N14" i="5"/>
  <c r="N15" i="5"/>
  <c r="N16" i="5"/>
  <c r="N17" i="5"/>
  <c r="N18" i="5"/>
  <c r="N19" i="5"/>
  <c r="N20" i="5"/>
  <c r="N21" i="5"/>
  <c r="N22" i="5"/>
  <c r="M5" i="5"/>
  <c r="M6" i="5"/>
  <c r="M7" i="5"/>
  <c r="M8" i="5"/>
  <c r="M9" i="5"/>
  <c r="M10" i="5"/>
  <c r="M11" i="5"/>
  <c r="M12" i="5"/>
  <c r="M13" i="5"/>
  <c r="M14" i="5"/>
  <c r="M15" i="5"/>
  <c r="M16" i="5"/>
  <c r="M17" i="5"/>
  <c r="M18" i="5"/>
  <c r="M19" i="5"/>
  <c r="M20" i="5"/>
  <c r="M21" i="5"/>
  <c r="M22" i="5"/>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I3" i="7"/>
  <c r="A1" i="1"/>
  <c r="C5" i="6"/>
  <c r="C6" i="6" s="1"/>
  <c r="D5" i="6"/>
  <c r="D6" i="6" s="1"/>
  <c r="E5" i="6"/>
  <c r="S5" i="6" s="1"/>
  <c r="F5" i="6"/>
  <c r="T5" i="6" s="1"/>
  <c r="G5" i="6"/>
  <c r="G6" i="6" s="1"/>
  <c r="H5" i="6"/>
  <c r="V5" i="6" s="1"/>
  <c r="I5" i="6"/>
  <c r="I6" i="6" s="1"/>
  <c r="J5" i="6"/>
  <c r="J6" i="6" s="1"/>
  <c r="K5" i="6"/>
  <c r="K6" i="6" s="1"/>
  <c r="L5" i="6"/>
  <c r="L6" i="6" s="1"/>
  <c r="B5" i="6"/>
  <c r="B6" i="6" s="1"/>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I17" i="7" l="1"/>
  <c r="I7" i="6"/>
  <c r="W6" i="6"/>
  <c r="B7" i="6"/>
  <c r="P6" i="6"/>
  <c r="E6" i="6"/>
  <c r="X5" i="6"/>
  <c r="L7" i="6"/>
  <c r="Z6" i="6"/>
  <c r="D7" i="6"/>
  <c r="R6" i="6"/>
  <c r="P5" i="6"/>
  <c r="W5" i="6"/>
  <c r="K7" i="6"/>
  <c r="Y6" i="6"/>
  <c r="G7" i="6"/>
  <c r="U6" i="6"/>
  <c r="C7" i="6"/>
  <c r="Q6" i="6"/>
  <c r="Z5" i="6"/>
  <c r="R5" i="6"/>
  <c r="J7" i="6"/>
  <c r="X6" i="6"/>
  <c r="Y5" i="6"/>
  <c r="U5" i="6"/>
  <c r="Q5" i="6"/>
  <c r="H6" i="6"/>
  <c r="F6" i="6"/>
  <c r="F7" i="6" l="1"/>
  <c r="T6" i="6"/>
  <c r="G8" i="6"/>
  <c r="U7" i="6"/>
  <c r="L8" i="6"/>
  <c r="Z7" i="6"/>
  <c r="B8" i="6"/>
  <c r="P7" i="6"/>
  <c r="H7" i="6"/>
  <c r="V6" i="6"/>
  <c r="J8" i="6"/>
  <c r="X7" i="6"/>
  <c r="C8" i="6"/>
  <c r="Q7" i="6"/>
  <c r="K8" i="6"/>
  <c r="Y7" i="6"/>
  <c r="D8" i="6"/>
  <c r="R7" i="6"/>
  <c r="E7" i="6"/>
  <c r="S6" i="6"/>
  <c r="I8" i="6"/>
  <c r="W7" i="6"/>
  <c r="P5" i="2"/>
  <c r="Q5" i="2" s="1"/>
  <c r="P6" i="2"/>
  <c r="P7" i="2"/>
  <c r="P8" i="2"/>
  <c r="P10" i="2"/>
  <c r="P11" i="2"/>
  <c r="Q11" i="2" s="1"/>
  <c r="P12" i="2"/>
  <c r="P13" i="2"/>
  <c r="P14" i="2"/>
  <c r="P15" i="2"/>
  <c r="Q15" i="2" s="1"/>
  <c r="P16" i="2"/>
  <c r="P17" i="2"/>
  <c r="P18" i="2"/>
  <c r="P19" i="2"/>
  <c r="Q19" i="2" s="1"/>
  <c r="P20" i="2"/>
  <c r="P21" i="2"/>
  <c r="P22" i="2"/>
  <c r="P23" i="2"/>
  <c r="Q23" i="2" s="1"/>
  <c r="P24" i="2"/>
  <c r="P25" i="2"/>
  <c r="P26" i="2"/>
  <c r="P27" i="2"/>
  <c r="Q27" i="2" s="1"/>
  <c r="P28" i="2"/>
  <c r="P29" i="2"/>
  <c r="P30" i="2"/>
  <c r="P31" i="2"/>
  <c r="Q31" i="2" s="1"/>
  <c r="P32" i="2"/>
  <c r="P33" i="2"/>
  <c r="P34" i="2"/>
  <c r="P35" i="2"/>
  <c r="Q35" i="2" s="1"/>
  <c r="P36" i="2"/>
  <c r="P37" i="2"/>
  <c r="P38" i="2"/>
  <c r="P39" i="2"/>
  <c r="Q39" i="2" s="1"/>
  <c r="P40" i="2"/>
  <c r="P41" i="2"/>
  <c r="P42" i="2"/>
  <c r="P43" i="2"/>
  <c r="Q43" i="2" s="1"/>
  <c r="P44" i="2"/>
  <c r="P45" i="2"/>
  <c r="P46" i="2"/>
  <c r="P47" i="2"/>
  <c r="Q47" i="2" s="1"/>
  <c r="P48" i="2"/>
  <c r="P49" i="2"/>
  <c r="P50" i="2"/>
  <c r="P51" i="2"/>
  <c r="Q51" i="2" s="1"/>
  <c r="P52" i="2"/>
  <c r="P53" i="2"/>
  <c r="P54" i="2"/>
  <c r="P55" i="2"/>
  <c r="Q55" i="2" s="1"/>
  <c r="P56" i="2"/>
  <c r="P57" i="2"/>
  <c r="P58" i="2"/>
  <c r="P59" i="2"/>
  <c r="Q59" i="2" s="1"/>
  <c r="P60" i="2"/>
  <c r="P61" i="2"/>
  <c r="P62" i="2"/>
  <c r="P63" i="2"/>
  <c r="Q63" i="2" s="1"/>
  <c r="P64" i="2"/>
  <c r="P65" i="2"/>
  <c r="P66" i="2"/>
  <c r="P67" i="2"/>
  <c r="Q67" i="2" s="1"/>
  <c r="P68" i="2"/>
  <c r="P69" i="2"/>
  <c r="P71" i="2"/>
  <c r="Q71" i="2" s="1"/>
  <c r="P72" i="2"/>
  <c r="P73" i="2"/>
  <c r="P74" i="2"/>
  <c r="P75" i="2"/>
  <c r="Q75" i="2" s="1"/>
  <c r="P76" i="2"/>
  <c r="P77" i="2"/>
  <c r="P78" i="2"/>
  <c r="P79" i="2"/>
  <c r="Q79" i="2" s="1"/>
  <c r="P80" i="2"/>
  <c r="P81" i="2"/>
  <c r="P82" i="2"/>
  <c r="P83" i="2"/>
  <c r="Q83" i="2" s="1"/>
  <c r="P84" i="2"/>
  <c r="P85" i="2"/>
  <c r="Q85" i="2" s="1"/>
  <c r="P86" i="2"/>
  <c r="P87" i="2"/>
  <c r="Q87" i="2" s="1"/>
  <c r="P88" i="2"/>
  <c r="P89" i="2"/>
  <c r="P90" i="2"/>
  <c r="P91" i="2"/>
  <c r="Q91" i="2" s="1"/>
  <c r="P92" i="2"/>
  <c r="P93" i="2"/>
  <c r="P94" i="2"/>
  <c r="P95" i="2"/>
  <c r="Q95" i="2" s="1"/>
  <c r="P96" i="2"/>
  <c r="P97" i="2"/>
  <c r="P98" i="2"/>
  <c r="P99" i="2"/>
  <c r="Q99" i="2" s="1"/>
  <c r="P100" i="2"/>
  <c r="P101" i="2"/>
  <c r="P102" i="2"/>
  <c r="P103" i="2"/>
  <c r="Q103" i="2" s="1"/>
  <c r="P104" i="2"/>
  <c r="P105" i="2"/>
  <c r="P106" i="2"/>
  <c r="P107" i="2"/>
  <c r="Q107" i="2" s="1"/>
  <c r="P108" i="2"/>
  <c r="P109" i="2"/>
  <c r="P110" i="2"/>
  <c r="P111" i="2"/>
  <c r="Q111" i="2" s="1"/>
  <c r="P112" i="2"/>
  <c r="P113" i="2"/>
  <c r="P114" i="2"/>
  <c r="P115" i="2"/>
  <c r="Q115" i="2" s="1"/>
  <c r="P116" i="2"/>
  <c r="P117" i="2"/>
  <c r="P118" i="2"/>
  <c r="P119" i="2"/>
  <c r="Q119" i="2" s="1"/>
  <c r="P120" i="2"/>
  <c r="Q120" i="2" s="1"/>
  <c r="P121" i="2"/>
  <c r="P122" i="2"/>
  <c r="P123" i="2"/>
  <c r="Q123" i="2" s="1"/>
  <c r="P124" i="2"/>
  <c r="P125" i="2"/>
  <c r="P126" i="2"/>
  <c r="P127" i="2"/>
  <c r="Q127" i="2" s="1"/>
  <c r="P128" i="2"/>
  <c r="P129" i="2"/>
  <c r="P130" i="2"/>
  <c r="P131" i="2"/>
  <c r="Q131" i="2" s="1"/>
  <c r="P132" i="2"/>
  <c r="P133" i="2"/>
  <c r="P134" i="2"/>
  <c r="P135" i="2"/>
  <c r="Q135" i="2" s="1"/>
  <c r="P136" i="2"/>
  <c r="P137" i="2"/>
  <c r="P138" i="2"/>
  <c r="P139" i="2"/>
  <c r="Q139" i="2" s="1"/>
  <c r="P140" i="2"/>
  <c r="P141" i="2"/>
  <c r="P142" i="2"/>
  <c r="P143" i="2"/>
  <c r="Q143" i="2" s="1"/>
  <c r="P144" i="2"/>
  <c r="P145" i="2"/>
  <c r="P146" i="2"/>
  <c r="P147" i="2"/>
  <c r="Q147" i="2" s="1"/>
  <c r="P148" i="2"/>
  <c r="P149" i="2"/>
  <c r="P150" i="2"/>
  <c r="P151" i="2"/>
  <c r="Q151" i="2" s="1"/>
  <c r="P152" i="2"/>
  <c r="P153" i="2"/>
  <c r="P154" i="2"/>
  <c r="P155" i="2"/>
  <c r="Q155" i="2" s="1"/>
  <c r="P156" i="2"/>
  <c r="P157" i="2"/>
  <c r="P158" i="2"/>
  <c r="P159" i="2"/>
  <c r="Q159" i="2" s="1"/>
  <c r="P160" i="2"/>
  <c r="P161" i="2"/>
  <c r="P162" i="2"/>
  <c r="P163" i="2"/>
  <c r="Q163" i="2" s="1"/>
  <c r="P164" i="2"/>
  <c r="P165" i="2"/>
  <c r="P166" i="2"/>
  <c r="P167" i="2"/>
  <c r="Q167" i="2" s="1"/>
  <c r="P168" i="2"/>
  <c r="P169" i="2"/>
  <c r="P170" i="2"/>
  <c r="P171" i="2"/>
  <c r="Q171" i="2" s="1"/>
  <c r="P172" i="2"/>
  <c r="P173" i="2"/>
  <c r="P174" i="2"/>
  <c r="P175" i="2"/>
  <c r="Q175" i="2" s="1"/>
  <c r="P176" i="2"/>
  <c r="P177" i="2"/>
  <c r="P178" i="2"/>
  <c r="P179" i="2"/>
  <c r="Q179" i="2" s="1"/>
  <c r="P180" i="2"/>
  <c r="P181" i="2"/>
  <c r="P182" i="2"/>
  <c r="P183" i="2"/>
  <c r="Q183" i="2" s="1"/>
  <c r="P184" i="2"/>
  <c r="P185" i="2"/>
  <c r="P186" i="2"/>
  <c r="P187" i="2"/>
  <c r="Q187" i="2" s="1"/>
  <c r="P188" i="2"/>
  <c r="P189" i="2"/>
  <c r="P190" i="2"/>
  <c r="P191" i="2"/>
  <c r="Q191" i="2" s="1"/>
  <c r="P192" i="2"/>
  <c r="P193" i="2"/>
  <c r="P194" i="2"/>
  <c r="P195" i="2"/>
  <c r="Q195" i="2" s="1"/>
  <c r="P196" i="2"/>
  <c r="P197" i="2"/>
  <c r="P198" i="2"/>
  <c r="P199" i="2"/>
  <c r="Q199" i="2" s="1"/>
  <c r="P200" i="2"/>
  <c r="P201" i="2"/>
  <c r="P202" i="2"/>
  <c r="P203" i="2"/>
  <c r="Q203" i="2" s="1"/>
  <c r="P204" i="2"/>
  <c r="P205" i="2"/>
  <c r="P206" i="2"/>
  <c r="P207" i="2"/>
  <c r="Q207" i="2" s="1"/>
  <c r="P208" i="2"/>
  <c r="P209" i="2"/>
  <c r="P210" i="2"/>
  <c r="Q210" i="2" s="1"/>
  <c r="P211" i="2"/>
  <c r="Q211" i="2" s="1"/>
  <c r="P212" i="2"/>
  <c r="P213" i="2"/>
  <c r="P214" i="2"/>
  <c r="P215" i="2"/>
  <c r="Q215" i="2" s="1"/>
  <c r="P216" i="2"/>
  <c r="P217" i="2"/>
  <c r="P218" i="2"/>
  <c r="P219" i="2"/>
  <c r="Q219" i="2" s="1"/>
  <c r="P220" i="2"/>
  <c r="P221" i="2"/>
  <c r="P222" i="2"/>
  <c r="P223" i="2"/>
  <c r="Q223" i="2" s="1"/>
  <c r="P224" i="2"/>
  <c r="P225" i="2"/>
  <c r="P226" i="2"/>
  <c r="Q226" i="2" s="1"/>
  <c r="P227" i="2"/>
  <c r="Q227" i="2" s="1"/>
  <c r="P228" i="2"/>
  <c r="P229" i="2"/>
  <c r="P230" i="2"/>
  <c r="P231" i="2"/>
  <c r="Q231" i="2" s="1"/>
  <c r="P232" i="2"/>
  <c r="P233" i="2"/>
  <c r="P234" i="2"/>
  <c r="P235" i="2"/>
  <c r="Q235" i="2" s="1"/>
  <c r="P236" i="2"/>
  <c r="P237" i="2"/>
  <c r="P238" i="2"/>
  <c r="P239" i="2"/>
  <c r="Q239" i="2" s="1"/>
  <c r="P240" i="2"/>
  <c r="P241" i="2"/>
  <c r="P242" i="2"/>
  <c r="Q242" i="2" s="1"/>
  <c r="P243" i="2"/>
  <c r="Q243" i="2" s="1"/>
  <c r="P244" i="2"/>
  <c r="P245" i="2"/>
  <c r="P246" i="2"/>
  <c r="P247" i="2"/>
  <c r="Q247" i="2" s="1"/>
  <c r="P248" i="2"/>
  <c r="P249" i="2"/>
  <c r="P250" i="2"/>
  <c r="P251" i="2"/>
  <c r="Q251" i="2" s="1"/>
  <c r="P252" i="2"/>
  <c r="P253" i="2"/>
  <c r="P254" i="2"/>
  <c r="P255" i="2"/>
  <c r="Q255" i="2" s="1"/>
  <c r="P256" i="2"/>
  <c r="P257" i="2"/>
  <c r="P258" i="2"/>
  <c r="Q258" i="2" s="1"/>
  <c r="P259" i="2"/>
  <c r="Q259" i="2" s="1"/>
  <c r="P260" i="2"/>
  <c r="P261" i="2"/>
  <c r="P262" i="2"/>
  <c r="P263" i="2"/>
  <c r="Q263" i="2" s="1"/>
  <c r="P264" i="2"/>
  <c r="P265" i="2"/>
  <c r="P266" i="2"/>
  <c r="P267" i="2"/>
  <c r="Q267" i="2" s="1"/>
  <c r="P268" i="2"/>
  <c r="P269" i="2"/>
  <c r="P270" i="2"/>
  <c r="P271" i="2"/>
  <c r="Q271" i="2" s="1"/>
  <c r="P272" i="2"/>
  <c r="P273" i="2"/>
  <c r="P274" i="2"/>
  <c r="Q274" i="2" s="1"/>
  <c r="P275" i="2"/>
  <c r="Q275" i="2" s="1"/>
  <c r="P276" i="2"/>
  <c r="P277" i="2"/>
  <c r="P278" i="2"/>
  <c r="P279" i="2"/>
  <c r="Q279" i="2" s="1"/>
  <c r="P280" i="2"/>
  <c r="P281" i="2"/>
  <c r="P282" i="2"/>
  <c r="P283" i="2"/>
  <c r="Q283" i="2" s="1"/>
  <c r="P284" i="2"/>
  <c r="P285" i="2"/>
  <c r="P286" i="2"/>
  <c r="P287" i="2"/>
  <c r="Q287" i="2" s="1"/>
  <c r="P288" i="2"/>
  <c r="P289" i="2"/>
  <c r="P290" i="2"/>
  <c r="Q290" i="2" s="1"/>
  <c r="P291" i="2"/>
  <c r="Q291" i="2" s="1"/>
  <c r="P292" i="2"/>
  <c r="P293" i="2"/>
  <c r="P294" i="2"/>
  <c r="P295" i="2"/>
  <c r="Q295" i="2" s="1"/>
  <c r="P296" i="2"/>
  <c r="P297" i="2"/>
  <c r="P298" i="2"/>
  <c r="P299" i="2"/>
  <c r="Q299" i="2" s="1"/>
  <c r="P300" i="2"/>
  <c r="P301" i="2"/>
  <c r="P302" i="2"/>
  <c r="P303" i="2"/>
  <c r="Q303" i="2" s="1"/>
  <c r="P304" i="2"/>
  <c r="P305" i="2"/>
  <c r="P306" i="2"/>
  <c r="Q306" i="2" s="1"/>
  <c r="P307" i="2"/>
  <c r="Q307" i="2" s="1"/>
  <c r="P308" i="2"/>
  <c r="P309" i="2"/>
  <c r="P310" i="2"/>
  <c r="P311" i="2"/>
  <c r="Q311" i="2" s="1"/>
  <c r="P312" i="2"/>
  <c r="P313" i="2"/>
  <c r="P314" i="2"/>
  <c r="P315" i="2"/>
  <c r="Q315" i="2" s="1"/>
  <c r="P316" i="2"/>
  <c r="P317" i="2"/>
  <c r="P318" i="2"/>
  <c r="P319" i="2"/>
  <c r="Q319" i="2" s="1"/>
  <c r="P320" i="2"/>
  <c r="P321" i="2"/>
  <c r="P322" i="2"/>
  <c r="Q322" i="2" s="1"/>
  <c r="P323" i="2"/>
  <c r="Q323" i="2" s="1"/>
  <c r="P324" i="2"/>
  <c r="P325" i="2"/>
  <c r="P326" i="2"/>
  <c r="P327" i="2"/>
  <c r="Q327" i="2" s="1"/>
  <c r="P328" i="2"/>
  <c r="P329" i="2"/>
  <c r="P330" i="2"/>
  <c r="P331" i="2"/>
  <c r="Q331" i="2" s="1"/>
  <c r="P332" i="2"/>
  <c r="P333" i="2"/>
  <c r="P334" i="2"/>
  <c r="P335" i="2"/>
  <c r="Q335" i="2" s="1"/>
  <c r="P336" i="2"/>
  <c r="P337" i="2"/>
  <c r="P338" i="2"/>
  <c r="Q338" i="2" s="1"/>
  <c r="P339" i="2"/>
  <c r="Q339" i="2" s="1"/>
  <c r="P340" i="2"/>
  <c r="P341" i="2"/>
  <c r="P342" i="2"/>
  <c r="P343" i="2"/>
  <c r="Q343" i="2" s="1"/>
  <c r="P344" i="2"/>
  <c r="P345" i="2"/>
  <c r="P346" i="2"/>
  <c r="P347" i="2"/>
  <c r="Q347" i="2" s="1"/>
  <c r="P348" i="2"/>
  <c r="P349" i="2"/>
  <c r="P350" i="2"/>
  <c r="P351" i="2"/>
  <c r="Q351" i="2" s="1"/>
  <c r="P352" i="2"/>
  <c r="P353" i="2"/>
  <c r="P354" i="2"/>
  <c r="Q354" i="2" s="1"/>
  <c r="P355" i="2"/>
  <c r="Q355" i="2" s="1"/>
  <c r="P356" i="2"/>
  <c r="P357" i="2"/>
  <c r="P358" i="2"/>
  <c r="P359" i="2"/>
  <c r="Q359" i="2" s="1"/>
  <c r="P360" i="2"/>
  <c r="P361" i="2"/>
  <c r="P362" i="2"/>
  <c r="P363" i="2"/>
  <c r="Q363" i="2" s="1"/>
  <c r="P364" i="2"/>
  <c r="P365" i="2"/>
  <c r="P366" i="2"/>
  <c r="P367" i="2"/>
  <c r="Q367" i="2" s="1"/>
  <c r="P368" i="2"/>
  <c r="P369" i="2"/>
  <c r="P370" i="2"/>
  <c r="Q370" i="2" s="1"/>
  <c r="P371" i="2"/>
  <c r="Q371" i="2" s="1"/>
  <c r="P372" i="2"/>
  <c r="P373" i="2"/>
  <c r="P374" i="2"/>
  <c r="P375" i="2"/>
  <c r="Q375" i="2" s="1"/>
  <c r="P376" i="2"/>
  <c r="P377" i="2"/>
  <c r="P378" i="2"/>
  <c r="P379" i="2"/>
  <c r="Q379" i="2" s="1"/>
  <c r="P380" i="2"/>
  <c r="P381" i="2"/>
  <c r="P382" i="2"/>
  <c r="P383" i="2"/>
  <c r="Q383" i="2" s="1"/>
  <c r="P384" i="2"/>
  <c r="P385" i="2"/>
  <c r="P386" i="2"/>
  <c r="P387" i="2"/>
  <c r="Q387" i="2" s="1"/>
  <c r="P388" i="2"/>
  <c r="P389" i="2"/>
  <c r="P390" i="2"/>
  <c r="P391" i="2"/>
  <c r="Q391" i="2" s="1"/>
  <c r="P392" i="2"/>
  <c r="P393" i="2"/>
  <c r="O5" i="2"/>
  <c r="R5" i="2" s="1"/>
  <c r="O6" i="2"/>
  <c r="R6" i="2" s="1"/>
  <c r="O7" i="2"/>
  <c r="R7" i="2" s="1"/>
  <c r="O8" i="2"/>
  <c r="R8" i="2" s="1"/>
  <c r="O9" i="2"/>
  <c r="R9" i="2" s="1"/>
  <c r="O10" i="2"/>
  <c r="R10" i="2" s="1"/>
  <c r="O11" i="2"/>
  <c r="O12" i="2"/>
  <c r="R12" i="2" s="1"/>
  <c r="O13" i="2"/>
  <c r="R13" i="2" s="1"/>
  <c r="O14" i="2"/>
  <c r="R14" i="2" s="1"/>
  <c r="O15" i="2"/>
  <c r="O16" i="2"/>
  <c r="R16" i="2" s="1"/>
  <c r="O17" i="2"/>
  <c r="R17" i="2" s="1"/>
  <c r="O18" i="2"/>
  <c r="R18" i="2" s="1"/>
  <c r="O19" i="2"/>
  <c r="O20" i="2"/>
  <c r="R20" i="2" s="1"/>
  <c r="O21" i="2"/>
  <c r="R21" i="2" s="1"/>
  <c r="O22" i="2"/>
  <c r="R22" i="2" s="1"/>
  <c r="O23" i="2"/>
  <c r="O24" i="2"/>
  <c r="R24" i="2" s="1"/>
  <c r="O25" i="2"/>
  <c r="R25" i="2" s="1"/>
  <c r="O26" i="2"/>
  <c r="R26" i="2" s="1"/>
  <c r="O27" i="2"/>
  <c r="O28" i="2"/>
  <c r="R28" i="2" s="1"/>
  <c r="O29" i="2"/>
  <c r="R29" i="2" s="1"/>
  <c r="O30" i="2"/>
  <c r="R30" i="2" s="1"/>
  <c r="O31" i="2"/>
  <c r="O32" i="2"/>
  <c r="R32" i="2" s="1"/>
  <c r="O33" i="2"/>
  <c r="R33" i="2" s="1"/>
  <c r="O34" i="2"/>
  <c r="R34" i="2" s="1"/>
  <c r="O35" i="2"/>
  <c r="O36" i="2"/>
  <c r="R36" i="2" s="1"/>
  <c r="O37" i="2"/>
  <c r="R37" i="2" s="1"/>
  <c r="O38" i="2"/>
  <c r="R38" i="2" s="1"/>
  <c r="O39" i="2"/>
  <c r="O40" i="2"/>
  <c r="R40" i="2" s="1"/>
  <c r="O41" i="2"/>
  <c r="R41" i="2" s="1"/>
  <c r="O42" i="2"/>
  <c r="R42" i="2" s="1"/>
  <c r="O43" i="2"/>
  <c r="O44" i="2"/>
  <c r="R44" i="2" s="1"/>
  <c r="O45" i="2"/>
  <c r="R45" i="2" s="1"/>
  <c r="O46" i="2"/>
  <c r="R46" i="2" s="1"/>
  <c r="O47" i="2"/>
  <c r="O48" i="2"/>
  <c r="R48" i="2" s="1"/>
  <c r="O49" i="2"/>
  <c r="R49" i="2" s="1"/>
  <c r="O50" i="2"/>
  <c r="R50" i="2" s="1"/>
  <c r="O51" i="2"/>
  <c r="O52" i="2"/>
  <c r="R52" i="2" s="1"/>
  <c r="O53" i="2"/>
  <c r="R53" i="2" s="1"/>
  <c r="O54" i="2"/>
  <c r="R54" i="2" s="1"/>
  <c r="O55" i="2"/>
  <c r="O56" i="2"/>
  <c r="R56" i="2" s="1"/>
  <c r="O57" i="2"/>
  <c r="R57" i="2" s="1"/>
  <c r="O58" i="2"/>
  <c r="R58" i="2" s="1"/>
  <c r="O59" i="2"/>
  <c r="O60" i="2"/>
  <c r="R60" i="2" s="1"/>
  <c r="O61" i="2"/>
  <c r="R61" i="2" s="1"/>
  <c r="O62" i="2"/>
  <c r="R62" i="2" s="1"/>
  <c r="O63" i="2"/>
  <c r="O64" i="2"/>
  <c r="R64" i="2" s="1"/>
  <c r="O65" i="2"/>
  <c r="R65" i="2" s="1"/>
  <c r="O66" i="2"/>
  <c r="R66" i="2" s="1"/>
  <c r="O67" i="2"/>
  <c r="O68" i="2"/>
  <c r="R68" i="2" s="1"/>
  <c r="O69" i="2"/>
  <c r="R69" i="2" s="1"/>
  <c r="O70" i="2"/>
  <c r="R70" i="2" s="1"/>
  <c r="O71" i="2"/>
  <c r="O72" i="2"/>
  <c r="R72" i="2" s="1"/>
  <c r="O73" i="2"/>
  <c r="R73" i="2" s="1"/>
  <c r="O74" i="2"/>
  <c r="R74" i="2" s="1"/>
  <c r="O75" i="2"/>
  <c r="O76" i="2"/>
  <c r="R76" i="2" s="1"/>
  <c r="O77" i="2"/>
  <c r="R77" i="2" s="1"/>
  <c r="O78" i="2"/>
  <c r="R78" i="2" s="1"/>
  <c r="O79" i="2"/>
  <c r="O80" i="2"/>
  <c r="R80" i="2" s="1"/>
  <c r="O81" i="2"/>
  <c r="R81" i="2" s="1"/>
  <c r="O82" i="2"/>
  <c r="R82" i="2" s="1"/>
  <c r="O83" i="2"/>
  <c r="O84" i="2"/>
  <c r="R84" i="2" s="1"/>
  <c r="O85" i="2"/>
  <c r="O86" i="2"/>
  <c r="R86" i="2" s="1"/>
  <c r="O87" i="2"/>
  <c r="O88" i="2"/>
  <c r="R88" i="2" s="1"/>
  <c r="O89" i="2"/>
  <c r="R89" i="2" s="1"/>
  <c r="O90" i="2"/>
  <c r="R90" i="2" s="1"/>
  <c r="O91" i="2"/>
  <c r="O92" i="2"/>
  <c r="R92" i="2" s="1"/>
  <c r="O93" i="2"/>
  <c r="R93" i="2" s="1"/>
  <c r="O94" i="2"/>
  <c r="R94" i="2" s="1"/>
  <c r="O95" i="2"/>
  <c r="O96" i="2"/>
  <c r="R96" i="2" s="1"/>
  <c r="O97" i="2"/>
  <c r="R97" i="2" s="1"/>
  <c r="O98" i="2"/>
  <c r="R98" i="2" s="1"/>
  <c r="O99" i="2"/>
  <c r="O100" i="2"/>
  <c r="R100" i="2" s="1"/>
  <c r="O101" i="2"/>
  <c r="R101" i="2" s="1"/>
  <c r="O102" i="2"/>
  <c r="R102" i="2" s="1"/>
  <c r="O103" i="2"/>
  <c r="O104" i="2"/>
  <c r="R104" i="2" s="1"/>
  <c r="O105" i="2"/>
  <c r="R105" i="2" s="1"/>
  <c r="O106" i="2"/>
  <c r="R106" i="2" s="1"/>
  <c r="O107" i="2"/>
  <c r="O108" i="2"/>
  <c r="R108" i="2" s="1"/>
  <c r="O109" i="2"/>
  <c r="R109" i="2" s="1"/>
  <c r="O110" i="2"/>
  <c r="R110" i="2" s="1"/>
  <c r="O111" i="2"/>
  <c r="O112" i="2"/>
  <c r="R112" i="2" s="1"/>
  <c r="O113" i="2"/>
  <c r="R113" i="2" s="1"/>
  <c r="O114" i="2"/>
  <c r="R114" i="2" s="1"/>
  <c r="O115" i="2"/>
  <c r="O116" i="2"/>
  <c r="R116" i="2" s="1"/>
  <c r="O117" i="2"/>
  <c r="R117" i="2" s="1"/>
  <c r="O118" i="2"/>
  <c r="R118" i="2" s="1"/>
  <c r="O119" i="2"/>
  <c r="O120" i="2"/>
  <c r="R120" i="2" s="1"/>
  <c r="O121" i="2"/>
  <c r="R121" i="2" s="1"/>
  <c r="O122" i="2"/>
  <c r="R122" i="2" s="1"/>
  <c r="O123" i="2"/>
  <c r="O124" i="2"/>
  <c r="R124" i="2" s="1"/>
  <c r="O125" i="2"/>
  <c r="R125" i="2" s="1"/>
  <c r="O126" i="2"/>
  <c r="R126" i="2" s="1"/>
  <c r="O127" i="2"/>
  <c r="O128" i="2"/>
  <c r="R128" i="2" s="1"/>
  <c r="O129" i="2"/>
  <c r="R129" i="2" s="1"/>
  <c r="O130" i="2"/>
  <c r="R130" i="2" s="1"/>
  <c r="O131" i="2"/>
  <c r="O132" i="2"/>
  <c r="R132" i="2" s="1"/>
  <c r="O133" i="2"/>
  <c r="R133" i="2" s="1"/>
  <c r="O134" i="2"/>
  <c r="R134" i="2" s="1"/>
  <c r="O135" i="2"/>
  <c r="O136" i="2"/>
  <c r="R136" i="2" s="1"/>
  <c r="O137" i="2"/>
  <c r="R137" i="2" s="1"/>
  <c r="O138" i="2"/>
  <c r="R138" i="2" s="1"/>
  <c r="O139" i="2"/>
  <c r="O140" i="2"/>
  <c r="R140" i="2" s="1"/>
  <c r="O141" i="2"/>
  <c r="R141" i="2" s="1"/>
  <c r="O142" i="2"/>
  <c r="R142" i="2" s="1"/>
  <c r="O143" i="2"/>
  <c r="O144" i="2"/>
  <c r="R144" i="2" s="1"/>
  <c r="O145" i="2"/>
  <c r="R145" i="2" s="1"/>
  <c r="O146" i="2"/>
  <c r="R146" i="2" s="1"/>
  <c r="O147" i="2"/>
  <c r="O148" i="2"/>
  <c r="R148" i="2" s="1"/>
  <c r="O149" i="2"/>
  <c r="R149" i="2" s="1"/>
  <c r="O150" i="2"/>
  <c r="R150" i="2" s="1"/>
  <c r="O151" i="2"/>
  <c r="O152" i="2"/>
  <c r="R152" i="2" s="1"/>
  <c r="O153" i="2"/>
  <c r="R153" i="2" s="1"/>
  <c r="O154" i="2"/>
  <c r="R154" i="2" s="1"/>
  <c r="O155" i="2"/>
  <c r="O156" i="2"/>
  <c r="R156" i="2" s="1"/>
  <c r="O157" i="2"/>
  <c r="R157" i="2" s="1"/>
  <c r="O158" i="2"/>
  <c r="R158" i="2" s="1"/>
  <c r="O159" i="2"/>
  <c r="O160" i="2"/>
  <c r="R160" i="2" s="1"/>
  <c r="O161" i="2"/>
  <c r="R161" i="2" s="1"/>
  <c r="O162" i="2"/>
  <c r="R162" i="2" s="1"/>
  <c r="O163" i="2"/>
  <c r="O164" i="2"/>
  <c r="R164" i="2" s="1"/>
  <c r="O165" i="2"/>
  <c r="R165" i="2" s="1"/>
  <c r="O166" i="2"/>
  <c r="R166" i="2" s="1"/>
  <c r="O167" i="2"/>
  <c r="O168" i="2"/>
  <c r="R168" i="2" s="1"/>
  <c r="O169" i="2"/>
  <c r="R169" i="2" s="1"/>
  <c r="O170" i="2"/>
  <c r="R170" i="2" s="1"/>
  <c r="O171" i="2"/>
  <c r="O172" i="2"/>
  <c r="R172" i="2" s="1"/>
  <c r="O173" i="2"/>
  <c r="R173" i="2" s="1"/>
  <c r="O174" i="2"/>
  <c r="R174" i="2" s="1"/>
  <c r="O175" i="2"/>
  <c r="O176" i="2"/>
  <c r="R176" i="2" s="1"/>
  <c r="O177" i="2"/>
  <c r="R177" i="2" s="1"/>
  <c r="O178" i="2"/>
  <c r="R178" i="2" s="1"/>
  <c r="O179" i="2"/>
  <c r="O180" i="2"/>
  <c r="R180" i="2" s="1"/>
  <c r="O181" i="2"/>
  <c r="R181" i="2" s="1"/>
  <c r="O182" i="2"/>
  <c r="R182" i="2" s="1"/>
  <c r="O183" i="2"/>
  <c r="O184" i="2"/>
  <c r="R184" i="2" s="1"/>
  <c r="O185" i="2"/>
  <c r="R185" i="2" s="1"/>
  <c r="O186" i="2"/>
  <c r="R186" i="2" s="1"/>
  <c r="O187" i="2"/>
  <c r="O188" i="2"/>
  <c r="R188" i="2" s="1"/>
  <c r="O189" i="2"/>
  <c r="R189" i="2" s="1"/>
  <c r="O190" i="2"/>
  <c r="R190" i="2" s="1"/>
  <c r="O191" i="2"/>
  <c r="O192" i="2"/>
  <c r="R192" i="2" s="1"/>
  <c r="O193" i="2"/>
  <c r="R193" i="2" s="1"/>
  <c r="O194" i="2"/>
  <c r="R194" i="2" s="1"/>
  <c r="O195" i="2"/>
  <c r="O196" i="2"/>
  <c r="R196" i="2" s="1"/>
  <c r="O197" i="2"/>
  <c r="R197" i="2" s="1"/>
  <c r="O198" i="2"/>
  <c r="R198" i="2" s="1"/>
  <c r="O199" i="2"/>
  <c r="O200" i="2"/>
  <c r="R200" i="2" s="1"/>
  <c r="O201" i="2"/>
  <c r="R201" i="2" s="1"/>
  <c r="O202" i="2"/>
  <c r="R202" i="2" s="1"/>
  <c r="O203" i="2"/>
  <c r="O204" i="2"/>
  <c r="R204" i="2" s="1"/>
  <c r="O205" i="2"/>
  <c r="R205" i="2" s="1"/>
  <c r="O206" i="2"/>
  <c r="R206" i="2" s="1"/>
  <c r="O207" i="2"/>
  <c r="O208" i="2"/>
  <c r="R208" i="2" s="1"/>
  <c r="O209" i="2"/>
  <c r="R209" i="2" s="1"/>
  <c r="O210" i="2"/>
  <c r="R210" i="2" s="1"/>
  <c r="O211" i="2"/>
  <c r="O212" i="2"/>
  <c r="R212" i="2" s="1"/>
  <c r="O213" i="2"/>
  <c r="R213" i="2" s="1"/>
  <c r="O214" i="2"/>
  <c r="R214" i="2" s="1"/>
  <c r="O215" i="2"/>
  <c r="O216" i="2"/>
  <c r="R216" i="2" s="1"/>
  <c r="O217" i="2"/>
  <c r="R217" i="2" s="1"/>
  <c r="O218" i="2"/>
  <c r="R218" i="2" s="1"/>
  <c r="O219" i="2"/>
  <c r="O220" i="2"/>
  <c r="R220" i="2" s="1"/>
  <c r="O221" i="2"/>
  <c r="R221" i="2" s="1"/>
  <c r="O222" i="2"/>
  <c r="R222" i="2" s="1"/>
  <c r="O223" i="2"/>
  <c r="O224" i="2"/>
  <c r="R224" i="2" s="1"/>
  <c r="O225" i="2"/>
  <c r="R225" i="2" s="1"/>
  <c r="O226" i="2"/>
  <c r="R226" i="2" s="1"/>
  <c r="O227" i="2"/>
  <c r="O228" i="2"/>
  <c r="R228" i="2" s="1"/>
  <c r="O229" i="2"/>
  <c r="R229" i="2" s="1"/>
  <c r="O230" i="2"/>
  <c r="R230" i="2" s="1"/>
  <c r="O231" i="2"/>
  <c r="O232" i="2"/>
  <c r="R232" i="2" s="1"/>
  <c r="O233" i="2"/>
  <c r="R233" i="2" s="1"/>
  <c r="O234" i="2"/>
  <c r="R234" i="2" s="1"/>
  <c r="O235" i="2"/>
  <c r="O236" i="2"/>
  <c r="R236" i="2" s="1"/>
  <c r="O237" i="2"/>
  <c r="R237" i="2" s="1"/>
  <c r="O238" i="2"/>
  <c r="R238" i="2" s="1"/>
  <c r="O239" i="2"/>
  <c r="O240" i="2"/>
  <c r="R240" i="2" s="1"/>
  <c r="O241" i="2"/>
  <c r="R241" i="2" s="1"/>
  <c r="O242" i="2"/>
  <c r="R242" i="2" s="1"/>
  <c r="O243" i="2"/>
  <c r="O244" i="2"/>
  <c r="R244" i="2" s="1"/>
  <c r="O245" i="2"/>
  <c r="R245" i="2" s="1"/>
  <c r="O246" i="2"/>
  <c r="R246" i="2" s="1"/>
  <c r="O247" i="2"/>
  <c r="O248" i="2"/>
  <c r="R248" i="2" s="1"/>
  <c r="O249" i="2"/>
  <c r="R249" i="2" s="1"/>
  <c r="O250" i="2"/>
  <c r="R250" i="2" s="1"/>
  <c r="O251" i="2"/>
  <c r="O252" i="2"/>
  <c r="R252" i="2" s="1"/>
  <c r="O253" i="2"/>
  <c r="R253" i="2" s="1"/>
  <c r="O254" i="2"/>
  <c r="R254" i="2" s="1"/>
  <c r="O255" i="2"/>
  <c r="O256" i="2"/>
  <c r="R256" i="2" s="1"/>
  <c r="O257" i="2"/>
  <c r="R257" i="2" s="1"/>
  <c r="O258" i="2"/>
  <c r="R258" i="2" s="1"/>
  <c r="O259" i="2"/>
  <c r="O260" i="2"/>
  <c r="R260" i="2" s="1"/>
  <c r="O261" i="2"/>
  <c r="R261" i="2" s="1"/>
  <c r="O262" i="2"/>
  <c r="R262" i="2" s="1"/>
  <c r="O263" i="2"/>
  <c r="O264" i="2"/>
  <c r="R264" i="2" s="1"/>
  <c r="O265" i="2"/>
  <c r="R265" i="2" s="1"/>
  <c r="O266" i="2"/>
  <c r="R266" i="2" s="1"/>
  <c r="O267" i="2"/>
  <c r="O268" i="2"/>
  <c r="R268" i="2" s="1"/>
  <c r="O269" i="2"/>
  <c r="R269" i="2" s="1"/>
  <c r="O270" i="2"/>
  <c r="R270" i="2" s="1"/>
  <c r="O271" i="2"/>
  <c r="O272" i="2"/>
  <c r="R272" i="2" s="1"/>
  <c r="O273" i="2"/>
  <c r="R273" i="2" s="1"/>
  <c r="O274" i="2"/>
  <c r="R274" i="2" s="1"/>
  <c r="O275" i="2"/>
  <c r="O276" i="2"/>
  <c r="R276" i="2" s="1"/>
  <c r="O277" i="2"/>
  <c r="R277" i="2" s="1"/>
  <c r="O278" i="2"/>
  <c r="R278" i="2" s="1"/>
  <c r="O279" i="2"/>
  <c r="O280" i="2"/>
  <c r="R280" i="2" s="1"/>
  <c r="O281" i="2"/>
  <c r="R281" i="2" s="1"/>
  <c r="O282" i="2"/>
  <c r="R282" i="2" s="1"/>
  <c r="O283" i="2"/>
  <c r="O284" i="2"/>
  <c r="R284" i="2" s="1"/>
  <c r="O285" i="2"/>
  <c r="R285" i="2" s="1"/>
  <c r="O286" i="2"/>
  <c r="R286" i="2" s="1"/>
  <c r="O287" i="2"/>
  <c r="O288" i="2"/>
  <c r="R288" i="2" s="1"/>
  <c r="O289" i="2"/>
  <c r="R289" i="2" s="1"/>
  <c r="O290" i="2"/>
  <c r="R290" i="2" s="1"/>
  <c r="O291" i="2"/>
  <c r="O292" i="2"/>
  <c r="R292" i="2" s="1"/>
  <c r="O293" i="2"/>
  <c r="R293" i="2" s="1"/>
  <c r="O294" i="2"/>
  <c r="R294" i="2" s="1"/>
  <c r="O295" i="2"/>
  <c r="O296" i="2"/>
  <c r="R296" i="2" s="1"/>
  <c r="O297" i="2"/>
  <c r="R297" i="2" s="1"/>
  <c r="O298" i="2"/>
  <c r="R298" i="2" s="1"/>
  <c r="O299" i="2"/>
  <c r="O300" i="2"/>
  <c r="R300" i="2" s="1"/>
  <c r="O301" i="2"/>
  <c r="R301" i="2" s="1"/>
  <c r="O302" i="2"/>
  <c r="R302" i="2" s="1"/>
  <c r="O303" i="2"/>
  <c r="O304" i="2"/>
  <c r="R304" i="2" s="1"/>
  <c r="O305" i="2"/>
  <c r="R305" i="2" s="1"/>
  <c r="O306" i="2"/>
  <c r="R306" i="2" s="1"/>
  <c r="O307" i="2"/>
  <c r="O308" i="2"/>
  <c r="R308" i="2" s="1"/>
  <c r="O309" i="2"/>
  <c r="R309" i="2" s="1"/>
  <c r="O310" i="2"/>
  <c r="R310" i="2" s="1"/>
  <c r="O311" i="2"/>
  <c r="O312" i="2"/>
  <c r="R312" i="2" s="1"/>
  <c r="O313" i="2"/>
  <c r="R313" i="2" s="1"/>
  <c r="O314" i="2"/>
  <c r="R314" i="2" s="1"/>
  <c r="O315" i="2"/>
  <c r="O316" i="2"/>
  <c r="R316" i="2" s="1"/>
  <c r="O317" i="2"/>
  <c r="R317" i="2" s="1"/>
  <c r="O318" i="2"/>
  <c r="R318" i="2" s="1"/>
  <c r="O319" i="2"/>
  <c r="O320" i="2"/>
  <c r="R320" i="2" s="1"/>
  <c r="O321" i="2"/>
  <c r="R321" i="2" s="1"/>
  <c r="O322" i="2"/>
  <c r="R322" i="2" s="1"/>
  <c r="O323" i="2"/>
  <c r="O324" i="2"/>
  <c r="R324" i="2" s="1"/>
  <c r="O325" i="2"/>
  <c r="R325" i="2" s="1"/>
  <c r="O326" i="2"/>
  <c r="R326" i="2" s="1"/>
  <c r="O327" i="2"/>
  <c r="O328" i="2"/>
  <c r="R328" i="2" s="1"/>
  <c r="O329" i="2"/>
  <c r="R329" i="2" s="1"/>
  <c r="O330" i="2"/>
  <c r="R330" i="2" s="1"/>
  <c r="O331" i="2"/>
  <c r="O332" i="2"/>
  <c r="R332" i="2" s="1"/>
  <c r="O333" i="2"/>
  <c r="R333" i="2" s="1"/>
  <c r="O334" i="2"/>
  <c r="R334" i="2" s="1"/>
  <c r="O335" i="2"/>
  <c r="O336" i="2"/>
  <c r="R336" i="2" s="1"/>
  <c r="O337" i="2"/>
  <c r="R337" i="2" s="1"/>
  <c r="O338" i="2"/>
  <c r="R338" i="2" s="1"/>
  <c r="O339" i="2"/>
  <c r="O340" i="2"/>
  <c r="R340" i="2" s="1"/>
  <c r="O341" i="2"/>
  <c r="R341" i="2" s="1"/>
  <c r="O342" i="2"/>
  <c r="R342" i="2" s="1"/>
  <c r="O343" i="2"/>
  <c r="O344" i="2"/>
  <c r="R344" i="2" s="1"/>
  <c r="O345" i="2"/>
  <c r="R345" i="2" s="1"/>
  <c r="O346" i="2"/>
  <c r="R346" i="2" s="1"/>
  <c r="O347" i="2"/>
  <c r="O348" i="2"/>
  <c r="R348" i="2" s="1"/>
  <c r="O349" i="2"/>
  <c r="R349" i="2" s="1"/>
  <c r="O350" i="2"/>
  <c r="R350" i="2" s="1"/>
  <c r="O351" i="2"/>
  <c r="O352" i="2"/>
  <c r="R352" i="2" s="1"/>
  <c r="O353" i="2"/>
  <c r="R353" i="2" s="1"/>
  <c r="O354" i="2"/>
  <c r="R354" i="2" s="1"/>
  <c r="O355" i="2"/>
  <c r="O356" i="2"/>
  <c r="R356" i="2" s="1"/>
  <c r="O357" i="2"/>
  <c r="R357" i="2" s="1"/>
  <c r="O358" i="2"/>
  <c r="R358" i="2" s="1"/>
  <c r="O359" i="2"/>
  <c r="O360" i="2"/>
  <c r="R360" i="2" s="1"/>
  <c r="O361" i="2"/>
  <c r="R361" i="2" s="1"/>
  <c r="O362" i="2"/>
  <c r="R362" i="2" s="1"/>
  <c r="O363" i="2"/>
  <c r="O364" i="2"/>
  <c r="R364" i="2" s="1"/>
  <c r="O365" i="2"/>
  <c r="R365" i="2" s="1"/>
  <c r="O366" i="2"/>
  <c r="R366" i="2" s="1"/>
  <c r="O367" i="2"/>
  <c r="O368" i="2"/>
  <c r="R368" i="2" s="1"/>
  <c r="O369" i="2"/>
  <c r="R369" i="2" s="1"/>
  <c r="O370" i="2"/>
  <c r="R370" i="2" s="1"/>
  <c r="O371" i="2"/>
  <c r="O372" i="2"/>
  <c r="R372" i="2" s="1"/>
  <c r="O373" i="2"/>
  <c r="R373" i="2" s="1"/>
  <c r="O374" i="2"/>
  <c r="R374" i="2" s="1"/>
  <c r="O375" i="2"/>
  <c r="O376" i="2"/>
  <c r="R376" i="2" s="1"/>
  <c r="O377" i="2"/>
  <c r="R377" i="2" s="1"/>
  <c r="O378" i="2"/>
  <c r="R378" i="2" s="1"/>
  <c r="O379" i="2"/>
  <c r="O380" i="2"/>
  <c r="R380" i="2" s="1"/>
  <c r="O381" i="2"/>
  <c r="R381" i="2" s="1"/>
  <c r="O382" i="2"/>
  <c r="R382" i="2" s="1"/>
  <c r="O383" i="2"/>
  <c r="O384" i="2"/>
  <c r="R384" i="2" s="1"/>
  <c r="O385" i="2"/>
  <c r="R385" i="2" s="1"/>
  <c r="O386" i="2"/>
  <c r="R386" i="2" s="1"/>
  <c r="O387" i="2"/>
  <c r="O388" i="2"/>
  <c r="R388" i="2" s="1"/>
  <c r="O389" i="2"/>
  <c r="R389" i="2" s="1"/>
  <c r="O390" i="2"/>
  <c r="R390" i="2" s="1"/>
  <c r="O391" i="2"/>
  <c r="O392" i="2"/>
  <c r="R392" i="2" s="1"/>
  <c r="O393" i="2"/>
  <c r="R393" i="2" s="1"/>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Q7" i="2"/>
  <c r="Q8" i="2"/>
  <c r="Q9" i="2"/>
  <c r="Q12" i="2"/>
  <c r="Q13" i="2"/>
  <c r="Q16" i="2"/>
  <c r="Q17" i="2"/>
  <c r="Q20" i="2"/>
  <c r="Q21" i="2"/>
  <c r="Q24" i="2"/>
  <c r="Q25" i="2"/>
  <c r="Q28" i="2"/>
  <c r="Q29" i="2"/>
  <c r="Q32" i="2"/>
  <c r="Q33" i="2"/>
  <c r="Q36" i="2"/>
  <c r="Q37" i="2"/>
  <c r="Q40" i="2"/>
  <c r="Q41" i="2"/>
  <c r="Q44" i="2"/>
  <c r="Q45" i="2"/>
  <c r="Q48" i="2"/>
  <c r="Q49" i="2"/>
  <c r="Q52" i="2"/>
  <c r="Q53" i="2"/>
  <c r="Q56" i="2"/>
  <c r="Q57" i="2"/>
  <c r="Q60" i="2"/>
  <c r="Q61" i="2"/>
  <c r="Q64" i="2"/>
  <c r="Q65" i="2"/>
  <c r="Q68" i="2"/>
  <c r="Q69" i="2"/>
  <c r="Q72" i="2"/>
  <c r="Q73" i="2"/>
  <c r="Q76" i="2"/>
  <c r="Q77" i="2"/>
  <c r="Q80" i="2"/>
  <c r="Q81" i="2"/>
  <c r="Q84" i="2"/>
  <c r="Q88" i="2"/>
  <c r="Q89" i="2"/>
  <c r="Q92" i="2"/>
  <c r="Q93" i="2"/>
  <c r="Q96" i="2"/>
  <c r="Q97" i="2"/>
  <c r="Q100" i="2"/>
  <c r="Q101" i="2"/>
  <c r="Q104" i="2"/>
  <c r="Q105" i="2"/>
  <c r="Q108" i="2"/>
  <c r="Q109" i="2"/>
  <c r="Q112" i="2"/>
  <c r="Q113" i="2"/>
  <c r="Q116" i="2"/>
  <c r="Q117" i="2"/>
  <c r="Q121" i="2"/>
  <c r="Q124" i="2"/>
  <c r="Q125" i="2"/>
  <c r="Q128" i="2"/>
  <c r="Q129" i="2"/>
  <c r="Q132" i="2"/>
  <c r="Q133" i="2"/>
  <c r="Q136" i="2"/>
  <c r="Q137" i="2"/>
  <c r="Q140" i="2"/>
  <c r="Q141" i="2"/>
  <c r="Q144" i="2"/>
  <c r="Q145" i="2"/>
  <c r="Q148" i="2"/>
  <c r="Q149" i="2"/>
  <c r="Q152" i="2"/>
  <c r="Q153" i="2"/>
  <c r="Q156" i="2"/>
  <c r="Q157" i="2"/>
  <c r="Q160" i="2"/>
  <c r="Q161" i="2"/>
  <c r="Q164" i="2"/>
  <c r="Q165" i="2"/>
  <c r="Q168" i="2"/>
  <c r="Q169" i="2"/>
  <c r="Q172" i="2"/>
  <c r="Q173" i="2"/>
  <c r="Q176" i="2"/>
  <c r="Q177" i="2"/>
  <c r="Q180" i="2"/>
  <c r="Q181" i="2"/>
  <c r="Q184" i="2"/>
  <c r="Q185" i="2"/>
  <c r="Q188" i="2"/>
  <c r="Q189" i="2"/>
  <c r="Q192" i="2"/>
  <c r="Q193" i="2"/>
  <c r="Q196" i="2"/>
  <c r="Q197" i="2"/>
  <c r="Q200" i="2"/>
  <c r="Q201" i="2"/>
  <c r="Q204" i="2"/>
  <c r="Q205" i="2"/>
  <c r="Q208" i="2"/>
  <c r="Q209" i="2"/>
  <c r="Q212" i="2"/>
  <c r="Q213" i="2"/>
  <c r="Q216" i="2"/>
  <c r="Q217" i="2"/>
  <c r="Q220" i="2"/>
  <c r="Q221" i="2"/>
  <c r="Q224" i="2"/>
  <c r="Q225" i="2"/>
  <c r="Q228" i="2"/>
  <c r="Q229" i="2"/>
  <c r="Q232" i="2"/>
  <c r="Q233" i="2"/>
  <c r="Q236" i="2"/>
  <c r="Q237" i="2"/>
  <c r="Q240" i="2"/>
  <c r="Q241" i="2"/>
  <c r="Q244" i="2"/>
  <c r="Q245" i="2"/>
  <c r="Q248" i="2"/>
  <c r="Q249" i="2"/>
  <c r="Q252" i="2"/>
  <c r="Q253" i="2"/>
  <c r="Q256" i="2"/>
  <c r="Q257" i="2"/>
  <c r="Q260" i="2"/>
  <c r="Q261" i="2"/>
  <c r="Q264" i="2"/>
  <c r="Q265" i="2"/>
  <c r="Q268" i="2"/>
  <c r="Q269" i="2"/>
  <c r="Q272" i="2"/>
  <c r="Q273" i="2"/>
  <c r="Q276" i="2"/>
  <c r="Q277" i="2"/>
  <c r="Q280" i="2"/>
  <c r="Q281" i="2"/>
  <c r="Q284" i="2"/>
  <c r="Q285" i="2"/>
  <c r="Q288" i="2"/>
  <c r="Q289" i="2"/>
  <c r="Q292" i="2"/>
  <c r="Q293" i="2"/>
  <c r="Q296" i="2"/>
  <c r="Q297" i="2"/>
  <c r="Q300" i="2"/>
  <c r="Q301" i="2"/>
  <c r="Q304" i="2"/>
  <c r="Q305" i="2"/>
  <c r="Q308" i="2"/>
  <c r="Q309" i="2"/>
  <c r="Q312" i="2"/>
  <c r="Q313" i="2"/>
  <c r="Q316" i="2"/>
  <c r="Q317" i="2"/>
  <c r="Q320" i="2"/>
  <c r="Q321" i="2"/>
  <c r="Q324" i="2"/>
  <c r="Q325" i="2"/>
  <c r="Q328" i="2"/>
  <c r="Q329" i="2"/>
  <c r="Q332" i="2"/>
  <c r="Q333" i="2"/>
  <c r="Q336" i="2"/>
  <c r="Q337" i="2"/>
  <c r="Q340" i="2"/>
  <c r="Q341" i="2"/>
  <c r="Q344" i="2"/>
  <c r="Q345" i="2"/>
  <c r="Q348" i="2"/>
  <c r="Q349" i="2"/>
  <c r="Q352" i="2"/>
  <c r="Q353" i="2"/>
  <c r="Q356" i="2"/>
  <c r="Q357" i="2"/>
  <c r="Q360" i="2"/>
  <c r="Q361" i="2"/>
  <c r="Q364" i="2"/>
  <c r="Q365" i="2"/>
  <c r="Q368" i="2"/>
  <c r="Q369" i="2"/>
  <c r="Q372" i="2"/>
  <c r="Q373" i="2"/>
  <c r="Q376" i="2"/>
  <c r="Q377" i="2"/>
  <c r="Q380" i="2"/>
  <c r="Q381" i="2"/>
  <c r="Q384" i="2"/>
  <c r="Q385" i="2"/>
  <c r="Q388" i="2"/>
  <c r="Q389" i="2"/>
  <c r="Q392" i="2"/>
  <c r="Q393" i="2"/>
  <c r="B6" i="2"/>
  <c r="C6" i="2"/>
  <c r="D6" i="2"/>
  <c r="E6" i="2"/>
  <c r="F6" i="2"/>
  <c r="G6" i="2"/>
  <c r="H6" i="2"/>
  <c r="I6" i="2"/>
  <c r="J6" i="2"/>
  <c r="K6" i="2"/>
  <c r="L6" i="2"/>
  <c r="B7" i="2"/>
  <c r="C7" i="2"/>
  <c r="D7" i="2"/>
  <c r="E7" i="2"/>
  <c r="F7" i="2"/>
  <c r="G7" i="2"/>
  <c r="H7" i="2"/>
  <c r="I7" i="2"/>
  <c r="J7" i="2"/>
  <c r="K7" i="2"/>
  <c r="L7" i="2"/>
  <c r="B8" i="2"/>
  <c r="C8" i="2"/>
  <c r="D8" i="2"/>
  <c r="E8" i="2"/>
  <c r="F8" i="2"/>
  <c r="G8" i="2"/>
  <c r="H8" i="2"/>
  <c r="I8" i="2"/>
  <c r="J8" i="2"/>
  <c r="K8" i="2"/>
  <c r="L8" i="2"/>
  <c r="B9" i="2"/>
  <c r="C9" i="2"/>
  <c r="D9" i="2"/>
  <c r="E9" i="2"/>
  <c r="F9" i="2"/>
  <c r="G9" i="2"/>
  <c r="H9" i="2"/>
  <c r="I9" i="2"/>
  <c r="J9" i="2"/>
  <c r="K9" i="2"/>
  <c r="L9" i="2"/>
  <c r="B10" i="2"/>
  <c r="C10" i="2"/>
  <c r="D10" i="2"/>
  <c r="E10" i="2"/>
  <c r="F10" i="2"/>
  <c r="G10" i="2"/>
  <c r="H10" i="2"/>
  <c r="I10" i="2"/>
  <c r="J10" i="2"/>
  <c r="K10" i="2"/>
  <c r="L10" i="2"/>
  <c r="B11" i="2"/>
  <c r="C11" i="2"/>
  <c r="D11" i="2"/>
  <c r="E11" i="2"/>
  <c r="F11" i="2"/>
  <c r="G11" i="2"/>
  <c r="H11" i="2"/>
  <c r="I11" i="2"/>
  <c r="J11" i="2"/>
  <c r="K11" i="2"/>
  <c r="L11" i="2"/>
  <c r="B12" i="2"/>
  <c r="C12" i="2"/>
  <c r="D12" i="2"/>
  <c r="E12" i="2"/>
  <c r="F12" i="2"/>
  <c r="G12" i="2"/>
  <c r="H12" i="2"/>
  <c r="I12" i="2"/>
  <c r="J12" i="2"/>
  <c r="K12" i="2"/>
  <c r="L12" i="2"/>
  <c r="B13" i="2"/>
  <c r="C13" i="2"/>
  <c r="D13" i="2"/>
  <c r="E13" i="2"/>
  <c r="F13" i="2"/>
  <c r="G13" i="2"/>
  <c r="H13" i="2"/>
  <c r="I13" i="2"/>
  <c r="J13" i="2"/>
  <c r="K13" i="2"/>
  <c r="L13" i="2"/>
  <c r="B14" i="2"/>
  <c r="C14" i="2"/>
  <c r="D14" i="2"/>
  <c r="E14" i="2"/>
  <c r="F14" i="2"/>
  <c r="G14" i="2"/>
  <c r="H14" i="2"/>
  <c r="I14" i="2"/>
  <c r="J14" i="2"/>
  <c r="K14" i="2"/>
  <c r="L14" i="2"/>
  <c r="B15" i="2"/>
  <c r="C15" i="2"/>
  <c r="D15" i="2"/>
  <c r="E15" i="2"/>
  <c r="F15" i="2"/>
  <c r="G15" i="2"/>
  <c r="H15" i="2"/>
  <c r="I15" i="2"/>
  <c r="J15" i="2"/>
  <c r="K15" i="2"/>
  <c r="L15" i="2"/>
  <c r="B16" i="2"/>
  <c r="C16" i="2"/>
  <c r="D16" i="2"/>
  <c r="E16" i="2"/>
  <c r="F16" i="2"/>
  <c r="G16" i="2"/>
  <c r="H16" i="2"/>
  <c r="I16" i="2"/>
  <c r="J16" i="2"/>
  <c r="K16" i="2"/>
  <c r="L16" i="2"/>
  <c r="B17" i="2"/>
  <c r="C17" i="2"/>
  <c r="D17" i="2"/>
  <c r="E17" i="2"/>
  <c r="F17" i="2"/>
  <c r="G17" i="2"/>
  <c r="H17" i="2"/>
  <c r="I17" i="2"/>
  <c r="J17" i="2"/>
  <c r="K17" i="2"/>
  <c r="L17" i="2"/>
  <c r="B18" i="2"/>
  <c r="C18" i="2"/>
  <c r="D18" i="2"/>
  <c r="E18" i="2"/>
  <c r="F18" i="2"/>
  <c r="G18" i="2"/>
  <c r="H18" i="2"/>
  <c r="I18" i="2"/>
  <c r="J18" i="2"/>
  <c r="K18" i="2"/>
  <c r="L18" i="2"/>
  <c r="B19" i="2"/>
  <c r="C19" i="2"/>
  <c r="D19" i="2"/>
  <c r="E19" i="2"/>
  <c r="F19" i="2"/>
  <c r="G19" i="2"/>
  <c r="H19" i="2"/>
  <c r="I19" i="2"/>
  <c r="J19" i="2"/>
  <c r="K19" i="2"/>
  <c r="L19" i="2"/>
  <c r="B20" i="2"/>
  <c r="C20" i="2"/>
  <c r="D20" i="2"/>
  <c r="E20" i="2"/>
  <c r="F20" i="2"/>
  <c r="G20" i="2"/>
  <c r="H20" i="2"/>
  <c r="I20" i="2"/>
  <c r="J20" i="2"/>
  <c r="K20" i="2"/>
  <c r="L20" i="2"/>
  <c r="B21" i="2"/>
  <c r="C21" i="2"/>
  <c r="D21" i="2"/>
  <c r="E21" i="2"/>
  <c r="F21" i="2"/>
  <c r="G21" i="2"/>
  <c r="H21" i="2"/>
  <c r="I21" i="2"/>
  <c r="J21" i="2"/>
  <c r="K21" i="2"/>
  <c r="L21" i="2"/>
  <c r="B22" i="2"/>
  <c r="C22" i="2"/>
  <c r="D22" i="2"/>
  <c r="E22" i="2"/>
  <c r="F22" i="2"/>
  <c r="G22" i="2"/>
  <c r="H22" i="2"/>
  <c r="I22" i="2"/>
  <c r="J22" i="2"/>
  <c r="K22" i="2"/>
  <c r="L22" i="2"/>
  <c r="B23" i="2"/>
  <c r="C23" i="2"/>
  <c r="D23" i="2"/>
  <c r="E23" i="2"/>
  <c r="F23" i="2"/>
  <c r="G23" i="2"/>
  <c r="H23" i="2"/>
  <c r="I23" i="2"/>
  <c r="J23" i="2"/>
  <c r="K23" i="2"/>
  <c r="L23" i="2"/>
  <c r="B24" i="2"/>
  <c r="C24" i="2"/>
  <c r="D24" i="2"/>
  <c r="E24" i="2"/>
  <c r="F24" i="2"/>
  <c r="G24" i="2"/>
  <c r="H24" i="2"/>
  <c r="I24" i="2"/>
  <c r="J24" i="2"/>
  <c r="K24" i="2"/>
  <c r="L24" i="2"/>
  <c r="B25" i="2"/>
  <c r="C25" i="2"/>
  <c r="D25" i="2"/>
  <c r="E25" i="2"/>
  <c r="F25" i="2"/>
  <c r="G25" i="2"/>
  <c r="H25" i="2"/>
  <c r="I25" i="2"/>
  <c r="J25" i="2"/>
  <c r="K25" i="2"/>
  <c r="L25" i="2"/>
  <c r="B26" i="2"/>
  <c r="C26" i="2"/>
  <c r="D26" i="2"/>
  <c r="E26" i="2"/>
  <c r="F26" i="2"/>
  <c r="G26" i="2"/>
  <c r="H26" i="2"/>
  <c r="I26" i="2"/>
  <c r="J26" i="2"/>
  <c r="K26" i="2"/>
  <c r="L26" i="2"/>
  <c r="B27" i="2"/>
  <c r="C27" i="2"/>
  <c r="D27" i="2"/>
  <c r="E27" i="2"/>
  <c r="F27" i="2"/>
  <c r="G27" i="2"/>
  <c r="H27" i="2"/>
  <c r="I27" i="2"/>
  <c r="J27" i="2"/>
  <c r="K27" i="2"/>
  <c r="L27" i="2"/>
  <c r="B28" i="2"/>
  <c r="C28" i="2"/>
  <c r="D28" i="2"/>
  <c r="E28" i="2"/>
  <c r="F28" i="2"/>
  <c r="G28" i="2"/>
  <c r="H28" i="2"/>
  <c r="I28" i="2"/>
  <c r="J28" i="2"/>
  <c r="K28" i="2"/>
  <c r="L28" i="2"/>
  <c r="B29" i="2"/>
  <c r="C29" i="2"/>
  <c r="D29" i="2"/>
  <c r="E29" i="2"/>
  <c r="F29" i="2"/>
  <c r="G29" i="2"/>
  <c r="H29" i="2"/>
  <c r="I29" i="2"/>
  <c r="J29" i="2"/>
  <c r="K29" i="2"/>
  <c r="L29" i="2"/>
  <c r="B30" i="2"/>
  <c r="C30" i="2"/>
  <c r="D30" i="2"/>
  <c r="E30" i="2"/>
  <c r="F30" i="2"/>
  <c r="G30" i="2"/>
  <c r="H30" i="2"/>
  <c r="I30" i="2"/>
  <c r="J30" i="2"/>
  <c r="K30" i="2"/>
  <c r="L30" i="2"/>
  <c r="B31" i="2"/>
  <c r="C31" i="2"/>
  <c r="D31" i="2"/>
  <c r="E31" i="2"/>
  <c r="F31" i="2"/>
  <c r="G31" i="2"/>
  <c r="H31" i="2"/>
  <c r="I31" i="2"/>
  <c r="J31" i="2"/>
  <c r="K31" i="2"/>
  <c r="L31" i="2"/>
  <c r="B32" i="2"/>
  <c r="C32" i="2"/>
  <c r="D32" i="2"/>
  <c r="E32" i="2"/>
  <c r="F32" i="2"/>
  <c r="G32" i="2"/>
  <c r="H32" i="2"/>
  <c r="I32" i="2"/>
  <c r="J32" i="2"/>
  <c r="K32" i="2"/>
  <c r="L32" i="2"/>
  <c r="B33" i="2"/>
  <c r="C33" i="2"/>
  <c r="D33" i="2"/>
  <c r="E33" i="2"/>
  <c r="F33" i="2"/>
  <c r="G33" i="2"/>
  <c r="H33" i="2"/>
  <c r="I33" i="2"/>
  <c r="J33" i="2"/>
  <c r="K33" i="2"/>
  <c r="L33" i="2"/>
  <c r="B34" i="2"/>
  <c r="C34" i="2"/>
  <c r="D34" i="2"/>
  <c r="E34" i="2"/>
  <c r="F34" i="2"/>
  <c r="G34" i="2"/>
  <c r="H34" i="2"/>
  <c r="I34" i="2"/>
  <c r="J34" i="2"/>
  <c r="K34" i="2"/>
  <c r="L34" i="2"/>
  <c r="B35" i="2"/>
  <c r="C35" i="2"/>
  <c r="D35" i="2"/>
  <c r="E35" i="2"/>
  <c r="F35" i="2"/>
  <c r="G35" i="2"/>
  <c r="H35" i="2"/>
  <c r="I35" i="2"/>
  <c r="J35" i="2"/>
  <c r="K35" i="2"/>
  <c r="L35" i="2"/>
  <c r="B36" i="2"/>
  <c r="C36" i="2"/>
  <c r="D36" i="2"/>
  <c r="E36" i="2"/>
  <c r="F36" i="2"/>
  <c r="G36" i="2"/>
  <c r="H36" i="2"/>
  <c r="I36" i="2"/>
  <c r="J36" i="2"/>
  <c r="K36" i="2"/>
  <c r="L36" i="2"/>
  <c r="B37" i="2"/>
  <c r="C37" i="2"/>
  <c r="D37" i="2"/>
  <c r="E37" i="2"/>
  <c r="F37" i="2"/>
  <c r="G37" i="2"/>
  <c r="H37" i="2"/>
  <c r="I37" i="2"/>
  <c r="J37" i="2"/>
  <c r="K37" i="2"/>
  <c r="L37" i="2"/>
  <c r="B38" i="2"/>
  <c r="C38" i="2"/>
  <c r="D38" i="2"/>
  <c r="E38" i="2"/>
  <c r="F38" i="2"/>
  <c r="G38" i="2"/>
  <c r="H38" i="2"/>
  <c r="I38" i="2"/>
  <c r="J38" i="2"/>
  <c r="K38" i="2"/>
  <c r="L38" i="2"/>
  <c r="B39" i="2"/>
  <c r="C39" i="2"/>
  <c r="D39" i="2"/>
  <c r="E39" i="2"/>
  <c r="F39" i="2"/>
  <c r="G39" i="2"/>
  <c r="H39" i="2"/>
  <c r="I39" i="2"/>
  <c r="J39" i="2"/>
  <c r="K39" i="2"/>
  <c r="L39" i="2"/>
  <c r="B40" i="2"/>
  <c r="C40" i="2"/>
  <c r="D40" i="2"/>
  <c r="E40" i="2"/>
  <c r="F40" i="2"/>
  <c r="G40" i="2"/>
  <c r="H40" i="2"/>
  <c r="I40" i="2"/>
  <c r="J40" i="2"/>
  <c r="K40" i="2"/>
  <c r="L40" i="2"/>
  <c r="B41" i="2"/>
  <c r="C41" i="2"/>
  <c r="D41" i="2"/>
  <c r="E41" i="2"/>
  <c r="F41" i="2"/>
  <c r="G41" i="2"/>
  <c r="H41" i="2"/>
  <c r="I41" i="2"/>
  <c r="J41" i="2"/>
  <c r="K41" i="2"/>
  <c r="L41" i="2"/>
  <c r="B42" i="2"/>
  <c r="C42" i="2"/>
  <c r="D42" i="2"/>
  <c r="E42" i="2"/>
  <c r="F42" i="2"/>
  <c r="G42" i="2"/>
  <c r="H42" i="2"/>
  <c r="I42" i="2"/>
  <c r="J42" i="2"/>
  <c r="K42" i="2"/>
  <c r="L42" i="2"/>
  <c r="B43" i="2"/>
  <c r="C43" i="2"/>
  <c r="D43" i="2"/>
  <c r="E43" i="2"/>
  <c r="F43" i="2"/>
  <c r="G43" i="2"/>
  <c r="H43" i="2"/>
  <c r="I43" i="2"/>
  <c r="J43" i="2"/>
  <c r="K43" i="2"/>
  <c r="L43" i="2"/>
  <c r="B44" i="2"/>
  <c r="C44" i="2"/>
  <c r="D44" i="2"/>
  <c r="E44" i="2"/>
  <c r="F44" i="2"/>
  <c r="G44" i="2"/>
  <c r="H44" i="2"/>
  <c r="I44" i="2"/>
  <c r="J44" i="2"/>
  <c r="K44" i="2"/>
  <c r="L44" i="2"/>
  <c r="B45" i="2"/>
  <c r="C45" i="2"/>
  <c r="D45" i="2"/>
  <c r="E45" i="2"/>
  <c r="F45" i="2"/>
  <c r="G45" i="2"/>
  <c r="H45" i="2"/>
  <c r="I45" i="2"/>
  <c r="J45" i="2"/>
  <c r="K45" i="2"/>
  <c r="L45" i="2"/>
  <c r="B46" i="2"/>
  <c r="C46" i="2"/>
  <c r="D46" i="2"/>
  <c r="E46" i="2"/>
  <c r="F46" i="2"/>
  <c r="G46" i="2"/>
  <c r="H46" i="2"/>
  <c r="I46" i="2"/>
  <c r="J46" i="2"/>
  <c r="K46" i="2"/>
  <c r="L46" i="2"/>
  <c r="B47" i="2"/>
  <c r="C47" i="2"/>
  <c r="D47" i="2"/>
  <c r="E47" i="2"/>
  <c r="F47" i="2"/>
  <c r="G47" i="2"/>
  <c r="H47" i="2"/>
  <c r="I47" i="2"/>
  <c r="J47" i="2"/>
  <c r="K47" i="2"/>
  <c r="L47" i="2"/>
  <c r="B48" i="2"/>
  <c r="C48" i="2"/>
  <c r="D48" i="2"/>
  <c r="E48" i="2"/>
  <c r="F48" i="2"/>
  <c r="G48" i="2"/>
  <c r="H48" i="2"/>
  <c r="I48" i="2"/>
  <c r="J48" i="2"/>
  <c r="K48" i="2"/>
  <c r="L48" i="2"/>
  <c r="B49" i="2"/>
  <c r="C49" i="2"/>
  <c r="D49" i="2"/>
  <c r="E49" i="2"/>
  <c r="F49" i="2"/>
  <c r="G49" i="2"/>
  <c r="H49" i="2"/>
  <c r="I49" i="2"/>
  <c r="J49" i="2"/>
  <c r="K49" i="2"/>
  <c r="L49" i="2"/>
  <c r="B50" i="2"/>
  <c r="C50" i="2"/>
  <c r="D50" i="2"/>
  <c r="E50" i="2"/>
  <c r="F50" i="2"/>
  <c r="G50" i="2"/>
  <c r="H50" i="2"/>
  <c r="I50" i="2"/>
  <c r="J50" i="2"/>
  <c r="K50" i="2"/>
  <c r="L50" i="2"/>
  <c r="B51" i="2"/>
  <c r="C51" i="2"/>
  <c r="D51" i="2"/>
  <c r="E51" i="2"/>
  <c r="F51" i="2"/>
  <c r="G51" i="2"/>
  <c r="H51" i="2"/>
  <c r="I51" i="2"/>
  <c r="J51" i="2"/>
  <c r="K51" i="2"/>
  <c r="L51" i="2"/>
  <c r="B52" i="2"/>
  <c r="C52" i="2"/>
  <c r="D52" i="2"/>
  <c r="E52" i="2"/>
  <c r="F52" i="2"/>
  <c r="G52" i="2"/>
  <c r="H52" i="2"/>
  <c r="I52" i="2"/>
  <c r="J52" i="2"/>
  <c r="K52" i="2"/>
  <c r="L52" i="2"/>
  <c r="B53" i="2"/>
  <c r="C53" i="2"/>
  <c r="D53" i="2"/>
  <c r="E53" i="2"/>
  <c r="F53" i="2"/>
  <c r="G53" i="2"/>
  <c r="H53" i="2"/>
  <c r="I53" i="2"/>
  <c r="J53" i="2"/>
  <c r="K53" i="2"/>
  <c r="L53" i="2"/>
  <c r="B54" i="2"/>
  <c r="C54" i="2"/>
  <c r="D54" i="2"/>
  <c r="E54" i="2"/>
  <c r="F54" i="2"/>
  <c r="G54" i="2"/>
  <c r="H54" i="2"/>
  <c r="I54" i="2"/>
  <c r="J54" i="2"/>
  <c r="K54" i="2"/>
  <c r="L54" i="2"/>
  <c r="B55" i="2"/>
  <c r="C55" i="2"/>
  <c r="D55" i="2"/>
  <c r="E55" i="2"/>
  <c r="F55" i="2"/>
  <c r="G55" i="2"/>
  <c r="H55" i="2"/>
  <c r="I55" i="2"/>
  <c r="J55" i="2"/>
  <c r="K55" i="2"/>
  <c r="L55" i="2"/>
  <c r="B56" i="2"/>
  <c r="C56" i="2"/>
  <c r="D56" i="2"/>
  <c r="E56" i="2"/>
  <c r="F56" i="2"/>
  <c r="G56" i="2"/>
  <c r="H56" i="2"/>
  <c r="I56" i="2"/>
  <c r="J56" i="2"/>
  <c r="K56" i="2"/>
  <c r="L56" i="2"/>
  <c r="B57" i="2"/>
  <c r="C57" i="2"/>
  <c r="D57" i="2"/>
  <c r="E57" i="2"/>
  <c r="F57" i="2"/>
  <c r="G57" i="2"/>
  <c r="H57" i="2"/>
  <c r="I57" i="2"/>
  <c r="J57" i="2"/>
  <c r="K57" i="2"/>
  <c r="L57" i="2"/>
  <c r="B58" i="2"/>
  <c r="C58" i="2"/>
  <c r="D58" i="2"/>
  <c r="E58" i="2"/>
  <c r="F58" i="2"/>
  <c r="G58" i="2"/>
  <c r="H58" i="2"/>
  <c r="I58" i="2"/>
  <c r="J58" i="2"/>
  <c r="K58" i="2"/>
  <c r="L58" i="2"/>
  <c r="B59" i="2"/>
  <c r="C59" i="2"/>
  <c r="D59" i="2"/>
  <c r="E59" i="2"/>
  <c r="F59" i="2"/>
  <c r="G59" i="2"/>
  <c r="H59" i="2"/>
  <c r="I59" i="2"/>
  <c r="J59" i="2"/>
  <c r="K59" i="2"/>
  <c r="L59" i="2"/>
  <c r="B60" i="2"/>
  <c r="C60" i="2"/>
  <c r="D60" i="2"/>
  <c r="E60" i="2"/>
  <c r="F60" i="2"/>
  <c r="G60" i="2"/>
  <c r="H60" i="2"/>
  <c r="I60" i="2"/>
  <c r="J60" i="2"/>
  <c r="K60" i="2"/>
  <c r="L60" i="2"/>
  <c r="B61" i="2"/>
  <c r="C61" i="2"/>
  <c r="D61" i="2"/>
  <c r="E61" i="2"/>
  <c r="F61" i="2"/>
  <c r="G61" i="2"/>
  <c r="H61" i="2"/>
  <c r="I61" i="2"/>
  <c r="J61" i="2"/>
  <c r="K61" i="2"/>
  <c r="L61" i="2"/>
  <c r="B62" i="2"/>
  <c r="C62" i="2"/>
  <c r="D62" i="2"/>
  <c r="E62" i="2"/>
  <c r="F62" i="2"/>
  <c r="G62" i="2"/>
  <c r="H62" i="2"/>
  <c r="I62" i="2"/>
  <c r="J62" i="2"/>
  <c r="K62" i="2"/>
  <c r="L62" i="2"/>
  <c r="B63" i="2"/>
  <c r="C63" i="2"/>
  <c r="D63" i="2"/>
  <c r="E63" i="2"/>
  <c r="F63" i="2"/>
  <c r="G63" i="2"/>
  <c r="H63" i="2"/>
  <c r="I63" i="2"/>
  <c r="J63" i="2"/>
  <c r="K63" i="2"/>
  <c r="L63" i="2"/>
  <c r="B64" i="2"/>
  <c r="C64" i="2"/>
  <c r="D64" i="2"/>
  <c r="E64" i="2"/>
  <c r="F64" i="2"/>
  <c r="G64" i="2"/>
  <c r="H64" i="2"/>
  <c r="I64" i="2"/>
  <c r="J64" i="2"/>
  <c r="K64" i="2"/>
  <c r="L64" i="2"/>
  <c r="B65" i="2"/>
  <c r="C65" i="2"/>
  <c r="D65" i="2"/>
  <c r="E65" i="2"/>
  <c r="F65" i="2"/>
  <c r="G65" i="2"/>
  <c r="H65" i="2"/>
  <c r="I65" i="2"/>
  <c r="J65" i="2"/>
  <c r="K65" i="2"/>
  <c r="L65" i="2"/>
  <c r="B66" i="2"/>
  <c r="C66" i="2"/>
  <c r="D66" i="2"/>
  <c r="E66" i="2"/>
  <c r="F66" i="2"/>
  <c r="G66" i="2"/>
  <c r="H66" i="2"/>
  <c r="I66" i="2"/>
  <c r="J66" i="2"/>
  <c r="K66" i="2"/>
  <c r="L66" i="2"/>
  <c r="B67" i="2"/>
  <c r="C67" i="2"/>
  <c r="D67" i="2"/>
  <c r="E67" i="2"/>
  <c r="F67" i="2"/>
  <c r="G67" i="2"/>
  <c r="H67" i="2"/>
  <c r="I67" i="2"/>
  <c r="J67" i="2"/>
  <c r="K67" i="2"/>
  <c r="L67" i="2"/>
  <c r="B68" i="2"/>
  <c r="C68" i="2"/>
  <c r="D68" i="2"/>
  <c r="E68" i="2"/>
  <c r="F68" i="2"/>
  <c r="G68" i="2"/>
  <c r="H68" i="2"/>
  <c r="I68" i="2"/>
  <c r="J68" i="2"/>
  <c r="K68" i="2"/>
  <c r="L68" i="2"/>
  <c r="B69" i="2"/>
  <c r="C69" i="2"/>
  <c r="D69" i="2"/>
  <c r="E69" i="2"/>
  <c r="F69" i="2"/>
  <c r="G69" i="2"/>
  <c r="H69" i="2"/>
  <c r="I69" i="2"/>
  <c r="J69" i="2"/>
  <c r="K69" i="2"/>
  <c r="L69" i="2"/>
  <c r="B70" i="2"/>
  <c r="C70" i="2"/>
  <c r="D70" i="2"/>
  <c r="E70" i="2"/>
  <c r="F70" i="2"/>
  <c r="G70" i="2"/>
  <c r="H70" i="2"/>
  <c r="I70" i="2"/>
  <c r="J70" i="2"/>
  <c r="K70" i="2"/>
  <c r="L70" i="2"/>
  <c r="B71" i="2"/>
  <c r="C71" i="2"/>
  <c r="D71" i="2"/>
  <c r="E71" i="2"/>
  <c r="F71" i="2"/>
  <c r="G71" i="2"/>
  <c r="H71" i="2"/>
  <c r="I71" i="2"/>
  <c r="J71" i="2"/>
  <c r="K71" i="2"/>
  <c r="L71" i="2"/>
  <c r="B72" i="2"/>
  <c r="C72" i="2"/>
  <c r="D72" i="2"/>
  <c r="E72" i="2"/>
  <c r="F72" i="2"/>
  <c r="G72" i="2"/>
  <c r="H72" i="2"/>
  <c r="I72" i="2"/>
  <c r="J72" i="2"/>
  <c r="K72" i="2"/>
  <c r="L72" i="2"/>
  <c r="B73" i="2"/>
  <c r="C73" i="2"/>
  <c r="D73" i="2"/>
  <c r="E73" i="2"/>
  <c r="F73" i="2"/>
  <c r="G73" i="2"/>
  <c r="H73" i="2"/>
  <c r="I73" i="2"/>
  <c r="J73" i="2"/>
  <c r="K73" i="2"/>
  <c r="L73" i="2"/>
  <c r="B74" i="2"/>
  <c r="C74" i="2"/>
  <c r="D74" i="2"/>
  <c r="E74" i="2"/>
  <c r="F74" i="2"/>
  <c r="G74" i="2"/>
  <c r="H74" i="2"/>
  <c r="I74" i="2"/>
  <c r="J74" i="2"/>
  <c r="K74" i="2"/>
  <c r="L74" i="2"/>
  <c r="B75" i="2"/>
  <c r="C75" i="2"/>
  <c r="D75" i="2"/>
  <c r="E75" i="2"/>
  <c r="F75" i="2"/>
  <c r="G75" i="2"/>
  <c r="H75" i="2"/>
  <c r="I75" i="2"/>
  <c r="J75" i="2"/>
  <c r="K75" i="2"/>
  <c r="L75" i="2"/>
  <c r="B76" i="2"/>
  <c r="C76" i="2"/>
  <c r="D76" i="2"/>
  <c r="E76" i="2"/>
  <c r="F76" i="2"/>
  <c r="G76" i="2"/>
  <c r="H76" i="2"/>
  <c r="I76" i="2"/>
  <c r="J76" i="2"/>
  <c r="K76" i="2"/>
  <c r="L76" i="2"/>
  <c r="B77" i="2"/>
  <c r="C77" i="2"/>
  <c r="D77" i="2"/>
  <c r="E77" i="2"/>
  <c r="F77" i="2"/>
  <c r="G77" i="2"/>
  <c r="H77" i="2"/>
  <c r="I77" i="2"/>
  <c r="J77" i="2"/>
  <c r="K77" i="2"/>
  <c r="L77" i="2"/>
  <c r="B78" i="2"/>
  <c r="C78" i="2"/>
  <c r="D78" i="2"/>
  <c r="E78" i="2"/>
  <c r="F78" i="2"/>
  <c r="G78" i="2"/>
  <c r="H78" i="2"/>
  <c r="I78" i="2"/>
  <c r="J78" i="2"/>
  <c r="K78" i="2"/>
  <c r="L78" i="2"/>
  <c r="B79" i="2"/>
  <c r="C79" i="2"/>
  <c r="D79" i="2"/>
  <c r="E79" i="2"/>
  <c r="F79" i="2"/>
  <c r="G79" i="2"/>
  <c r="H79" i="2"/>
  <c r="I79" i="2"/>
  <c r="J79" i="2"/>
  <c r="K79" i="2"/>
  <c r="L79" i="2"/>
  <c r="B80" i="2"/>
  <c r="C80" i="2"/>
  <c r="D80" i="2"/>
  <c r="E80" i="2"/>
  <c r="F80" i="2"/>
  <c r="G80" i="2"/>
  <c r="H80" i="2"/>
  <c r="I80" i="2"/>
  <c r="J80" i="2"/>
  <c r="K80" i="2"/>
  <c r="L80" i="2"/>
  <c r="B81" i="2"/>
  <c r="C81" i="2"/>
  <c r="D81" i="2"/>
  <c r="E81" i="2"/>
  <c r="F81" i="2"/>
  <c r="G81" i="2"/>
  <c r="H81" i="2"/>
  <c r="I81" i="2"/>
  <c r="J81" i="2"/>
  <c r="K81" i="2"/>
  <c r="L81" i="2"/>
  <c r="B82" i="2"/>
  <c r="C82" i="2"/>
  <c r="D82" i="2"/>
  <c r="E82" i="2"/>
  <c r="F82" i="2"/>
  <c r="G82" i="2"/>
  <c r="H82" i="2"/>
  <c r="I82" i="2"/>
  <c r="J82" i="2"/>
  <c r="K82" i="2"/>
  <c r="L82" i="2"/>
  <c r="B83" i="2"/>
  <c r="C83" i="2"/>
  <c r="D83" i="2"/>
  <c r="E83" i="2"/>
  <c r="F83" i="2"/>
  <c r="G83" i="2"/>
  <c r="H83" i="2"/>
  <c r="I83" i="2"/>
  <c r="J83" i="2"/>
  <c r="K83" i="2"/>
  <c r="L83" i="2"/>
  <c r="B84" i="2"/>
  <c r="C84" i="2"/>
  <c r="D84" i="2"/>
  <c r="E84" i="2"/>
  <c r="F84" i="2"/>
  <c r="G84" i="2"/>
  <c r="H84" i="2"/>
  <c r="I84" i="2"/>
  <c r="J84" i="2"/>
  <c r="K84" i="2"/>
  <c r="L84" i="2"/>
  <c r="B85" i="2"/>
  <c r="C85" i="2"/>
  <c r="D85" i="2"/>
  <c r="E85" i="2"/>
  <c r="F85" i="2"/>
  <c r="G85" i="2"/>
  <c r="H85" i="2"/>
  <c r="I85" i="2"/>
  <c r="J85" i="2"/>
  <c r="K85" i="2"/>
  <c r="L85" i="2"/>
  <c r="B86" i="2"/>
  <c r="C86" i="2"/>
  <c r="D86" i="2"/>
  <c r="E86" i="2"/>
  <c r="F86" i="2"/>
  <c r="G86" i="2"/>
  <c r="H86" i="2"/>
  <c r="I86" i="2"/>
  <c r="J86" i="2"/>
  <c r="K86" i="2"/>
  <c r="L86" i="2"/>
  <c r="B87" i="2"/>
  <c r="C87" i="2"/>
  <c r="D87" i="2"/>
  <c r="E87" i="2"/>
  <c r="F87" i="2"/>
  <c r="G87" i="2"/>
  <c r="H87" i="2"/>
  <c r="I87" i="2"/>
  <c r="J87" i="2"/>
  <c r="K87" i="2"/>
  <c r="L87" i="2"/>
  <c r="B88" i="2"/>
  <c r="C88" i="2"/>
  <c r="D88" i="2"/>
  <c r="E88" i="2"/>
  <c r="F88" i="2"/>
  <c r="G88" i="2"/>
  <c r="H88" i="2"/>
  <c r="I88" i="2"/>
  <c r="J88" i="2"/>
  <c r="K88" i="2"/>
  <c r="L88" i="2"/>
  <c r="B89" i="2"/>
  <c r="C89" i="2"/>
  <c r="D89" i="2"/>
  <c r="E89" i="2"/>
  <c r="F89" i="2"/>
  <c r="G89" i="2"/>
  <c r="H89" i="2"/>
  <c r="I89" i="2"/>
  <c r="J89" i="2"/>
  <c r="K89" i="2"/>
  <c r="L89" i="2"/>
  <c r="B90" i="2"/>
  <c r="C90" i="2"/>
  <c r="D90" i="2"/>
  <c r="E90" i="2"/>
  <c r="F90" i="2"/>
  <c r="G90" i="2"/>
  <c r="H90" i="2"/>
  <c r="I90" i="2"/>
  <c r="J90" i="2"/>
  <c r="K90" i="2"/>
  <c r="L90" i="2"/>
  <c r="B91" i="2"/>
  <c r="C91" i="2"/>
  <c r="D91" i="2"/>
  <c r="E91" i="2"/>
  <c r="F91" i="2"/>
  <c r="G91" i="2"/>
  <c r="H91" i="2"/>
  <c r="I91" i="2"/>
  <c r="J91" i="2"/>
  <c r="K91" i="2"/>
  <c r="L91" i="2"/>
  <c r="B92" i="2"/>
  <c r="C92" i="2"/>
  <c r="D92" i="2"/>
  <c r="E92" i="2"/>
  <c r="F92" i="2"/>
  <c r="G92" i="2"/>
  <c r="H92" i="2"/>
  <c r="I92" i="2"/>
  <c r="J92" i="2"/>
  <c r="K92" i="2"/>
  <c r="L92" i="2"/>
  <c r="B93" i="2"/>
  <c r="C93" i="2"/>
  <c r="D93" i="2"/>
  <c r="E93" i="2"/>
  <c r="F93" i="2"/>
  <c r="G93" i="2"/>
  <c r="H93" i="2"/>
  <c r="I93" i="2"/>
  <c r="J93" i="2"/>
  <c r="K93" i="2"/>
  <c r="L93" i="2"/>
  <c r="B94" i="2"/>
  <c r="C94" i="2"/>
  <c r="D94" i="2"/>
  <c r="E94" i="2"/>
  <c r="F94" i="2"/>
  <c r="G94" i="2"/>
  <c r="H94" i="2"/>
  <c r="I94" i="2"/>
  <c r="J94" i="2"/>
  <c r="K94" i="2"/>
  <c r="L94" i="2"/>
  <c r="B95" i="2"/>
  <c r="C95" i="2"/>
  <c r="D95" i="2"/>
  <c r="E95" i="2"/>
  <c r="F95" i="2"/>
  <c r="G95" i="2"/>
  <c r="H95" i="2"/>
  <c r="I95" i="2"/>
  <c r="J95" i="2"/>
  <c r="K95" i="2"/>
  <c r="L95" i="2"/>
  <c r="B96" i="2"/>
  <c r="C96" i="2"/>
  <c r="D96" i="2"/>
  <c r="E96" i="2"/>
  <c r="F96" i="2"/>
  <c r="G96" i="2"/>
  <c r="H96" i="2"/>
  <c r="I96" i="2"/>
  <c r="J96" i="2"/>
  <c r="K96" i="2"/>
  <c r="L96" i="2"/>
  <c r="B97" i="2"/>
  <c r="C97" i="2"/>
  <c r="D97" i="2"/>
  <c r="E97" i="2"/>
  <c r="F97" i="2"/>
  <c r="G97" i="2"/>
  <c r="H97" i="2"/>
  <c r="I97" i="2"/>
  <c r="J97" i="2"/>
  <c r="K97" i="2"/>
  <c r="L97" i="2"/>
  <c r="B98" i="2"/>
  <c r="C98" i="2"/>
  <c r="D98" i="2"/>
  <c r="E98" i="2"/>
  <c r="F98" i="2"/>
  <c r="G98" i="2"/>
  <c r="H98" i="2"/>
  <c r="I98" i="2"/>
  <c r="J98" i="2"/>
  <c r="K98" i="2"/>
  <c r="L98" i="2"/>
  <c r="B99" i="2"/>
  <c r="C99" i="2"/>
  <c r="D99" i="2"/>
  <c r="E99" i="2"/>
  <c r="F99" i="2"/>
  <c r="G99" i="2"/>
  <c r="H99" i="2"/>
  <c r="I99" i="2"/>
  <c r="J99" i="2"/>
  <c r="K99" i="2"/>
  <c r="L99" i="2"/>
  <c r="B100" i="2"/>
  <c r="C100" i="2"/>
  <c r="D100" i="2"/>
  <c r="E100" i="2"/>
  <c r="F100" i="2"/>
  <c r="G100" i="2"/>
  <c r="H100" i="2"/>
  <c r="I100" i="2"/>
  <c r="J100" i="2"/>
  <c r="K100" i="2"/>
  <c r="L100" i="2"/>
  <c r="B101" i="2"/>
  <c r="C101" i="2"/>
  <c r="D101" i="2"/>
  <c r="E101" i="2"/>
  <c r="F101" i="2"/>
  <c r="G101" i="2"/>
  <c r="H101" i="2"/>
  <c r="I101" i="2"/>
  <c r="J101" i="2"/>
  <c r="K101" i="2"/>
  <c r="L101" i="2"/>
  <c r="B102" i="2"/>
  <c r="C102" i="2"/>
  <c r="D102" i="2"/>
  <c r="E102" i="2"/>
  <c r="F102" i="2"/>
  <c r="G102" i="2"/>
  <c r="H102" i="2"/>
  <c r="I102" i="2"/>
  <c r="J102" i="2"/>
  <c r="K102" i="2"/>
  <c r="L102" i="2"/>
  <c r="B103" i="2"/>
  <c r="C103" i="2"/>
  <c r="D103" i="2"/>
  <c r="E103" i="2"/>
  <c r="F103" i="2"/>
  <c r="G103" i="2"/>
  <c r="H103" i="2"/>
  <c r="I103" i="2"/>
  <c r="J103" i="2"/>
  <c r="K103" i="2"/>
  <c r="L103" i="2"/>
  <c r="B104" i="2"/>
  <c r="C104" i="2"/>
  <c r="D104" i="2"/>
  <c r="E104" i="2"/>
  <c r="F104" i="2"/>
  <c r="G104" i="2"/>
  <c r="H104" i="2"/>
  <c r="I104" i="2"/>
  <c r="J104" i="2"/>
  <c r="K104" i="2"/>
  <c r="L104" i="2"/>
  <c r="B105" i="2"/>
  <c r="C105" i="2"/>
  <c r="D105" i="2"/>
  <c r="E105" i="2"/>
  <c r="F105" i="2"/>
  <c r="G105" i="2"/>
  <c r="H105" i="2"/>
  <c r="I105" i="2"/>
  <c r="J105" i="2"/>
  <c r="K105" i="2"/>
  <c r="L105" i="2"/>
  <c r="B106" i="2"/>
  <c r="C106" i="2"/>
  <c r="D106" i="2"/>
  <c r="E106" i="2"/>
  <c r="F106" i="2"/>
  <c r="G106" i="2"/>
  <c r="H106" i="2"/>
  <c r="I106" i="2"/>
  <c r="J106" i="2"/>
  <c r="K106" i="2"/>
  <c r="L106" i="2"/>
  <c r="B107" i="2"/>
  <c r="C107" i="2"/>
  <c r="D107" i="2"/>
  <c r="E107" i="2"/>
  <c r="F107" i="2"/>
  <c r="G107" i="2"/>
  <c r="H107" i="2"/>
  <c r="I107" i="2"/>
  <c r="J107" i="2"/>
  <c r="K107" i="2"/>
  <c r="L107" i="2"/>
  <c r="B108" i="2"/>
  <c r="C108" i="2"/>
  <c r="D108" i="2"/>
  <c r="E108" i="2"/>
  <c r="F108" i="2"/>
  <c r="G108" i="2"/>
  <c r="H108" i="2"/>
  <c r="I108" i="2"/>
  <c r="J108" i="2"/>
  <c r="K108" i="2"/>
  <c r="L108" i="2"/>
  <c r="B109" i="2"/>
  <c r="C109" i="2"/>
  <c r="D109" i="2"/>
  <c r="E109" i="2"/>
  <c r="F109" i="2"/>
  <c r="G109" i="2"/>
  <c r="H109" i="2"/>
  <c r="I109" i="2"/>
  <c r="J109" i="2"/>
  <c r="K109" i="2"/>
  <c r="L109" i="2"/>
  <c r="B110" i="2"/>
  <c r="C110" i="2"/>
  <c r="D110" i="2"/>
  <c r="E110" i="2"/>
  <c r="F110" i="2"/>
  <c r="G110" i="2"/>
  <c r="H110" i="2"/>
  <c r="I110" i="2"/>
  <c r="J110" i="2"/>
  <c r="K110" i="2"/>
  <c r="L110" i="2"/>
  <c r="B111" i="2"/>
  <c r="C111" i="2"/>
  <c r="D111" i="2"/>
  <c r="E111" i="2"/>
  <c r="F111" i="2"/>
  <c r="G111" i="2"/>
  <c r="H111" i="2"/>
  <c r="I111" i="2"/>
  <c r="J111" i="2"/>
  <c r="K111" i="2"/>
  <c r="L111" i="2"/>
  <c r="B112" i="2"/>
  <c r="C112" i="2"/>
  <c r="D112" i="2"/>
  <c r="E112" i="2"/>
  <c r="F112" i="2"/>
  <c r="G112" i="2"/>
  <c r="H112" i="2"/>
  <c r="I112" i="2"/>
  <c r="J112" i="2"/>
  <c r="K112" i="2"/>
  <c r="L112" i="2"/>
  <c r="B113" i="2"/>
  <c r="C113" i="2"/>
  <c r="D113" i="2"/>
  <c r="E113" i="2"/>
  <c r="F113" i="2"/>
  <c r="G113" i="2"/>
  <c r="H113" i="2"/>
  <c r="I113" i="2"/>
  <c r="J113" i="2"/>
  <c r="K113" i="2"/>
  <c r="L113" i="2"/>
  <c r="B114" i="2"/>
  <c r="C114" i="2"/>
  <c r="D114" i="2"/>
  <c r="E114" i="2"/>
  <c r="F114" i="2"/>
  <c r="G114" i="2"/>
  <c r="H114" i="2"/>
  <c r="I114" i="2"/>
  <c r="J114" i="2"/>
  <c r="K114" i="2"/>
  <c r="L114" i="2"/>
  <c r="B115" i="2"/>
  <c r="C115" i="2"/>
  <c r="D115" i="2"/>
  <c r="E115" i="2"/>
  <c r="F115" i="2"/>
  <c r="G115" i="2"/>
  <c r="H115" i="2"/>
  <c r="I115" i="2"/>
  <c r="J115" i="2"/>
  <c r="K115" i="2"/>
  <c r="L115" i="2"/>
  <c r="B116" i="2"/>
  <c r="C116" i="2"/>
  <c r="D116" i="2"/>
  <c r="E116" i="2"/>
  <c r="F116" i="2"/>
  <c r="G116" i="2"/>
  <c r="H116" i="2"/>
  <c r="I116" i="2"/>
  <c r="J116" i="2"/>
  <c r="K116" i="2"/>
  <c r="L116" i="2"/>
  <c r="B117" i="2"/>
  <c r="C117" i="2"/>
  <c r="D117" i="2"/>
  <c r="E117" i="2"/>
  <c r="F117" i="2"/>
  <c r="G117" i="2"/>
  <c r="H117" i="2"/>
  <c r="I117" i="2"/>
  <c r="J117" i="2"/>
  <c r="K117" i="2"/>
  <c r="L117" i="2"/>
  <c r="B118" i="2"/>
  <c r="C118" i="2"/>
  <c r="D118" i="2"/>
  <c r="E118" i="2"/>
  <c r="F118" i="2"/>
  <c r="G118" i="2"/>
  <c r="H118" i="2"/>
  <c r="I118" i="2"/>
  <c r="J118" i="2"/>
  <c r="K118" i="2"/>
  <c r="L118" i="2"/>
  <c r="B119" i="2"/>
  <c r="C119" i="2"/>
  <c r="D119" i="2"/>
  <c r="E119" i="2"/>
  <c r="F119" i="2"/>
  <c r="G119" i="2"/>
  <c r="H119" i="2"/>
  <c r="I119" i="2"/>
  <c r="J119" i="2"/>
  <c r="K119" i="2"/>
  <c r="L119" i="2"/>
  <c r="B120" i="2"/>
  <c r="C120" i="2"/>
  <c r="D120" i="2"/>
  <c r="E120" i="2"/>
  <c r="F120" i="2"/>
  <c r="G120" i="2"/>
  <c r="H120" i="2"/>
  <c r="I120" i="2"/>
  <c r="J120" i="2"/>
  <c r="K120" i="2"/>
  <c r="L120" i="2"/>
  <c r="B121" i="2"/>
  <c r="C121" i="2"/>
  <c r="D121" i="2"/>
  <c r="E121" i="2"/>
  <c r="F121" i="2"/>
  <c r="G121" i="2"/>
  <c r="H121" i="2"/>
  <c r="I121" i="2"/>
  <c r="J121" i="2"/>
  <c r="K121" i="2"/>
  <c r="L121" i="2"/>
  <c r="B122" i="2"/>
  <c r="C122" i="2"/>
  <c r="D122" i="2"/>
  <c r="E122" i="2"/>
  <c r="F122" i="2"/>
  <c r="G122" i="2"/>
  <c r="H122" i="2"/>
  <c r="I122" i="2"/>
  <c r="J122" i="2"/>
  <c r="K122" i="2"/>
  <c r="L122" i="2"/>
  <c r="B123" i="2"/>
  <c r="C123" i="2"/>
  <c r="D123" i="2"/>
  <c r="E123" i="2"/>
  <c r="F123" i="2"/>
  <c r="G123" i="2"/>
  <c r="H123" i="2"/>
  <c r="I123" i="2"/>
  <c r="J123" i="2"/>
  <c r="K123" i="2"/>
  <c r="L123" i="2"/>
  <c r="B124" i="2"/>
  <c r="C124" i="2"/>
  <c r="D124" i="2"/>
  <c r="E124" i="2"/>
  <c r="F124" i="2"/>
  <c r="G124" i="2"/>
  <c r="H124" i="2"/>
  <c r="I124" i="2"/>
  <c r="J124" i="2"/>
  <c r="K124" i="2"/>
  <c r="L124" i="2"/>
  <c r="B125" i="2"/>
  <c r="C125" i="2"/>
  <c r="D125" i="2"/>
  <c r="E125" i="2"/>
  <c r="F125" i="2"/>
  <c r="G125" i="2"/>
  <c r="H125" i="2"/>
  <c r="I125" i="2"/>
  <c r="J125" i="2"/>
  <c r="K125" i="2"/>
  <c r="L125" i="2"/>
  <c r="B126" i="2"/>
  <c r="C126" i="2"/>
  <c r="D126" i="2"/>
  <c r="E126" i="2"/>
  <c r="F126" i="2"/>
  <c r="G126" i="2"/>
  <c r="H126" i="2"/>
  <c r="I126" i="2"/>
  <c r="J126" i="2"/>
  <c r="K126" i="2"/>
  <c r="L126" i="2"/>
  <c r="B127" i="2"/>
  <c r="C127" i="2"/>
  <c r="D127" i="2"/>
  <c r="E127" i="2"/>
  <c r="F127" i="2"/>
  <c r="G127" i="2"/>
  <c r="H127" i="2"/>
  <c r="I127" i="2"/>
  <c r="J127" i="2"/>
  <c r="K127" i="2"/>
  <c r="L127" i="2"/>
  <c r="B128" i="2"/>
  <c r="C128" i="2"/>
  <c r="D128" i="2"/>
  <c r="E128" i="2"/>
  <c r="F128" i="2"/>
  <c r="G128" i="2"/>
  <c r="H128" i="2"/>
  <c r="I128" i="2"/>
  <c r="J128" i="2"/>
  <c r="K128" i="2"/>
  <c r="L128" i="2"/>
  <c r="B129" i="2"/>
  <c r="C129" i="2"/>
  <c r="D129" i="2"/>
  <c r="E129" i="2"/>
  <c r="F129" i="2"/>
  <c r="G129" i="2"/>
  <c r="H129" i="2"/>
  <c r="I129" i="2"/>
  <c r="J129" i="2"/>
  <c r="K129" i="2"/>
  <c r="L129" i="2"/>
  <c r="B130" i="2"/>
  <c r="C130" i="2"/>
  <c r="D130" i="2"/>
  <c r="E130" i="2"/>
  <c r="F130" i="2"/>
  <c r="G130" i="2"/>
  <c r="H130" i="2"/>
  <c r="I130" i="2"/>
  <c r="J130" i="2"/>
  <c r="K130" i="2"/>
  <c r="L130" i="2"/>
  <c r="B131" i="2"/>
  <c r="C131" i="2"/>
  <c r="D131" i="2"/>
  <c r="E131" i="2"/>
  <c r="F131" i="2"/>
  <c r="G131" i="2"/>
  <c r="H131" i="2"/>
  <c r="I131" i="2"/>
  <c r="J131" i="2"/>
  <c r="K131" i="2"/>
  <c r="L131" i="2"/>
  <c r="B132" i="2"/>
  <c r="C132" i="2"/>
  <c r="D132" i="2"/>
  <c r="E132" i="2"/>
  <c r="F132" i="2"/>
  <c r="G132" i="2"/>
  <c r="H132" i="2"/>
  <c r="I132" i="2"/>
  <c r="J132" i="2"/>
  <c r="K132" i="2"/>
  <c r="L132" i="2"/>
  <c r="B133" i="2"/>
  <c r="C133" i="2"/>
  <c r="D133" i="2"/>
  <c r="E133" i="2"/>
  <c r="F133" i="2"/>
  <c r="G133" i="2"/>
  <c r="H133" i="2"/>
  <c r="I133" i="2"/>
  <c r="J133" i="2"/>
  <c r="K133" i="2"/>
  <c r="L133" i="2"/>
  <c r="B134" i="2"/>
  <c r="C134" i="2"/>
  <c r="D134" i="2"/>
  <c r="E134" i="2"/>
  <c r="F134" i="2"/>
  <c r="G134" i="2"/>
  <c r="H134" i="2"/>
  <c r="I134" i="2"/>
  <c r="J134" i="2"/>
  <c r="K134" i="2"/>
  <c r="L134" i="2"/>
  <c r="B135" i="2"/>
  <c r="C135" i="2"/>
  <c r="D135" i="2"/>
  <c r="E135" i="2"/>
  <c r="F135" i="2"/>
  <c r="G135" i="2"/>
  <c r="H135" i="2"/>
  <c r="I135" i="2"/>
  <c r="J135" i="2"/>
  <c r="K135" i="2"/>
  <c r="L135" i="2"/>
  <c r="B136" i="2"/>
  <c r="C136" i="2"/>
  <c r="D136" i="2"/>
  <c r="E136" i="2"/>
  <c r="F136" i="2"/>
  <c r="G136" i="2"/>
  <c r="H136" i="2"/>
  <c r="I136" i="2"/>
  <c r="J136" i="2"/>
  <c r="K136" i="2"/>
  <c r="L136" i="2"/>
  <c r="B137" i="2"/>
  <c r="C137" i="2"/>
  <c r="D137" i="2"/>
  <c r="E137" i="2"/>
  <c r="F137" i="2"/>
  <c r="G137" i="2"/>
  <c r="H137" i="2"/>
  <c r="I137" i="2"/>
  <c r="J137" i="2"/>
  <c r="K137" i="2"/>
  <c r="L137" i="2"/>
  <c r="B138" i="2"/>
  <c r="C138" i="2"/>
  <c r="D138" i="2"/>
  <c r="E138" i="2"/>
  <c r="F138" i="2"/>
  <c r="G138" i="2"/>
  <c r="H138" i="2"/>
  <c r="I138" i="2"/>
  <c r="J138" i="2"/>
  <c r="K138" i="2"/>
  <c r="L138" i="2"/>
  <c r="B139" i="2"/>
  <c r="C139" i="2"/>
  <c r="D139" i="2"/>
  <c r="E139" i="2"/>
  <c r="F139" i="2"/>
  <c r="G139" i="2"/>
  <c r="H139" i="2"/>
  <c r="I139" i="2"/>
  <c r="J139" i="2"/>
  <c r="K139" i="2"/>
  <c r="L139" i="2"/>
  <c r="B140" i="2"/>
  <c r="C140" i="2"/>
  <c r="D140" i="2"/>
  <c r="E140" i="2"/>
  <c r="F140" i="2"/>
  <c r="G140" i="2"/>
  <c r="H140" i="2"/>
  <c r="I140" i="2"/>
  <c r="J140" i="2"/>
  <c r="K140" i="2"/>
  <c r="L140" i="2"/>
  <c r="B141" i="2"/>
  <c r="C141" i="2"/>
  <c r="D141" i="2"/>
  <c r="E141" i="2"/>
  <c r="F141" i="2"/>
  <c r="G141" i="2"/>
  <c r="H141" i="2"/>
  <c r="I141" i="2"/>
  <c r="J141" i="2"/>
  <c r="K141" i="2"/>
  <c r="L141" i="2"/>
  <c r="B142" i="2"/>
  <c r="C142" i="2"/>
  <c r="D142" i="2"/>
  <c r="E142" i="2"/>
  <c r="F142" i="2"/>
  <c r="G142" i="2"/>
  <c r="H142" i="2"/>
  <c r="I142" i="2"/>
  <c r="J142" i="2"/>
  <c r="K142" i="2"/>
  <c r="L142" i="2"/>
  <c r="B143" i="2"/>
  <c r="C143" i="2"/>
  <c r="D143" i="2"/>
  <c r="E143" i="2"/>
  <c r="F143" i="2"/>
  <c r="G143" i="2"/>
  <c r="H143" i="2"/>
  <c r="I143" i="2"/>
  <c r="J143" i="2"/>
  <c r="K143" i="2"/>
  <c r="L143" i="2"/>
  <c r="B144" i="2"/>
  <c r="C144" i="2"/>
  <c r="D144" i="2"/>
  <c r="E144" i="2"/>
  <c r="F144" i="2"/>
  <c r="G144" i="2"/>
  <c r="H144" i="2"/>
  <c r="I144" i="2"/>
  <c r="J144" i="2"/>
  <c r="K144" i="2"/>
  <c r="L144" i="2"/>
  <c r="B145" i="2"/>
  <c r="C145" i="2"/>
  <c r="D145" i="2"/>
  <c r="E145" i="2"/>
  <c r="F145" i="2"/>
  <c r="G145" i="2"/>
  <c r="H145" i="2"/>
  <c r="I145" i="2"/>
  <c r="J145" i="2"/>
  <c r="K145" i="2"/>
  <c r="L145" i="2"/>
  <c r="B146" i="2"/>
  <c r="C146" i="2"/>
  <c r="D146" i="2"/>
  <c r="E146" i="2"/>
  <c r="F146" i="2"/>
  <c r="G146" i="2"/>
  <c r="H146" i="2"/>
  <c r="I146" i="2"/>
  <c r="J146" i="2"/>
  <c r="K146" i="2"/>
  <c r="L146" i="2"/>
  <c r="B147" i="2"/>
  <c r="C147" i="2"/>
  <c r="D147" i="2"/>
  <c r="E147" i="2"/>
  <c r="F147" i="2"/>
  <c r="G147" i="2"/>
  <c r="H147" i="2"/>
  <c r="I147" i="2"/>
  <c r="J147" i="2"/>
  <c r="K147" i="2"/>
  <c r="L147" i="2"/>
  <c r="B148" i="2"/>
  <c r="C148" i="2"/>
  <c r="D148" i="2"/>
  <c r="E148" i="2"/>
  <c r="F148" i="2"/>
  <c r="G148" i="2"/>
  <c r="H148" i="2"/>
  <c r="I148" i="2"/>
  <c r="J148" i="2"/>
  <c r="K148" i="2"/>
  <c r="L148" i="2"/>
  <c r="B149" i="2"/>
  <c r="C149" i="2"/>
  <c r="D149" i="2"/>
  <c r="E149" i="2"/>
  <c r="F149" i="2"/>
  <c r="G149" i="2"/>
  <c r="H149" i="2"/>
  <c r="I149" i="2"/>
  <c r="J149" i="2"/>
  <c r="K149" i="2"/>
  <c r="L149" i="2"/>
  <c r="B150" i="2"/>
  <c r="C150" i="2"/>
  <c r="D150" i="2"/>
  <c r="E150" i="2"/>
  <c r="F150" i="2"/>
  <c r="G150" i="2"/>
  <c r="H150" i="2"/>
  <c r="I150" i="2"/>
  <c r="J150" i="2"/>
  <c r="K150" i="2"/>
  <c r="L150" i="2"/>
  <c r="B151" i="2"/>
  <c r="C151" i="2"/>
  <c r="D151" i="2"/>
  <c r="E151" i="2"/>
  <c r="F151" i="2"/>
  <c r="G151" i="2"/>
  <c r="H151" i="2"/>
  <c r="I151" i="2"/>
  <c r="J151" i="2"/>
  <c r="K151" i="2"/>
  <c r="L151" i="2"/>
  <c r="B152" i="2"/>
  <c r="C152" i="2"/>
  <c r="D152" i="2"/>
  <c r="E152" i="2"/>
  <c r="F152" i="2"/>
  <c r="G152" i="2"/>
  <c r="H152" i="2"/>
  <c r="I152" i="2"/>
  <c r="J152" i="2"/>
  <c r="K152" i="2"/>
  <c r="L152" i="2"/>
  <c r="B153" i="2"/>
  <c r="C153" i="2"/>
  <c r="D153" i="2"/>
  <c r="E153" i="2"/>
  <c r="F153" i="2"/>
  <c r="G153" i="2"/>
  <c r="H153" i="2"/>
  <c r="I153" i="2"/>
  <c r="J153" i="2"/>
  <c r="K153" i="2"/>
  <c r="L153" i="2"/>
  <c r="B154" i="2"/>
  <c r="C154" i="2"/>
  <c r="D154" i="2"/>
  <c r="E154" i="2"/>
  <c r="F154" i="2"/>
  <c r="G154" i="2"/>
  <c r="H154" i="2"/>
  <c r="I154" i="2"/>
  <c r="J154" i="2"/>
  <c r="K154" i="2"/>
  <c r="L154" i="2"/>
  <c r="B155" i="2"/>
  <c r="C155" i="2"/>
  <c r="D155" i="2"/>
  <c r="E155" i="2"/>
  <c r="F155" i="2"/>
  <c r="G155" i="2"/>
  <c r="H155" i="2"/>
  <c r="I155" i="2"/>
  <c r="J155" i="2"/>
  <c r="K155" i="2"/>
  <c r="L155" i="2"/>
  <c r="B156" i="2"/>
  <c r="C156" i="2"/>
  <c r="D156" i="2"/>
  <c r="E156" i="2"/>
  <c r="F156" i="2"/>
  <c r="G156" i="2"/>
  <c r="H156" i="2"/>
  <c r="I156" i="2"/>
  <c r="J156" i="2"/>
  <c r="K156" i="2"/>
  <c r="L156" i="2"/>
  <c r="B157" i="2"/>
  <c r="C157" i="2"/>
  <c r="D157" i="2"/>
  <c r="E157" i="2"/>
  <c r="F157" i="2"/>
  <c r="G157" i="2"/>
  <c r="H157" i="2"/>
  <c r="I157" i="2"/>
  <c r="J157" i="2"/>
  <c r="K157" i="2"/>
  <c r="L157" i="2"/>
  <c r="B158" i="2"/>
  <c r="C158" i="2"/>
  <c r="D158" i="2"/>
  <c r="E158" i="2"/>
  <c r="F158" i="2"/>
  <c r="G158" i="2"/>
  <c r="H158" i="2"/>
  <c r="I158" i="2"/>
  <c r="J158" i="2"/>
  <c r="K158" i="2"/>
  <c r="L158" i="2"/>
  <c r="B159" i="2"/>
  <c r="C159" i="2"/>
  <c r="D159" i="2"/>
  <c r="E159" i="2"/>
  <c r="F159" i="2"/>
  <c r="G159" i="2"/>
  <c r="H159" i="2"/>
  <c r="I159" i="2"/>
  <c r="J159" i="2"/>
  <c r="K159" i="2"/>
  <c r="L159" i="2"/>
  <c r="B160" i="2"/>
  <c r="C160" i="2"/>
  <c r="D160" i="2"/>
  <c r="E160" i="2"/>
  <c r="F160" i="2"/>
  <c r="G160" i="2"/>
  <c r="H160" i="2"/>
  <c r="I160" i="2"/>
  <c r="J160" i="2"/>
  <c r="K160" i="2"/>
  <c r="L160" i="2"/>
  <c r="B161" i="2"/>
  <c r="C161" i="2"/>
  <c r="D161" i="2"/>
  <c r="E161" i="2"/>
  <c r="F161" i="2"/>
  <c r="G161" i="2"/>
  <c r="H161" i="2"/>
  <c r="I161" i="2"/>
  <c r="J161" i="2"/>
  <c r="K161" i="2"/>
  <c r="L161" i="2"/>
  <c r="B162" i="2"/>
  <c r="C162" i="2"/>
  <c r="D162" i="2"/>
  <c r="E162" i="2"/>
  <c r="F162" i="2"/>
  <c r="G162" i="2"/>
  <c r="H162" i="2"/>
  <c r="I162" i="2"/>
  <c r="J162" i="2"/>
  <c r="K162" i="2"/>
  <c r="L162" i="2"/>
  <c r="B163" i="2"/>
  <c r="C163" i="2"/>
  <c r="D163" i="2"/>
  <c r="E163" i="2"/>
  <c r="F163" i="2"/>
  <c r="G163" i="2"/>
  <c r="H163" i="2"/>
  <c r="I163" i="2"/>
  <c r="J163" i="2"/>
  <c r="K163" i="2"/>
  <c r="L163" i="2"/>
  <c r="B164" i="2"/>
  <c r="C164" i="2"/>
  <c r="D164" i="2"/>
  <c r="E164" i="2"/>
  <c r="F164" i="2"/>
  <c r="G164" i="2"/>
  <c r="H164" i="2"/>
  <c r="I164" i="2"/>
  <c r="J164" i="2"/>
  <c r="K164" i="2"/>
  <c r="L164" i="2"/>
  <c r="B165" i="2"/>
  <c r="C165" i="2"/>
  <c r="D165" i="2"/>
  <c r="E165" i="2"/>
  <c r="F165" i="2"/>
  <c r="G165" i="2"/>
  <c r="H165" i="2"/>
  <c r="I165" i="2"/>
  <c r="J165" i="2"/>
  <c r="K165" i="2"/>
  <c r="L165" i="2"/>
  <c r="B166" i="2"/>
  <c r="C166" i="2"/>
  <c r="D166" i="2"/>
  <c r="E166" i="2"/>
  <c r="F166" i="2"/>
  <c r="G166" i="2"/>
  <c r="H166" i="2"/>
  <c r="I166" i="2"/>
  <c r="J166" i="2"/>
  <c r="K166" i="2"/>
  <c r="L166" i="2"/>
  <c r="B167" i="2"/>
  <c r="C167" i="2"/>
  <c r="D167" i="2"/>
  <c r="E167" i="2"/>
  <c r="F167" i="2"/>
  <c r="G167" i="2"/>
  <c r="H167" i="2"/>
  <c r="I167" i="2"/>
  <c r="J167" i="2"/>
  <c r="K167" i="2"/>
  <c r="L167" i="2"/>
  <c r="B168" i="2"/>
  <c r="C168" i="2"/>
  <c r="D168" i="2"/>
  <c r="E168" i="2"/>
  <c r="F168" i="2"/>
  <c r="G168" i="2"/>
  <c r="H168" i="2"/>
  <c r="I168" i="2"/>
  <c r="J168" i="2"/>
  <c r="K168" i="2"/>
  <c r="L168" i="2"/>
  <c r="B169" i="2"/>
  <c r="C169" i="2"/>
  <c r="D169" i="2"/>
  <c r="E169" i="2"/>
  <c r="F169" i="2"/>
  <c r="G169" i="2"/>
  <c r="H169" i="2"/>
  <c r="I169" i="2"/>
  <c r="J169" i="2"/>
  <c r="K169" i="2"/>
  <c r="L169" i="2"/>
  <c r="B170" i="2"/>
  <c r="C170" i="2"/>
  <c r="D170" i="2"/>
  <c r="E170" i="2"/>
  <c r="F170" i="2"/>
  <c r="G170" i="2"/>
  <c r="H170" i="2"/>
  <c r="I170" i="2"/>
  <c r="J170" i="2"/>
  <c r="K170" i="2"/>
  <c r="L170" i="2"/>
  <c r="B171" i="2"/>
  <c r="C171" i="2"/>
  <c r="D171" i="2"/>
  <c r="E171" i="2"/>
  <c r="F171" i="2"/>
  <c r="G171" i="2"/>
  <c r="H171" i="2"/>
  <c r="I171" i="2"/>
  <c r="J171" i="2"/>
  <c r="K171" i="2"/>
  <c r="L171" i="2"/>
  <c r="B172" i="2"/>
  <c r="C172" i="2"/>
  <c r="D172" i="2"/>
  <c r="E172" i="2"/>
  <c r="F172" i="2"/>
  <c r="G172" i="2"/>
  <c r="H172" i="2"/>
  <c r="I172" i="2"/>
  <c r="J172" i="2"/>
  <c r="K172" i="2"/>
  <c r="L172" i="2"/>
  <c r="B173" i="2"/>
  <c r="C173" i="2"/>
  <c r="D173" i="2"/>
  <c r="E173" i="2"/>
  <c r="F173" i="2"/>
  <c r="G173" i="2"/>
  <c r="H173" i="2"/>
  <c r="I173" i="2"/>
  <c r="J173" i="2"/>
  <c r="K173" i="2"/>
  <c r="L173" i="2"/>
  <c r="B174" i="2"/>
  <c r="C174" i="2"/>
  <c r="D174" i="2"/>
  <c r="E174" i="2"/>
  <c r="F174" i="2"/>
  <c r="G174" i="2"/>
  <c r="H174" i="2"/>
  <c r="I174" i="2"/>
  <c r="J174" i="2"/>
  <c r="K174" i="2"/>
  <c r="L174" i="2"/>
  <c r="B175" i="2"/>
  <c r="C175" i="2"/>
  <c r="D175" i="2"/>
  <c r="E175" i="2"/>
  <c r="F175" i="2"/>
  <c r="G175" i="2"/>
  <c r="H175" i="2"/>
  <c r="I175" i="2"/>
  <c r="J175" i="2"/>
  <c r="K175" i="2"/>
  <c r="L175" i="2"/>
  <c r="B176" i="2"/>
  <c r="C176" i="2"/>
  <c r="D176" i="2"/>
  <c r="E176" i="2"/>
  <c r="F176" i="2"/>
  <c r="G176" i="2"/>
  <c r="H176" i="2"/>
  <c r="I176" i="2"/>
  <c r="J176" i="2"/>
  <c r="K176" i="2"/>
  <c r="L176" i="2"/>
  <c r="B177" i="2"/>
  <c r="C177" i="2"/>
  <c r="D177" i="2"/>
  <c r="E177" i="2"/>
  <c r="F177" i="2"/>
  <c r="G177" i="2"/>
  <c r="H177" i="2"/>
  <c r="I177" i="2"/>
  <c r="J177" i="2"/>
  <c r="K177" i="2"/>
  <c r="L177" i="2"/>
  <c r="B178" i="2"/>
  <c r="C178" i="2"/>
  <c r="D178" i="2"/>
  <c r="E178" i="2"/>
  <c r="F178" i="2"/>
  <c r="G178" i="2"/>
  <c r="H178" i="2"/>
  <c r="I178" i="2"/>
  <c r="J178" i="2"/>
  <c r="K178" i="2"/>
  <c r="L178" i="2"/>
  <c r="B179" i="2"/>
  <c r="C179" i="2"/>
  <c r="D179" i="2"/>
  <c r="E179" i="2"/>
  <c r="F179" i="2"/>
  <c r="G179" i="2"/>
  <c r="H179" i="2"/>
  <c r="I179" i="2"/>
  <c r="J179" i="2"/>
  <c r="K179" i="2"/>
  <c r="L179" i="2"/>
  <c r="B180" i="2"/>
  <c r="C180" i="2"/>
  <c r="D180" i="2"/>
  <c r="E180" i="2"/>
  <c r="F180" i="2"/>
  <c r="G180" i="2"/>
  <c r="H180" i="2"/>
  <c r="I180" i="2"/>
  <c r="J180" i="2"/>
  <c r="K180" i="2"/>
  <c r="L180" i="2"/>
  <c r="B181" i="2"/>
  <c r="C181" i="2"/>
  <c r="D181" i="2"/>
  <c r="E181" i="2"/>
  <c r="F181" i="2"/>
  <c r="G181" i="2"/>
  <c r="H181" i="2"/>
  <c r="I181" i="2"/>
  <c r="J181" i="2"/>
  <c r="K181" i="2"/>
  <c r="L181" i="2"/>
  <c r="B182" i="2"/>
  <c r="C182" i="2"/>
  <c r="D182" i="2"/>
  <c r="E182" i="2"/>
  <c r="F182" i="2"/>
  <c r="G182" i="2"/>
  <c r="H182" i="2"/>
  <c r="I182" i="2"/>
  <c r="J182" i="2"/>
  <c r="K182" i="2"/>
  <c r="L182" i="2"/>
  <c r="B183" i="2"/>
  <c r="C183" i="2"/>
  <c r="D183" i="2"/>
  <c r="E183" i="2"/>
  <c r="F183" i="2"/>
  <c r="G183" i="2"/>
  <c r="H183" i="2"/>
  <c r="I183" i="2"/>
  <c r="J183" i="2"/>
  <c r="K183" i="2"/>
  <c r="L183" i="2"/>
  <c r="B184" i="2"/>
  <c r="C184" i="2"/>
  <c r="D184" i="2"/>
  <c r="E184" i="2"/>
  <c r="F184" i="2"/>
  <c r="G184" i="2"/>
  <c r="H184" i="2"/>
  <c r="I184" i="2"/>
  <c r="J184" i="2"/>
  <c r="K184" i="2"/>
  <c r="L184" i="2"/>
  <c r="B185" i="2"/>
  <c r="C185" i="2"/>
  <c r="D185" i="2"/>
  <c r="E185" i="2"/>
  <c r="F185" i="2"/>
  <c r="G185" i="2"/>
  <c r="H185" i="2"/>
  <c r="I185" i="2"/>
  <c r="J185" i="2"/>
  <c r="K185" i="2"/>
  <c r="L185" i="2"/>
  <c r="B186" i="2"/>
  <c r="C186" i="2"/>
  <c r="D186" i="2"/>
  <c r="E186" i="2"/>
  <c r="F186" i="2"/>
  <c r="G186" i="2"/>
  <c r="H186" i="2"/>
  <c r="I186" i="2"/>
  <c r="J186" i="2"/>
  <c r="K186" i="2"/>
  <c r="L186" i="2"/>
  <c r="B187" i="2"/>
  <c r="C187" i="2"/>
  <c r="D187" i="2"/>
  <c r="E187" i="2"/>
  <c r="F187" i="2"/>
  <c r="G187" i="2"/>
  <c r="H187" i="2"/>
  <c r="I187" i="2"/>
  <c r="J187" i="2"/>
  <c r="K187" i="2"/>
  <c r="L187" i="2"/>
  <c r="B188" i="2"/>
  <c r="C188" i="2"/>
  <c r="D188" i="2"/>
  <c r="E188" i="2"/>
  <c r="F188" i="2"/>
  <c r="G188" i="2"/>
  <c r="H188" i="2"/>
  <c r="I188" i="2"/>
  <c r="J188" i="2"/>
  <c r="K188" i="2"/>
  <c r="L188" i="2"/>
  <c r="B189" i="2"/>
  <c r="C189" i="2"/>
  <c r="D189" i="2"/>
  <c r="E189" i="2"/>
  <c r="F189" i="2"/>
  <c r="G189" i="2"/>
  <c r="H189" i="2"/>
  <c r="I189" i="2"/>
  <c r="J189" i="2"/>
  <c r="K189" i="2"/>
  <c r="L189" i="2"/>
  <c r="B190" i="2"/>
  <c r="C190" i="2"/>
  <c r="D190" i="2"/>
  <c r="E190" i="2"/>
  <c r="F190" i="2"/>
  <c r="G190" i="2"/>
  <c r="H190" i="2"/>
  <c r="I190" i="2"/>
  <c r="J190" i="2"/>
  <c r="K190" i="2"/>
  <c r="L190" i="2"/>
  <c r="B191" i="2"/>
  <c r="C191" i="2"/>
  <c r="D191" i="2"/>
  <c r="E191" i="2"/>
  <c r="F191" i="2"/>
  <c r="G191" i="2"/>
  <c r="H191" i="2"/>
  <c r="I191" i="2"/>
  <c r="J191" i="2"/>
  <c r="K191" i="2"/>
  <c r="L191" i="2"/>
  <c r="B192" i="2"/>
  <c r="C192" i="2"/>
  <c r="D192" i="2"/>
  <c r="E192" i="2"/>
  <c r="F192" i="2"/>
  <c r="G192" i="2"/>
  <c r="H192" i="2"/>
  <c r="I192" i="2"/>
  <c r="J192" i="2"/>
  <c r="K192" i="2"/>
  <c r="L192" i="2"/>
  <c r="B193" i="2"/>
  <c r="C193" i="2"/>
  <c r="D193" i="2"/>
  <c r="E193" i="2"/>
  <c r="F193" i="2"/>
  <c r="G193" i="2"/>
  <c r="H193" i="2"/>
  <c r="I193" i="2"/>
  <c r="J193" i="2"/>
  <c r="K193" i="2"/>
  <c r="L193" i="2"/>
  <c r="B194" i="2"/>
  <c r="C194" i="2"/>
  <c r="D194" i="2"/>
  <c r="E194" i="2"/>
  <c r="F194" i="2"/>
  <c r="G194" i="2"/>
  <c r="H194" i="2"/>
  <c r="I194" i="2"/>
  <c r="J194" i="2"/>
  <c r="K194" i="2"/>
  <c r="L194" i="2"/>
  <c r="B195" i="2"/>
  <c r="C195" i="2"/>
  <c r="D195" i="2"/>
  <c r="E195" i="2"/>
  <c r="F195" i="2"/>
  <c r="G195" i="2"/>
  <c r="H195" i="2"/>
  <c r="I195" i="2"/>
  <c r="J195" i="2"/>
  <c r="K195" i="2"/>
  <c r="L195" i="2"/>
  <c r="B196" i="2"/>
  <c r="C196" i="2"/>
  <c r="D196" i="2"/>
  <c r="E196" i="2"/>
  <c r="F196" i="2"/>
  <c r="G196" i="2"/>
  <c r="H196" i="2"/>
  <c r="I196" i="2"/>
  <c r="J196" i="2"/>
  <c r="K196" i="2"/>
  <c r="L196" i="2"/>
  <c r="B197" i="2"/>
  <c r="C197" i="2"/>
  <c r="D197" i="2"/>
  <c r="E197" i="2"/>
  <c r="F197" i="2"/>
  <c r="G197" i="2"/>
  <c r="H197" i="2"/>
  <c r="I197" i="2"/>
  <c r="J197" i="2"/>
  <c r="K197" i="2"/>
  <c r="L197" i="2"/>
  <c r="B198" i="2"/>
  <c r="C198" i="2"/>
  <c r="D198" i="2"/>
  <c r="E198" i="2"/>
  <c r="F198" i="2"/>
  <c r="G198" i="2"/>
  <c r="H198" i="2"/>
  <c r="I198" i="2"/>
  <c r="J198" i="2"/>
  <c r="K198" i="2"/>
  <c r="L198" i="2"/>
  <c r="B199" i="2"/>
  <c r="C199" i="2"/>
  <c r="D199" i="2"/>
  <c r="E199" i="2"/>
  <c r="F199" i="2"/>
  <c r="G199" i="2"/>
  <c r="H199" i="2"/>
  <c r="I199" i="2"/>
  <c r="J199" i="2"/>
  <c r="K199" i="2"/>
  <c r="L199" i="2"/>
  <c r="B200" i="2"/>
  <c r="C200" i="2"/>
  <c r="D200" i="2"/>
  <c r="E200" i="2"/>
  <c r="F200" i="2"/>
  <c r="G200" i="2"/>
  <c r="H200" i="2"/>
  <c r="I200" i="2"/>
  <c r="J200" i="2"/>
  <c r="K200" i="2"/>
  <c r="L200" i="2"/>
  <c r="B201" i="2"/>
  <c r="C201" i="2"/>
  <c r="D201" i="2"/>
  <c r="E201" i="2"/>
  <c r="F201" i="2"/>
  <c r="G201" i="2"/>
  <c r="H201" i="2"/>
  <c r="I201" i="2"/>
  <c r="J201" i="2"/>
  <c r="K201" i="2"/>
  <c r="L201" i="2"/>
  <c r="B202" i="2"/>
  <c r="C202" i="2"/>
  <c r="D202" i="2"/>
  <c r="E202" i="2"/>
  <c r="F202" i="2"/>
  <c r="G202" i="2"/>
  <c r="H202" i="2"/>
  <c r="I202" i="2"/>
  <c r="J202" i="2"/>
  <c r="K202" i="2"/>
  <c r="L202" i="2"/>
  <c r="B203" i="2"/>
  <c r="C203" i="2"/>
  <c r="D203" i="2"/>
  <c r="E203" i="2"/>
  <c r="F203" i="2"/>
  <c r="G203" i="2"/>
  <c r="H203" i="2"/>
  <c r="I203" i="2"/>
  <c r="J203" i="2"/>
  <c r="K203" i="2"/>
  <c r="L203" i="2"/>
  <c r="B204" i="2"/>
  <c r="C204" i="2"/>
  <c r="D204" i="2"/>
  <c r="E204" i="2"/>
  <c r="F204" i="2"/>
  <c r="G204" i="2"/>
  <c r="H204" i="2"/>
  <c r="I204" i="2"/>
  <c r="J204" i="2"/>
  <c r="K204" i="2"/>
  <c r="L204" i="2"/>
  <c r="B205" i="2"/>
  <c r="C205" i="2"/>
  <c r="D205" i="2"/>
  <c r="E205" i="2"/>
  <c r="F205" i="2"/>
  <c r="G205" i="2"/>
  <c r="H205" i="2"/>
  <c r="I205" i="2"/>
  <c r="J205" i="2"/>
  <c r="K205" i="2"/>
  <c r="L205" i="2"/>
  <c r="B206" i="2"/>
  <c r="C206" i="2"/>
  <c r="D206" i="2"/>
  <c r="E206" i="2"/>
  <c r="F206" i="2"/>
  <c r="G206" i="2"/>
  <c r="H206" i="2"/>
  <c r="I206" i="2"/>
  <c r="J206" i="2"/>
  <c r="K206" i="2"/>
  <c r="L206" i="2"/>
  <c r="B207" i="2"/>
  <c r="C207" i="2"/>
  <c r="D207" i="2"/>
  <c r="E207" i="2"/>
  <c r="F207" i="2"/>
  <c r="G207" i="2"/>
  <c r="H207" i="2"/>
  <c r="I207" i="2"/>
  <c r="J207" i="2"/>
  <c r="K207" i="2"/>
  <c r="L207" i="2"/>
  <c r="B208" i="2"/>
  <c r="C208" i="2"/>
  <c r="D208" i="2"/>
  <c r="E208" i="2"/>
  <c r="F208" i="2"/>
  <c r="G208" i="2"/>
  <c r="H208" i="2"/>
  <c r="I208" i="2"/>
  <c r="J208" i="2"/>
  <c r="K208" i="2"/>
  <c r="L208" i="2"/>
  <c r="B209" i="2"/>
  <c r="C209" i="2"/>
  <c r="D209" i="2"/>
  <c r="E209" i="2"/>
  <c r="F209" i="2"/>
  <c r="G209" i="2"/>
  <c r="H209" i="2"/>
  <c r="I209" i="2"/>
  <c r="J209" i="2"/>
  <c r="K209" i="2"/>
  <c r="L209" i="2"/>
  <c r="B210" i="2"/>
  <c r="C210" i="2"/>
  <c r="D210" i="2"/>
  <c r="E210" i="2"/>
  <c r="F210" i="2"/>
  <c r="G210" i="2"/>
  <c r="H210" i="2"/>
  <c r="I210" i="2"/>
  <c r="J210" i="2"/>
  <c r="K210" i="2"/>
  <c r="L210" i="2"/>
  <c r="B211" i="2"/>
  <c r="C211" i="2"/>
  <c r="D211" i="2"/>
  <c r="E211" i="2"/>
  <c r="F211" i="2"/>
  <c r="G211" i="2"/>
  <c r="H211" i="2"/>
  <c r="I211" i="2"/>
  <c r="J211" i="2"/>
  <c r="K211" i="2"/>
  <c r="L211" i="2"/>
  <c r="B212" i="2"/>
  <c r="C212" i="2"/>
  <c r="D212" i="2"/>
  <c r="E212" i="2"/>
  <c r="F212" i="2"/>
  <c r="G212" i="2"/>
  <c r="H212" i="2"/>
  <c r="I212" i="2"/>
  <c r="J212" i="2"/>
  <c r="K212" i="2"/>
  <c r="L212" i="2"/>
  <c r="B213" i="2"/>
  <c r="C213" i="2"/>
  <c r="D213" i="2"/>
  <c r="E213" i="2"/>
  <c r="F213" i="2"/>
  <c r="G213" i="2"/>
  <c r="H213" i="2"/>
  <c r="I213" i="2"/>
  <c r="J213" i="2"/>
  <c r="K213" i="2"/>
  <c r="L213" i="2"/>
  <c r="B214" i="2"/>
  <c r="C214" i="2"/>
  <c r="D214" i="2"/>
  <c r="E214" i="2"/>
  <c r="F214" i="2"/>
  <c r="G214" i="2"/>
  <c r="H214" i="2"/>
  <c r="I214" i="2"/>
  <c r="J214" i="2"/>
  <c r="K214" i="2"/>
  <c r="L214" i="2"/>
  <c r="B215" i="2"/>
  <c r="C215" i="2"/>
  <c r="D215" i="2"/>
  <c r="E215" i="2"/>
  <c r="F215" i="2"/>
  <c r="G215" i="2"/>
  <c r="H215" i="2"/>
  <c r="I215" i="2"/>
  <c r="J215" i="2"/>
  <c r="K215" i="2"/>
  <c r="L215" i="2"/>
  <c r="B216" i="2"/>
  <c r="C216" i="2"/>
  <c r="D216" i="2"/>
  <c r="E216" i="2"/>
  <c r="F216" i="2"/>
  <c r="G216" i="2"/>
  <c r="H216" i="2"/>
  <c r="I216" i="2"/>
  <c r="J216" i="2"/>
  <c r="K216" i="2"/>
  <c r="L216" i="2"/>
  <c r="B217" i="2"/>
  <c r="C217" i="2"/>
  <c r="D217" i="2"/>
  <c r="E217" i="2"/>
  <c r="F217" i="2"/>
  <c r="G217" i="2"/>
  <c r="H217" i="2"/>
  <c r="I217" i="2"/>
  <c r="J217" i="2"/>
  <c r="K217" i="2"/>
  <c r="L217" i="2"/>
  <c r="B218" i="2"/>
  <c r="C218" i="2"/>
  <c r="D218" i="2"/>
  <c r="E218" i="2"/>
  <c r="F218" i="2"/>
  <c r="G218" i="2"/>
  <c r="H218" i="2"/>
  <c r="I218" i="2"/>
  <c r="J218" i="2"/>
  <c r="K218" i="2"/>
  <c r="L218" i="2"/>
  <c r="B219" i="2"/>
  <c r="C219" i="2"/>
  <c r="D219" i="2"/>
  <c r="E219" i="2"/>
  <c r="F219" i="2"/>
  <c r="G219" i="2"/>
  <c r="H219" i="2"/>
  <c r="I219" i="2"/>
  <c r="J219" i="2"/>
  <c r="K219" i="2"/>
  <c r="L219" i="2"/>
  <c r="B220" i="2"/>
  <c r="C220" i="2"/>
  <c r="D220" i="2"/>
  <c r="E220" i="2"/>
  <c r="F220" i="2"/>
  <c r="G220" i="2"/>
  <c r="H220" i="2"/>
  <c r="I220" i="2"/>
  <c r="J220" i="2"/>
  <c r="K220" i="2"/>
  <c r="L220" i="2"/>
  <c r="B221" i="2"/>
  <c r="C221" i="2"/>
  <c r="D221" i="2"/>
  <c r="E221" i="2"/>
  <c r="F221" i="2"/>
  <c r="G221" i="2"/>
  <c r="H221" i="2"/>
  <c r="I221" i="2"/>
  <c r="J221" i="2"/>
  <c r="K221" i="2"/>
  <c r="L221" i="2"/>
  <c r="B222" i="2"/>
  <c r="C222" i="2"/>
  <c r="D222" i="2"/>
  <c r="E222" i="2"/>
  <c r="F222" i="2"/>
  <c r="G222" i="2"/>
  <c r="H222" i="2"/>
  <c r="I222" i="2"/>
  <c r="J222" i="2"/>
  <c r="K222" i="2"/>
  <c r="L222" i="2"/>
  <c r="B223" i="2"/>
  <c r="C223" i="2"/>
  <c r="D223" i="2"/>
  <c r="E223" i="2"/>
  <c r="F223" i="2"/>
  <c r="G223" i="2"/>
  <c r="H223" i="2"/>
  <c r="I223" i="2"/>
  <c r="J223" i="2"/>
  <c r="K223" i="2"/>
  <c r="L223" i="2"/>
  <c r="B224" i="2"/>
  <c r="C224" i="2"/>
  <c r="D224" i="2"/>
  <c r="E224" i="2"/>
  <c r="F224" i="2"/>
  <c r="G224" i="2"/>
  <c r="H224" i="2"/>
  <c r="I224" i="2"/>
  <c r="J224" i="2"/>
  <c r="K224" i="2"/>
  <c r="L224" i="2"/>
  <c r="B225" i="2"/>
  <c r="C225" i="2"/>
  <c r="D225" i="2"/>
  <c r="E225" i="2"/>
  <c r="F225" i="2"/>
  <c r="G225" i="2"/>
  <c r="H225" i="2"/>
  <c r="I225" i="2"/>
  <c r="J225" i="2"/>
  <c r="K225" i="2"/>
  <c r="L225" i="2"/>
  <c r="B226" i="2"/>
  <c r="C226" i="2"/>
  <c r="D226" i="2"/>
  <c r="E226" i="2"/>
  <c r="F226" i="2"/>
  <c r="G226" i="2"/>
  <c r="H226" i="2"/>
  <c r="I226" i="2"/>
  <c r="J226" i="2"/>
  <c r="K226" i="2"/>
  <c r="L226" i="2"/>
  <c r="B227" i="2"/>
  <c r="C227" i="2"/>
  <c r="D227" i="2"/>
  <c r="E227" i="2"/>
  <c r="F227" i="2"/>
  <c r="G227" i="2"/>
  <c r="H227" i="2"/>
  <c r="I227" i="2"/>
  <c r="J227" i="2"/>
  <c r="K227" i="2"/>
  <c r="L227" i="2"/>
  <c r="B228" i="2"/>
  <c r="C228" i="2"/>
  <c r="D228" i="2"/>
  <c r="E228" i="2"/>
  <c r="F228" i="2"/>
  <c r="G228" i="2"/>
  <c r="H228" i="2"/>
  <c r="I228" i="2"/>
  <c r="J228" i="2"/>
  <c r="K228" i="2"/>
  <c r="L228" i="2"/>
  <c r="B229" i="2"/>
  <c r="C229" i="2"/>
  <c r="D229" i="2"/>
  <c r="E229" i="2"/>
  <c r="F229" i="2"/>
  <c r="G229" i="2"/>
  <c r="H229" i="2"/>
  <c r="I229" i="2"/>
  <c r="J229" i="2"/>
  <c r="K229" i="2"/>
  <c r="L229" i="2"/>
  <c r="B230" i="2"/>
  <c r="C230" i="2"/>
  <c r="D230" i="2"/>
  <c r="E230" i="2"/>
  <c r="F230" i="2"/>
  <c r="G230" i="2"/>
  <c r="H230" i="2"/>
  <c r="I230" i="2"/>
  <c r="J230" i="2"/>
  <c r="K230" i="2"/>
  <c r="L230" i="2"/>
  <c r="B231" i="2"/>
  <c r="C231" i="2"/>
  <c r="D231" i="2"/>
  <c r="E231" i="2"/>
  <c r="F231" i="2"/>
  <c r="G231" i="2"/>
  <c r="H231" i="2"/>
  <c r="I231" i="2"/>
  <c r="J231" i="2"/>
  <c r="K231" i="2"/>
  <c r="L231" i="2"/>
  <c r="B232" i="2"/>
  <c r="C232" i="2"/>
  <c r="D232" i="2"/>
  <c r="E232" i="2"/>
  <c r="F232" i="2"/>
  <c r="G232" i="2"/>
  <c r="H232" i="2"/>
  <c r="I232" i="2"/>
  <c r="J232" i="2"/>
  <c r="K232" i="2"/>
  <c r="L232" i="2"/>
  <c r="B233" i="2"/>
  <c r="C233" i="2"/>
  <c r="D233" i="2"/>
  <c r="E233" i="2"/>
  <c r="F233" i="2"/>
  <c r="G233" i="2"/>
  <c r="H233" i="2"/>
  <c r="I233" i="2"/>
  <c r="J233" i="2"/>
  <c r="K233" i="2"/>
  <c r="L233" i="2"/>
  <c r="B234" i="2"/>
  <c r="C234" i="2"/>
  <c r="D234" i="2"/>
  <c r="E234" i="2"/>
  <c r="F234" i="2"/>
  <c r="G234" i="2"/>
  <c r="H234" i="2"/>
  <c r="I234" i="2"/>
  <c r="J234" i="2"/>
  <c r="K234" i="2"/>
  <c r="L234" i="2"/>
  <c r="B235" i="2"/>
  <c r="C235" i="2"/>
  <c r="D235" i="2"/>
  <c r="E235" i="2"/>
  <c r="F235" i="2"/>
  <c r="G235" i="2"/>
  <c r="H235" i="2"/>
  <c r="I235" i="2"/>
  <c r="J235" i="2"/>
  <c r="K235" i="2"/>
  <c r="L235" i="2"/>
  <c r="B236" i="2"/>
  <c r="C236" i="2"/>
  <c r="D236" i="2"/>
  <c r="E236" i="2"/>
  <c r="F236" i="2"/>
  <c r="G236" i="2"/>
  <c r="H236" i="2"/>
  <c r="I236" i="2"/>
  <c r="J236" i="2"/>
  <c r="K236" i="2"/>
  <c r="L236" i="2"/>
  <c r="B237" i="2"/>
  <c r="C237" i="2"/>
  <c r="D237" i="2"/>
  <c r="E237" i="2"/>
  <c r="F237" i="2"/>
  <c r="G237" i="2"/>
  <c r="H237" i="2"/>
  <c r="I237" i="2"/>
  <c r="J237" i="2"/>
  <c r="K237" i="2"/>
  <c r="L237" i="2"/>
  <c r="B238" i="2"/>
  <c r="C238" i="2"/>
  <c r="D238" i="2"/>
  <c r="E238" i="2"/>
  <c r="F238" i="2"/>
  <c r="G238" i="2"/>
  <c r="H238" i="2"/>
  <c r="I238" i="2"/>
  <c r="J238" i="2"/>
  <c r="K238" i="2"/>
  <c r="L238" i="2"/>
  <c r="B239" i="2"/>
  <c r="C239" i="2"/>
  <c r="D239" i="2"/>
  <c r="E239" i="2"/>
  <c r="F239" i="2"/>
  <c r="G239" i="2"/>
  <c r="H239" i="2"/>
  <c r="I239" i="2"/>
  <c r="J239" i="2"/>
  <c r="K239" i="2"/>
  <c r="L239" i="2"/>
  <c r="B240" i="2"/>
  <c r="C240" i="2"/>
  <c r="D240" i="2"/>
  <c r="E240" i="2"/>
  <c r="F240" i="2"/>
  <c r="G240" i="2"/>
  <c r="H240" i="2"/>
  <c r="I240" i="2"/>
  <c r="J240" i="2"/>
  <c r="K240" i="2"/>
  <c r="L240" i="2"/>
  <c r="B241" i="2"/>
  <c r="C241" i="2"/>
  <c r="D241" i="2"/>
  <c r="E241" i="2"/>
  <c r="F241" i="2"/>
  <c r="G241" i="2"/>
  <c r="H241" i="2"/>
  <c r="I241" i="2"/>
  <c r="J241" i="2"/>
  <c r="K241" i="2"/>
  <c r="L241" i="2"/>
  <c r="B242" i="2"/>
  <c r="C242" i="2"/>
  <c r="D242" i="2"/>
  <c r="E242" i="2"/>
  <c r="F242" i="2"/>
  <c r="G242" i="2"/>
  <c r="H242" i="2"/>
  <c r="I242" i="2"/>
  <c r="J242" i="2"/>
  <c r="K242" i="2"/>
  <c r="L242" i="2"/>
  <c r="B243" i="2"/>
  <c r="C243" i="2"/>
  <c r="D243" i="2"/>
  <c r="E243" i="2"/>
  <c r="F243" i="2"/>
  <c r="G243" i="2"/>
  <c r="H243" i="2"/>
  <c r="I243" i="2"/>
  <c r="J243" i="2"/>
  <c r="K243" i="2"/>
  <c r="L243" i="2"/>
  <c r="B244" i="2"/>
  <c r="C244" i="2"/>
  <c r="D244" i="2"/>
  <c r="E244" i="2"/>
  <c r="F244" i="2"/>
  <c r="G244" i="2"/>
  <c r="H244" i="2"/>
  <c r="I244" i="2"/>
  <c r="J244" i="2"/>
  <c r="K244" i="2"/>
  <c r="L244" i="2"/>
  <c r="B245" i="2"/>
  <c r="C245" i="2"/>
  <c r="D245" i="2"/>
  <c r="E245" i="2"/>
  <c r="F245" i="2"/>
  <c r="G245" i="2"/>
  <c r="H245" i="2"/>
  <c r="I245" i="2"/>
  <c r="J245" i="2"/>
  <c r="K245" i="2"/>
  <c r="L245" i="2"/>
  <c r="B246" i="2"/>
  <c r="C246" i="2"/>
  <c r="D246" i="2"/>
  <c r="E246" i="2"/>
  <c r="F246" i="2"/>
  <c r="G246" i="2"/>
  <c r="H246" i="2"/>
  <c r="I246" i="2"/>
  <c r="J246" i="2"/>
  <c r="K246" i="2"/>
  <c r="L246" i="2"/>
  <c r="B247" i="2"/>
  <c r="C247" i="2"/>
  <c r="D247" i="2"/>
  <c r="E247" i="2"/>
  <c r="F247" i="2"/>
  <c r="G247" i="2"/>
  <c r="H247" i="2"/>
  <c r="I247" i="2"/>
  <c r="J247" i="2"/>
  <c r="K247" i="2"/>
  <c r="L247" i="2"/>
  <c r="B248" i="2"/>
  <c r="C248" i="2"/>
  <c r="D248" i="2"/>
  <c r="E248" i="2"/>
  <c r="F248" i="2"/>
  <c r="G248" i="2"/>
  <c r="H248" i="2"/>
  <c r="I248" i="2"/>
  <c r="J248" i="2"/>
  <c r="K248" i="2"/>
  <c r="L248" i="2"/>
  <c r="B249" i="2"/>
  <c r="C249" i="2"/>
  <c r="D249" i="2"/>
  <c r="E249" i="2"/>
  <c r="F249" i="2"/>
  <c r="G249" i="2"/>
  <c r="H249" i="2"/>
  <c r="I249" i="2"/>
  <c r="J249" i="2"/>
  <c r="K249" i="2"/>
  <c r="L249" i="2"/>
  <c r="B250" i="2"/>
  <c r="C250" i="2"/>
  <c r="D250" i="2"/>
  <c r="E250" i="2"/>
  <c r="F250" i="2"/>
  <c r="G250" i="2"/>
  <c r="H250" i="2"/>
  <c r="I250" i="2"/>
  <c r="J250" i="2"/>
  <c r="K250" i="2"/>
  <c r="L250" i="2"/>
  <c r="B251" i="2"/>
  <c r="C251" i="2"/>
  <c r="D251" i="2"/>
  <c r="E251" i="2"/>
  <c r="F251" i="2"/>
  <c r="G251" i="2"/>
  <c r="H251" i="2"/>
  <c r="I251" i="2"/>
  <c r="J251" i="2"/>
  <c r="K251" i="2"/>
  <c r="L251" i="2"/>
  <c r="B252" i="2"/>
  <c r="C252" i="2"/>
  <c r="D252" i="2"/>
  <c r="E252" i="2"/>
  <c r="F252" i="2"/>
  <c r="G252" i="2"/>
  <c r="H252" i="2"/>
  <c r="I252" i="2"/>
  <c r="J252" i="2"/>
  <c r="K252" i="2"/>
  <c r="L252" i="2"/>
  <c r="B253" i="2"/>
  <c r="C253" i="2"/>
  <c r="D253" i="2"/>
  <c r="E253" i="2"/>
  <c r="F253" i="2"/>
  <c r="G253" i="2"/>
  <c r="H253" i="2"/>
  <c r="I253" i="2"/>
  <c r="J253" i="2"/>
  <c r="K253" i="2"/>
  <c r="L253" i="2"/>
  <c r="B254" i="2"/>
  <c r="C254" i="2"/>
  <c r="D254" i="2"/>
  <c r="E254" i="2"/>
  <c r="F254" i="2"/>
  <c r="G254" i="2"/>
  <c r="H254" i="2"/>
  <c r="I254" i="2"/>
  <c r="J254" i="2"/>
  <c r="K254" i="2"/>
  <c r="L254" i="2"/>
  <c r="B255" i="2"/>
  <c r="C255" i="2"/>
  <c r="D255" i="2"/>
  <c r="E255" i="2"/>
  <c r="F255" i="2"/>
  <c r="G255" i="2"/>
  <c r="H255" i="2"/>
  <c r="I255" i="2"/>
  <c r="J255" i="2"/>
  <c r="K255" i="2"/>
  <c r="L255" i="2"/>
  <c r="B256" i="2"/>
  <c r="C256" i="2"/>
  <c r="D256" i="2"/>
  <c r="E256" i="2"/>
  <c r="F256" i="2"/>
  <c r="G256" i="2"/>
  <c r="H256" i="2"/>
  <c r="I256" i="2"/>
  <c r="J256" i="2"/>
  <c r="K256" i="2"/>
  <c r="L256" i="2"/>
  <c r="B257" i="2"/>
  <c r="C257" i="2"/>
  <c r="D257" i="2"/>
  <c r="E257" i="2"/>
  <c r="F257" i="2"/>
  <c r="G257" i="2"/>
  <c r="H257" i="2"/>
  <c r="I257" i="2"/>
  <c r="J257" i="2"/>
  <c r="K257" i="2"/>
  <c r="L257" i="2"/>
  <c r="B258" i="2"/>
  <c r="C258" i="2"/>
  <c r="D258" i="2"/>
  <c r="E258" i="2"/>
  <c r="F258" i="2"/>
  <c r="G258" i="2"/>
  <c r="H258" i="2"/>
  <c r="I258" i="2"/>
  <c r="J258" i="2"/>
  <c r="K258" i="2"/>
  <c r="L258" i="2"/>
  <c r="B259" i="2"/>
  <c r="C259" i="2"/>
  <c r="D259" i="2"/>
  <c r="E259" i="2"/>
  <c r="F259" i="2"/>
  <c r="G259" i="2"/>
  <c r="H259" i="2"/>
  <c r="I259" i="2"/>
  <c r="J259" i="2"/>
  <c r="K259" i="2"/>
  <c r="L259" i="2"/>
  <c r="B260" i="2"/>
  <c r="C260" i="2"/>
  <c r="D260" i="2"/>
  <c r="E260" i="2"/>
  <c r="F260" i="2"/>
  <c r="G260" i="2"/>
  <c r="H260" i="2"/>
  <c r="I260" i="2"/>
  <c r="J260" i="2"/>
  <c r="K260" i="2"/>
  <c r="L260" i="2"/>
  <c r="B261" i="2"/>
  <c r="C261" i="2"/>
  <c r="D261" i="2"/>
  <c r="E261" i="2"/>
  <c r="F261" i="2"/>
  <c r="G261" i="2"/>
  <c r="H261" i="2"/>
  <c r="I261" i="2"/>
  <c r="J261" i="2"/>
  <c r="K261" i="2"/>
  <c r="L261" i="2"/>
  <c r="B262" i="2"/>
  <c r="C262" i="2"/>
  <c r="D262" i="2"/>
  <c r="E262" i="2"/>
  <c r="F262" i="2"/>
  <c r="G262" i="2"/>
  <c r="H262" i="2"/>
  <c r="I262" i="2"/>
  <c r="J262" i="2"/>
  <c r="K262" i="2"/>
  <c r="L262" i="2"/>
  <c r="B263" i="2"/>
  <c r="C263" i="2"/>
  <c r="D263" i="2"/>
  <c r="E263" i="2"/>
  <c r="F263" i="2"/>
  <c r="G263" i="2"/>
  <c r="H263" i="2"/>
  <c r="I263" i="2"/>
  <c r="J263" i="2"/>
  <c r="K263" i="2"/>
  <c r="L263" i="2"/>
  <c r="B264" i="2"/>
  <c r="C264" i="2"/>
  <c r="D264" i="2"/>
  <c r="E264" i="2"/>
  <c r="F264" i="2"/>
  <c r="G264" i="2"/>
  <c r="H264" i="2"/>
  <c r="I264" i="2"/>
  <c r="J264" i="2"/>
  <c r="K264" i="2"/>
  <c r="L264" i="2"/>
  <c r="B265" i="2"/>
  <c r="C265" i="2"/>
  <c r="D265" i="2"/>
  <c r="E265" i="2"/>
  <c r="F265" i="2"/>
  <c r="G265" i="2"/>
  <c r="H265" i="2"/>
  <c r="I265" i="2"/>
  <c r="J265" i="2"/>
  <c r="K265" i="2"/>
  <c r="L265" i="2"/>
  <c r="B266" i="2"/>
  <c r="C266" i="2"/>
  <c r="D266" i="2"/>
  <c r="E266" i="2"/>
  <c r="F266" i="2"/>
  <c r="G266" i="2"/>
  <c r="H266" i="2"/>
  <c r="I266" i="2"/>
  <c r="J266" i="2"/>
  <c r="K266" i="2"/>
  <c r="L266" i="2"/>
  <c r="B267" i="2"/>
  <c r="C267" i="2"/>
  <c r="D267" i="2"/>
  <c r="E267" i="2"/>
  <c r="F267" i="2"/>
  <c r="G267" i="2"/>
  <c r="H267" i="2"/>
  <c r="I267" i="2"/>
  <c r="J267" i="2"/>
  <c r="K267" i="2"/>
  <c r="L267" i="2"/>
  <c r="B268" i="2"/>
  <c r="C268" i="2"/>
  <c r="D268" i="2"/>
  <c r="E268" i="2"/>
  <c r="F268" i="2"/>
  <c r="G268" i="2"/>
  <c r="H268" i="2"/>
  <c r="I268" i="2"/>
  <c r="J268" i="2"/>
  <c r="K268" i="2"/>
  <c r="L268" i="2"/>
  <c r="B269" i="2"/>
  <c r="C269" i="2"/>
  <c r="D269" i="2"/>
  <c r="E269" i="2"/>
  <c r="F269" i="2"/>
  <c r="G269" i="2"/>
  <c r="H269" i="2"/>
  <c r="I269" i="2"/>
  <c r="J269" i="2"/>
  <c r="K269" i="2"/>
  <c r="L269" i="2"/>
  <c r="B270" i="2"/>
  <c r="C270" i="2"/>
  <c r="D270" i="2"/>
  <c r="E270" i="2"/>
  <c r="F270" i="2"/>
  <c r="G270" i="2"/>
  <c r="H270" i="2"/>
  <c r="I270" i="2"/>
  <c r="J270" i="2"/>
  <c r="K270" i="2"/>
  <c r="L270" i="2"/>
  <c r="B271" i="2"/>
  <c r="C271" i="2"/>
  <c r="D271" i="2"/>
  <c r="E271" i="2"/>
  <c r="F271" i="2"/>
  <c r="G271" i="2"/>
  <c r="H271" i="2"/>
  <c r="I271" i="2"/>
  <c r="J271" i="2"/>
  <c r="K271" i="2"/>
  <c r="L271" i="2"/>
  <c r="B272" i="2"/>
  <c r="C272" i="2"/>
  <c r="D272" i="2"/>
  <c r="E272" i="2"/>
  <c r="F272" i="2"/>
  <c r="G272" i="2"/>
  <c r="H272" i="2"/>
  <c r="I272" i="2"/>
  <c r="J272" i="2"/>
  <c r="K272" i="2"/>
  <c r="L272" i="2"/>
  <c r="B273" i="2"/>
  <c r="C273" i="2"/>
  <c r="D273" i="2"/>
  <c r="E273" i="2"/>
  <c r="F273" i="2"/>
  <c r="G273" i="2"/>
  <c r="H273" i="2"/>
  <c r="I273" i="2"/>
  <c r="J273" i="2"/>
  <c r="K273" i="2"/>
  <c r="L273" i="2"/>
  <c r="B274" i="2"/>
  <c r="C274" i="2"/>
  <c r="D274" i="2"/>
  <c r="E274" i="2"/>
  <c r="F274" i="2"/>
  <c r="G274" i="2"/>
  <c r="H274" i="2"/>
  <c r="I274" i="2"/>
  <c r="J274" i="2"/>
  <c r="K274" i="2"/>
  <c r="L274" i="2"/>
  <c r="B275" i="2"/>
  <c r="C275" i="2"/>
  <c r="D275" i="2"/>
  <c r="E275" i="2"/>
  <c r="F275" i="2"/>
  <c r="G275" i="2"/>
  <c r="H275" i="2"/>
  <c r="I275" i="2"/>
  <c r="J275" i="2"/>
  <c r="K275" i="2"/>
  <c r="L275" i="2"/>
  <c r="B276" i="2"/>
  <c r="C276" i="2"/>
  <c r="D276" i="2"/>
  <c r="E276" i="2"/>
  <c r="F276" i="2"/>
  <c r="G276" i="2"/>
  <c r="H276" i="2"/>
  <c r="I276" i="2"/>
  <c r="J276" i="2"/>
  <c r="K276" i="2"/>
  <c r="L276" i="2"/>
  <c r="B277" i="2"/>
  <c r="C277" i="2"/>
  <c r="D277" i="2"/>
  <c r="E277" i="2"/>
  <c r="F277" i="2"/>
  <c r="G277" i="2"/>
  <c r="H277" i="2"/>
  <c r="I277" i="2"/>
  <c r="J277" i="2"/>
  <c r="K277" i="2"/>
  <c r="L277" i="2"/>
  <c r="B278" i="2"/>
  <c r="C278" i="2"/>
  <c r="D278" i="2"/>
  <c r="E278" i="2"/>
  <c r="F278" i="2"/>
  <c r="G278" i="2"/>
  <c r="H278" i="2"/>
  <c r="I278" i="2"/>
  <c r="J278" i="2"/>
  <c r="K278" i="2"/>
  <c r="L278" i="2"/>
  <c r="B279" i="2"/>
  <c r="C279" i="2"/>
  <c r="D279" i="2"/>
  <c r="E279" i="2"/>
  <c r="F279" i="2"/>
  <c r="G279" i="2"/>
  <c r="H279" i="2"/>
  <c r="I279" i="2"/>
  <c r="J279" i="2"/>
  <c r="K279" i="2"/>
  <c r="L279" i="2"/>
  <c r="B280" i="2"/>
  <c r="C280" i="2"/>
  <c r="D280" i="2"/>
  <c r="E280" i="2"/>
  <c r="F280" i="2"/>
  <c r="G280" i="2"/>
  <c r="H280" i="2"/>
  <c r="I280" i="2"/>
  <c r="J280" i="2"/>
  <c r="K280" i="2"/>
  <c r="L280" i="2"/>
  <c r="B281" i="2"/>
  <c r="C281" i="2"/>
  <c r="D281" i="2"/>
  <c r="E281" i="2"/>
  <c r="F281" i="2"/>
  <c r="G281" i="2"/>
  <c r="H281" i="2"/>
  <c r="I281" i="2"/>
  <c r="J281" i="2"/>
  <c r="K281" i="2"/>
  <c r="L281" i="2"/>
  <c r="B282" i="2"/>
  <c r="C282" i="2"/>
  <c r="D282" i="2"/>
  <c r="E282" i="2"/>
  <c r="F282" i="2"/>
  <c r="G282" i="2"/>
  <c r="H282" i="2"/>
  <c r="I282" i="2"/>
  <c r="J282" i="2"/>
  <c r="K282" i="2"/>
  <c r="L282" i="2"/>
  <c r="B283" i="2"/>
  <c r="C283" i="2"/>
  <c r="D283" i="2"/>
  <c r="E283" i="2"/>
  <c r="F283" i="2"/>
  <c r="G283" i="2"/>
  <c r="H283" i="2"/>
  <c r="I283" i="2"/>
  <c r="J283" i="2"/>
  <c r="K283" i="2"/>
  <c r="L283" i="2"/>
  <c r="B284" i="2"/>
  <c r="C284" i="2"/>
  <c r="D284" i="2"/>
  <c r="E284" i="2"/>
  <c r="F284" i="2"/>
  <c r="G284" i="2"/>
  <c r="H284" i="2"/>
  <c r="I284" i="2"/>
  <c r="J284" i="2"/>
  <c r="K284" i="2"/>
  <c r="L284" i="2"/>
  <c r="B285" i="2"/>
  <c r="C285" i="2"/>
  <c r="D285" i="2"/>
  <c r="E285" i="2"/>
  <c r="F285" i="2"/>
  <c r="G285" i="2"/>
  <c r="H285" i="2"/>
  <c r="I285" i="2"/>
  <c r="J285" i="2"/>
  <c r="K285" i="2"/>
  <c r="L285" i="2"/>
  <c r="B286" i="2"/>
  <c r="C286" i="2"/>
  <c r="D286" i="2"/>
  <c r="E286" i="2"/>
  <c r="F286" i="2"/>
  <c r="G286" i="2"/>
  <c r="H286" i="2"/>
  <c r="I286" i="2"/>
  <c r="J286" i="2"/>
  <c r="K286" i="2"/>
  <c r="L286" i="2"/>
  <c r="B287" i="2"/>
  <c r="C287" i="2"/>
  <c r="D287" i="2"/>
  <c r="E287" i="2"/>
  <c r="F287" i="2"/>
  <c r="G287" i="2"/>
  <c r="H287" i="2"/>
  <c r="I287" i="2"/>
  <c r="J287" i="2"/>
  <c r="K287" i="2"/>
  <c r="L287" i="2"/>
  <c r="B288" i="2"/>
  <c r="C288" i="2"/>
  <c r="D288" i="2"/>
  <c r="E288" i="2"/>
  <c r="F288" i="2"/>
  <c r="G288" i="2"/>
  <c r="H288" i="2"/>
  <c r="I288" i="2"/>
  <c r="J288" i="2"/>
  <c r="K288" i="2"/>
  <c r="L288" i="2"/>
  <c r="B289" i="2"/>
  <c r="C289" i="2"/>
  <c r="D289" i="2"/>
  <c r="E289" i="2"/>
  <c r="F289" i="2"/>
  <c r="G289" i="2"/>
  <c r="H289" i="2"/>
  <c r="I289" i="2"/>
  <c r="J289" i="2"/>
  <c r="K289" i="2"/>
  <c r="L289" i="2"/>
  <c r="B290" i="2"/>
  <c r="C290" i="2"/>
  <c r="D290" i="2"/>
  <c r="E290" i="2"/>
  <c r="F290" i="2"/>
  <c r="G290" i="2"/>
  <c r="H290" i="2"/>
  <c r="I290" i="2"/>
  <c r="J290" i="2"/>
  <c r="K290" i="2"/>
  <c r="L290" i="2"/>
  <c r="B291" i="2"/>
  <c r="C291" i="2"/>
  <c r="D291" i="2"/>
  <c r="E291" i="2"/>
  <c r="F291" i="2"/>
  <c r="G291" i="2"/>
  <c r="H291" i="2"/>
  <c r="I291" i="2"/>
  <c r="J291" i="2"/>
  <c r="K291" i="2"/>
  <c r="L291" i="2"/>
  <c r="B292" i="2"/>
  <c r="C292" i="2"/>
  <c r="D292" i="2"/>
  <c r="E292" i="2"/>
  <c r="F292" i="2"/>
  <c r="G292" i="2"/>
  <c r="H292" i="2"/>
  <c r="I292" i="2"/>
  <c r="J292" i="2"/>
  <c r="K292" i="2"/>
  <c r="L292" i="2"/>
  <c r="B293" i="2"/>
  <c r="C293" i="2"/>
  <c r="D293" i="2"/>
  <c r="E293" i="2"/>
  <c r="F293" i="2"/>
  <c r="G293" i="2"/>
  <c r="H293" i="2"/>
  <c r="I293" i="2"/>
  <c r="J293" i="2"/>
  <c r="K293" i="2"/>
  <c r="L293" i="2"/>
  <c r="B294" i="2"/>
  <c r="C294" i="2"/>
  <c r="D294" i="2"/>
  <c r="E294" i="2"/>
  <c r="F294" i="2"/>
  <c r="G294" i="2"/>
  <c r="H294" i="2"/>
  <c r="I294" i="2"/>
  <c r="J294" i="2"/>
  <c r="K294" i="2"/>
  <c r="L294" i="2"/>
  <c r="B295" i="2"/>
  <c r="C295" i="2"/>
  <c r="D295" i="2"/>
  <c r="E295" i="2"/>
  <c r="F295" i="2"/>
  <c r="G295" i="2"/>
  <c r="H295" i="2"/>
  <c r="I295" i="2"/>
  <c r="J295" i="2"/>
  <c r="K295" i="2"/>
  <c r="L295" i="2"/>
  <c r="B296" i="2"/>
  <c r="C296" i="2"/>
  <c r="D296" i="2"/>
  <c r="E296" i="2"/>
  <c r="F296" i="2"/>
  <c r="G296" i="2"/>
  <c r="H296" i="2"/>
  <c r="I296" i="2"/>
  <c r="J296" i="2"/>
  <c r="K296" i="2"/>
  <c r="L296" i="2"/>
  <c r="B297" i="2"/>
  <c r="C297" i="2"/>
  <c r="D297" i="2"/>
  <c r="E297" i="2"/>
  <c r="F297" i="2"/>
  <c r="G297" i="2"/>
  <c r="H297" i="2"/>
  <c r="I297" i="2"/>
  <c r="J297" i="2"/>
  <c r="K297" i="2"/>
  <c r="L297" i="2"/>
  <c r="B298" i="2"/>
  <c r="C298" i="2"/>
  <c r="D298" i="2"/>
  <c r="E298" i="2"/>
  <c r="F298" i="2"/>
  <c r="G298" i="2"/>
  <c r="H298" i="2"/>
  <c r="I298" i="2"/>
  <c r="J298" i="2"/>
  <c r="K298" i="2"/>
  <c r="L298" i="2"/>
  <c r="B299" i="2"/>
  <c r="C299" i="2"/>
  <c r="D299" i="2"/>
  <c r="E299" i="2"/>
  <c r="F299" i="2"/>
  <c r="G299" i="2"/>
  <c r="H299" i="2"/>
  <c r="I299" i="2"/>
  <c r="J299" i="2"/>
  <c r="K299" i="2"/>
  <c r="L299" i="2"/>
  <c r="B300" i="2"/>
  <c r="C300" i="2"/>
  <c r="D300" i="2"/>
  <c r="E300" i="2"/>
  <c r="F300" i="2"/>
  <c r="G300" i="2"/>
  <c r="H300" i="2"/>
  <c r="I300" i="2"/>
  <c r="J300" i="2"/>
  <c r="K300" i="2"/>
  <c r="L300" i="2"/>
  <c r="B301" i="2"/>
  <c r="C301" i="2"/>
  <c r="D301" i="2"/>
  <c r="E301" i="2"/>
  <c r="F301" i="2"/>
  <c r="G301" i="2"/>
  <c r="H301" i="2"/>
  <c r="I301" i="2"/>
  <c r="J301" i="2"/>
  <c r="K301" i="2"/>
  <c r="L301" i="2"/>
  <c r="B302" i="2"/>
  <c r="C302" i="2"/>
  <c r="D302" i="2"/>
  <c r="E302" i="2"/>
  <c r="F302" i="2"/>
  <c r="G302" i="2"/>
  <c r="H302" i="2"/>
  <c r="I302" i="2"/>
  <c r="J302" i="2"/>
  <c r="K302" i="2"/>
  <c r="L302" i="2"/>
  <c r="B303" i="2"/>
  <c r="C303" i="2"/>
  <c r="D303" i="2"/>
  <c r="E303" i="2"/>
  <c r="F303" i="2"/>
  <c r="G303" i="2"/>
  <c r="H303" i="2"/>
  <c r="I303" i="2"/>
  <c r="J303" i="2"/>
  <c r="K303" i="2"/>
  <c r="L303" i="2"/>
  <c r="B304" i="2"/>
  <c r="C304" i="2"/>
  <c r="D304" i="2"/>
  <c r="E304" i="2"/>
  <c r="F304" i="2"/>
  <c r="G304" i="2"/>
  <c r="H304" i="2"/>
  <c r="I304" i="2"/>
  <c r="J304" i="2"/>
  <c r="K304" i="2"/>
  <c r="L304" i="2"/>
  <c r="B305" i="2"/>
  <c r="C305" i="2"/>
  <c r="D305" i="2"/>
  <c r="E305" i="2"/>
  <c r="F305" i="2"/>
  <c r="G305" i="2"/>
  <c r="H305" i="2"/>
  <c r="I305" i="2"/>
  <c r="J305" i="2"/>
  <c r="K305" i="2"/>
  <c r="L305" i="2"/>
  <c r="B306" i="2"/>
  <c r="C306" i="2"/>
  <c r="D306" i="2"/>
  <c r="E306" i="2"/>
  <c r="F306" i="2"/>
  <c r="G306" i="2"/>
  <c r="H306" i="2"/>
  <c r="I306" i="2"/>
  <c r="J306" i="2"/>
  <c r="K306" i="2"/>
  <c r="L306" i="2"/>
  <c r="B307" i="2"/>
  <c r="C307" i="2"/>
  <c r="D307" i="2"/>
  <c r="E307" i="2"/>
  <c r="F307" i="2"/>
  <c r="G307" i="2"/>
  <c r="H307" i="2"/>
  <c r="I307" i="2"/>
  <c r="J307" i="2"/>
  <c r="K307" i="2"/>
  <c r="L307" i="2"/>
  <c r="B308" i="2"/>
  <c r="C308" i="2"/>
  <c r="D308" i="2"/>
  <c r="E308" i="2"/>
  <c r="F308" i="2"/>
  <c r="G308" i="2"/>
  <c r="H308" i="2"/>
  <c r="I308" i="2"/>
  <c r="J308" i="2"/>
  <c r="K308" i="2"/>
  <c r="L308" i="2"/>
  <c r="B309" i="2"/>
  <c r="C309" i="2"/>
  <c r="D309" i="2"/>
  <c r="E309" i="2"/>
  <c r="F309" i="2"/>
  <c r="G309" i="2"/>
  <c r="H309" i="2"/>
  <c r="I309" i="2"/>
  <c r="J309" i="2"/>
  <c r="K309" i="2"/>
  <c r="L309" i="2"/>
  <c r="B310" i="2"/>
  <c r="C310" i="2"/>
  <c r="D310" i="2"/>
  <c r="E310" i="2"/>
  <c r="F310" i="2"/>
  <c r="G310" i="2"/>
  <c r="H310" i="2"/>
  <c r="I310" i="2"/>
  <c r="J310" i="2"/>
  <c r="K310" i="2"/>
  <c r="L310" i="2"/>
  <c r="B311" i="2"/>
  <c r="C311" i="2"/>
  <c r="D311" i="2"/>
  <c r="E311" i="2"/>
  <c r="F311" i="2"/>
  <c r="G311" i="2"/>
  <c r="H311" i="2"/>
  <c r="I311" i="2"/>
  <c r="J311" i="2"/>
  <c r="K311" i="2"/>
  <c r="L311" i="2"/>
  <c r="B312" i="2"/>
  <c r="C312" i="2"/>
  <c r="D312" i="2"/>
  <c r="E312" i="2"/>
  <c r="F312" i="2"/>
  <c r="G312" i="2"/>
  <c r="H312" i="2"/>
  <c r="I312" i="2"/>
  <c r="J312" i="2"/>
  <c r="K312" i="2"/>
  <c r="L312" i="2"/>
  <c r="B313" i="2"/>
  <c r="C313" i="2"/>
  <c r="D313" i="2"/>
  <c r="E313" i="2"/>
  <c r="F313" i="2"/>
  <c r="G313" i="2"/>
  <c r="H313" i="2"/>
  <c r="I313" i="2"/>
  <c r="J313" i="2"/>
  <c r="K313" i="2"/>
  <c r="L313" i="2"/>
  <c r="B314" i="2"/>
  <c r="C314" i="2"/>
  <c r="D314" i="2"/>
  <c r="E314" i="2"/>
  <c r="F314" i="2"/>
  <c r="G314" i="2"/>
  <c r="H314" i="2"/>
  <c r="I314" i="2"/>
  <c r="J314" i="2"/>
  <c r="K314" i="2"/>
  <c r="L314" i="2"/>
  <c r="B315" i="2"/>
  <c r="C315" i="2"/>
  <c r="D315" i="2"/>
  <c r="E315" i="2"/>
  <c r="F315" i="2"/>
  <c r="G315" i="2"/>
  <c r="H315" i="2"/>
  <c r="I315" i="2"/>
  <c r="J315" i="2"/>
  <c r="K315" i="2"/>
  <c r="L315" i="2"/>
  <c r="B316" i="2"/>
  <c r="C316" i="2"/>
  <c r="D316" i="2"/>
  <c r="E316" i="2"/>
  <c r="F316" i="2"/>
  <c r="G316" i="2"/>
  <c r="H316" i="2"/>
  <c r="I316" i="2"/>
  <c r="J316" i="2"/>
  <c r="K316" i="2"/>
  <c r="L316" i="2"/>
  <c r="B317" i="2"/>
  <c r="C317" i="2"/>
  <c r="D317" i="2"/>
  <c r="E317" i="2"/>
  <c r="F317" i="2"/>
  <c r="G317" i="2"/>
  <c r="H317" i="2"/>
  <c r="I317" i="2"/>
  <c r="J317" i="2"/>
  <c r="K317" i="2"/>
  <c r="L317" i="2"/>
  <c r="B318" i="2"/>
  <c r="C318" i="2"/>
  <c r="D318" i="2"/>
  <c r="E318" i="2"/>
  <c r="F318" i="2"/>
  <c r="G318" i="2"/>
  <c r="H318" i="2"/>
  <c r="I318" i="2"/>
  <c r="J318" i="2"/>
  <c r="K318" i="2"/>
  <c r="L318" i="2"/>
  <c r="B319" i="2"/>
  <c r="C319" i="2"/>
  <c r="D319" i="2"/>
  <c r="E319" i="2"/>
  <c r="F319" i="2"/>
  <c r="G319" i="2"/>
  <c r="H319" i="2"/>
  <c r="I319" i="2"/>
  <c r="J319" i="2"/>
  <c r="K319" i="2"/>
  <c r="L319" i="2"/>
  <c r="B320" i="2"/>
  <c r="C320" i="2"/>
  <c r="D320" i="2"/>
  <c r="E320" i="2"/>
  <c r="F320" i="2"/>
  <c r="G320" i="2"/>
  <c r="H320" i="2"/>
  <c r="I320" i="2"/>
  <c r="J320" i="2"/>
  <c r="K320" i="2"/>
  <c r="L320" i="2"/>
  <c r="B321" i="2"/>
  <c r="C321" i="2"/>
  <c r="D321" i="2"/>
  <c r="E321" i="2"/>
  <c r="F321" i="2"/>
  <c r="G321" i="2"/>
  <c r="H321" i="2"/>
  <c r="I321" i="2"/>
  <c r="J321" i="2"/>
  <c r="K321" i="2"/>
  <c r="L321" i="2"/>
  <c r="B322" i="2"/>
  <c r="C322" i="2"/>
  <c r="D322" i="2"/>
  <c r="E322" i="2"/>
  <c r="F322" i="2"/>
  <c r="G322" i="2"/>
  <c r="H322" i="2"/>
  <c r="I322" i="2"/>
  <c r="J322" i="2"/>
  <c r="K322" i="2"/>
  <c r="L322" i="2"/>
  <c r="B323" i="2"/>
  <c r="C323" i="2"/>
  <c r="D323" i="2"/>
  <c r="E323" i="2"/>
  <c r="F323" i="2"/>
  <c r="G323" i="2"/>
  <c r="H323" i="2"/>
  <c r="I323" i="2"/>
  <c r="J323" i="2"/>
  <c r="K323" i="2"/>
  <c r="L323" i="2"/>
  <c r="B324" i="2"/>
  <c r="C324" i="2"/>
  <c r="D324" i="2"/>
  <c r="E324" i="2"/>
  <c r="F324" i="2"/>
  <c r="G324" i="2"/>
  <c r="H324" i="2"/>
  <c r="I324" i="2"/>
  <c r="J324" i="2"/>
  <c r="K324" i="2"/>
  <c r="L324" i="2"/>
  <c r="B325" i="2"/>
  <c r="C325" i="2"/>
  <c r="D325" i="2"/>
  <c r="E325" i="2"/>
  <c r="F325" i="2"/>
  <c r="G325" i="2"/>
  <c r="H325" i="2"/>
  <c r="I325" i="2"/>
  <c r="J325" i="2"/>
  <c r="K325" i="2"/>
  <c r="L325" i="2"/>
  <c r="B326" i="2"/>
  <c r="C326" i="2"/>
  <c r="D326" i="2"/>
  <c r="E326" i="2"/>
  <c r="F326" i="2"/>
  <c r="G326" i="2"/>
  <c r="H326" i="2"/>
  <c r="I326" i="2"/>
  <c r="J326" i="2"/>
  <c r="K326" i="2"/>
  <c r="L326" i="2"/>
  <c r="B327" i="2"/>
  <c r="C327" i="2"/>
  <c r="D327" i="2"/>
  <c r="E327" i="2"/>
  <c r="F327" i="2"/>
  <c r="G327" i="2"/>
  <c r="H327" i="2"/>
  <c r="I327" i="2"/>
  <c r="J327" i="2"/>
  <c r="K327" i="2"/>
  <c r="L327" i="2"/>
  <c r="B328" i="2"/>
  <c r="C328" i="2"/>
  <c r="D328" i="2"/>
  <c r="E328" i="2"/>
  <c r="F328" i="2"/>
  <c r="G328" i="2"/>
  <c r="H328" i="2"/>
  <c r="I328" i="2"/>
  <c r="J328" i="2"/>
  <c r="K328" i="2"/>
  <c r="L328" i="2"/>
  <c r="B329" i="2"/>
  <c r="C329" i="2"/>
  <c r="D329" i="2"/>
  <c r="E329" i="2"/>
  <c r="F329" i="2"/>
  <c r="G329" i="2"/>
  <c r="H329" i="2"/>
  <c r="I329" i="2"/>
  <c r="J329" i="2"/>
  <c r="K329" i="2"/>
  <c r="L329" i="2"/>
  <c r="B330" i="2"/>
  <c r="C330" i="2"/>
  <c r="D330" i="2"/>
  <c r="E330" i="2"/>
  <c r="F330" i="2"/>
  <c r="G330" i="2"/>
  <c r="H330" i="2"/>
  <c r="I330" i="2"/>
  <c r="J330" i="2"/>
  <c r="K330" i="2"/>
  <c r="L330" i="2"/>
  <c r="B331" i="2"/>
  <c r="C331" i="2"/>
  <c r="D331" i="2"/>
  <c r="E331" i="2"/>
  <c r="F331" i="2"/>
  <c r="G331" i="2"/>
  <c r="H331" i="2"/>
  <c r="I331" i="2"/>
  <c r="J331" i="2"/>
  <c r="K331" i="2"/>
  <c r="L331" i="2"/>
  <c r="B332" i="2"/>
  <c r="C332" i="2"/>
  <c r="D332" i="2"/>
  <c r="E332" i="2"/>
  <c r="F332" i="2"/>
  <c r="G332" i="2"/>
  <c r="H332" i="2"/>
  <c r="I332" i="2"/>
  <c r="J332" i="2"/>
  <c r="K332" i="2"/>
  <c r="L332" i="2"/>
  <c r="B333" i="2"/>
  <c r="C333" i="2"/>
  <c r="D333" i="2"/>
  <c r="E333" i="2"/>
  <c r="F333" i="2"/>
  <c r="G333" i="2"/>
  <c r="H333" i="2"/>
  <c r="I333" i="2"/>
  <c r="J333" i="2"/>
  <c r="K333" i="2"/>
  <c r="L333" i="2"/>
  <c r="B334" i="2"/>
  <c r="C334" i="2"/>
  <c r="D334" i="2"/>
  <c r="E334" i="2"/>
  <c r="F334" i="2"/>
  <c r="G334" i="2"/>
  <c r="H334" i="2"/>
  <c r="I334" i="2"/>
  <c r="J334" i="2"/>
  <c r="K334" i="2"/>
  <c r="L334" i="2"/>
  <c r="B335" i="2"/>
  <c r="C335" i="2"/>
  <c r="D335" i="2"/>
  <c r="E335" i="2"/>
  <c r="F335" i="2"/>
  <c r="G335" i="2"/>
  <c r="H335" i="2"/>
  <c r="I335" i="2"/>
  <c r="J335" i="2"/>
  <c r="K335" i="2"/>
  <c r="L335" i="2"/>
  <c r="B336" i="2"/>
  <c r="C336" i="2"/>
  <c r="D336" i="2"/>
  <c r="E336" i="2"/>
  <c r="F336" i="2"/>
  <c r="G336" i="2"/>
  <c r="H336" i="2"/>
  <c r="I336" i="2"/>
  <c r="J336" i="2"/>
  <c r="K336" i="2"/>
  <c r="L336" i="2"/>
  <c r="B337" i="2"/>
  <c r="C337" i="2"/>
  <c r="D337" i="2"/>
  <c r="E337" i="2"/>
  <c r="F337" i="2"/>
  <c r="G337" i="2"/>
  <c r="H337" i="2"/>
  <c r="I337" i="2"/>
  <c r="J337" i="2"/>
  <c r="K337" i="2"/>
  <c r="L337" i="2"/>
  <c r="B338" i="2"/>
  <c r="C338" i="2"/>
  <c r="D338" i="2"/>
  <c r="E338" i="2"/>
  <c r="F338" i="2"/>
  <c r="G338" i="2"/>
  <c r="H338" i="2"/>
  <c r="I338" i="2"/>
  <c r="J338" i="2"/>
  <c r="K338" i="2"/>
  <c r="L338" i="2"/>
  <c r="B339" i="2"/>
  <c r="C339" i="2"/>
  <c r="D339" i="2"/>
  <c r="E339" i="2"/>
  <c r="F339" i="2"/>
  <c r="G339" i="2"/>
  <c r="H339" i="2"/>
  <c r="I339" i="2"/>
  <c r="J339" i="2"/>
  <c r="K339" i="2"/>
  <c r="L339" i="2"/>
  <c r="B340" i="2"/>
  <c r="C340" i="2"/>
  <c r="D340" i="2"/>
  <c r="E340" i="2"/>
  <c r="F340" i="2"/>
  <c r="G340" i="2"/>
  <c r="H340" i="2"/>
  <c r="I340" i="2"/>
  <c r="J340" i="2"/>
  <c r="K340" i="2"/>
  <c r="L340" i="2"/>
  <c r="B341" i="2"/>
  <c r="C341" i="2"/>
  <c r="D341" i="2"/>
  <c r="E341" i="2"/>
  <c r="F341" i="2"/>
  <c r="G341" i="2"/>
  <c r="H341" i="2"/>
  <c r="I341" i="2"/>
  <c r="J341" i="2"/>
  <c r="K341" i="2"/>
  <c r="L341" i="2"/>
  <c r="B342" i="2"/>
  <c r="C342" i="2"/>
  <c r="D342" i="2"/>
  <c r="E342" i="2"/>
  <c r="F342" i="2"/>
  <c r="G342" i="2"/>
  <c r="H342" i="2"/>
  <c r="I342" i="2"/>
  <c r="J342" i="2"/>
  <c r="K342" i="2"/>
  <c r="L342" i="2"/>
  <c r="B343" i="2"/>
  <c r="C343" i="2"/>
  <c r="D343" i="2"/>
  <c r="E343" i="2"/>
  <c r="F343" i="2"/>
  <c r="G343" i="2"/>
  <c r="H343" i="2"/>
  <c r="I343" i="2"/>
  <c r="J343" i="2"/>
  <c r="K343" i="2"/>
  <c r="L343" i="2"/>
  <c r="B344" i="2"/>
  <c r="C344" i="2"/>
  <c r="D344" i="2"/>
  <c r="E344" i="2"/>
  <c r="F344" i="2"/>
  <c r="G344" i="2"/>
  <c r="H344" i="2"/>
  <c r="I344" i="2"/>
  <c r="J344" i="2"/>
  <c r="K344" i="2"/>
  <c r="L344" i="2"/>
  <c r="B345" i="2"/>
  <c r="C345" i="2"/>
  <c r="D345" i="2"/>
  <c r="E345" i="2"/>
  <c r="F345" i="2"/>
  <c r="G345" i="2"/>
  <c r="H345" i="2"/>
  <c r="I345" i="2"/>
  <c r="J345" i="2"/>
  <c r="K345" i="2"/>
  <c r="L345" i="2"/>
  <c r="B346" i="2"/>
  <c r="C346" i="2"/>
  <c r="D346" i="2"/>
  <c r="E346" i="2"/>
  <c r="F346" i="2"/>
  <c r="G346" i="2"/>
  <c r="H346" i="2"/>
  <c r="I346" i="2"/>
  <c r="J346" i="2"/>
  <c r="K346" i="2"/>
  <c r="L346" i="2"/>
  <c r="B347" i="2"/>
  <c r="C347" i="2"/>
  <c r="D347" i="2"/>
  <c r="E347" i="2"/>
  <c r="F347" i="2"/>
  <c r="G347" i="2"/>
  <c r="H347" i="2"/>
  <c r="I347" i="2"/>
  <c r="J347" i="2"/>
  <c r="K347" i="2"/>
  <c r="L347" i="2"/>
  <c r="B348" i="2"/>
  <c r="C348" i="2"/>
  <c r="D348" i="2"/>
  <c r="E348" i="2"/>
  <c r="F348" i="2"/>
  <c r="G348" i="2"/>
  <c r="H348" i="2"/>
  <c r="I348" i="2"/>
  <c r="J348" i="2"/>
  <c r="K348" i="2"/>
  <c r="L348" i="2"/>
  <c r="B349" i="2"/>
  <c r="C349" i="2"/>
  <c r="D349" i="2"/>
  <c r="E349" i="2"/>
  <c r="F349" i="2"/>
  <c r="G349" i="2"/>
  <c r="H349" i="2"/>
  <c r="I349" i="2"/>
  <c r="J349" i="2"/>
  <c r="K349" i="2"/>
  <c r="L349" i="2"/>
  <c r="B350" i="2"/>
  <c r="C350" i="2"/>
  <c r="D350" i="2"/>
  <c r="E350" i="2"/>
  <c r="F350" i="2"/>
  <c r="G350" i="2"/>
  <c r="H350" i="2"/>
  <c r="I350" i="2"/>
  <c r="J350" i="2"/>
  <c r="K350" i="2"/>
  <c r="L350" i="2"/>
  <c r="B351" i="2"/>
  <c r="C351" i="2"/>
  <c r="D351" i="2"/>
  <c r="E351" i="2"/>
  <c r="F351" i="2"/>
  <c r="G351" i="2"/>
  <c r="H351" i="2"/>
  <c r="I351" i="2"/>
  <c r="J351" i="2"/>
  <c r="K351" i="2"/>
  <c r="L351" i="2"/>
  <c r="B352" i="2"/>
  <c r="C352" i="2"/>
  <c r="D352" i="2"/>
  <c r="E352" i="2"/>
  <c r="F352" i="2"/>
  <c r="G352" i="2"/>
  <c r="H352" i="2"/>
  <c r="I352" i="2"/>
  <c r="J352" i="2"/>
  <c r="K352" i="2"/>
  <c r="L352" i="2"/>
  <c r="B353" i="2"/>
  <c r="C353" i="2"/>
  <c r="D353" i="2"/>
  <c r="E353" i="2"/>
  <c r="F353" i="2"/>
  <c r="G353" i="2"/>
  <c r="H353" i="2"/>
  <c r="I353" i="2"/>
  <c r="J353" i="2"/>
  <c r="K353" i="2"/>
  <c r="L353" i="2"/>
  <c r="B354" i="2"/>
  <c r="C354" i="2"/>
  <c r="D354" i="2"/>
  <c r="E354" i="2"/>
  <c r="F354" i="2"/>
  <c r="G354" i="2"/>
  <c r="H354" i="2"/>
  <c r="I354" i="2"/>
  <c r="J354" i="2"/>
  <c r="K354" i="2"/>
  <c r="L354" i="2"/>
  <c r="B355" i="2"/>
  <c r="C355" i="2"/>
  <c r="D355" i="2"/>
  <c r="E355" i="2"/>
  <c r="F355" i="2"/>
  <c r="G355" i="2"/>
  <c r="H355" i="2"/>
  <c r="I355" i="2"/>
  <c r="J355" i="2"/>
  <c r="K355" i="2"/>
  <c r="L355" i="2"/>
  <c r="B356" i="2"/>
  <c r="C356" i="2"/>
  <c r="D356" i="2"/>
  <c r="E356" i="2"/>
  <c r="F356" i="2"/>
  <c r="G356" i="2"/>
  <c r="H356" i="2"/>
  <c r="I356" i="2"/>
  <c r="J356" i="2"/>
  <c r="K356" i="2"/>
  <c r="L356" i="2"/>
  <c r="B357" i="2"/>
  <c r="C357" i="2"/>
  <c r="D357" i="2"/>
  <c r="E357" i="2"/>
  <c r="F357" i="2"/>
  <c r="G357" i="2"/>
  <c r="H357" i="2"/>
  <c r="I357" i="2"/>
  <c r="J357" i="2"/>
  <c r="K357" i="2"/>
  <c r="L357" i="2"/>
  <c r="B358" i="2"/>
  <c r="C358" i="2"/>
  <c r="D358" i="2"/>
  <c r="E358" i="2"/>
  <c r="F358" i="2"/>
  <c r="G358" i="2"/>
  <c r="H358" i="2"/>
  <c r="I358" i="2"/>
  <c r="J358" i="2"/>
  <c r="K358" i="2"/>
  <c r="L358" i="2"/>
  <c r="B359" i="2"/>
  <c r="C359" i="2"/>
  <c r="D359" i="2"/>
  <c r="E359" i="2"/>
  <c r="F359" i="2"/>
  <c r="G359" i="2"/>
  <c r="H359" i="2"/>
  <c r="I359" i="2"/>
  <c r="J359" i="2"/>
  <c r="K359" i="2"/>
  <c r="L359" i="2"/>
  <c r="B360" i="2"/>
  <c r="C360" i="2"/>
  <c r="D360" i="2"/>
  <c r="E360" i="2"/>
  <c r="F360" i="2"/>
  <c r="G360" i="2"/>
  <c r="H360" i="2"/>
  <c r="I360" i="2"/>
  <c r="J360" i="2"/>
  <c r="K360" i="2"/>
  <c r="L360" i="2"/>
  <c r="B361" i="2"/>
  <c r="C361" i="2"/>
  <c r="D361" i="2"/>
  <c r="E361" i="2"/>
  <c r="F361" i="2"/>
  <c r="G361" i="2"/>
  <c r="H361" i="2"/>
  <c r="I361" i="2"/>
  <c r="J361" i="2"/>
  <c r="K361" i="2"/>
  <c r="L361" i="2"/>
  <c r="B362" i="2"/>
  <c r="C362" i="2"/>
  <c r="D362" i="2"/>
  <c r="E362" i="2"/>
  <c r="F362" i="2"/>
  <c r="G362" i="2"/>
  <c r="H362" i="2"/>
  <c r="I362" i="2"/>
  <c r="J362" i="2"/>
  <c r="K362" i="2"/>
  <c r="L362" i="2"/>
  <c r="B363" i="2"/>
  <c r="C363" i="2"/>
  <c r="D363" i="2"/>
  <c r="E363" i="2"/>
  <c r="F363" i="2"/>
  <c r="G363" i="2"/>
  <c r="H363" i="2"/>
  <c r="I363" i="2"/>
  <c r="J363" i="2"/>
  <c r="K363" i="2"/>
  <c r="L363" i="2"/>
  <c r="B364" i="2"/>
  <c r="C364" i="2"/>
  <c r="D364" i="2"/>
  <c r="E364" i="2"/>
  <c r="F364" i="2"/>
  <c r="G364" i="2"/>
  <c r="H364" i="2"/>
  <c r="I364" i="2"/>
  <c r="J364" i="2"/>
  <c r="K364" i="2"/>
  <c r="L364" i="2"/>
  <c r="B365" i="2"/>
  <c r="C365" i="2"/>
  <c r="D365" i="2"/>
  <c r="E365" i="2"/>
  <c r="F365" i="2"/>
  <c r="G365" i="2"/>
  <c r="H365" i="2"/>
  <c r="I365" i="2"/>
  <c r="J365" i="2"/>
  <c r="K365" i="2"/>
  <c r="L365" i="2"/>
  <c r="B366" i="2"/>
  <c r="C366" i="2"/>
  <c r="D366" i="2"/>
  <c r="E366" i="2"/>
  <c r="F366" i="2"/>
  <c r="G366" i="2"/>
  <c r="H366" i="2"/>
  <c r="I366" i="2"/>
  <c r="J366" i="2"/>
  <c r="K366" i="2"/>
  <c r="L366" i="2"/>
  <c r="B367" i="2"/>
  <c r="C367" i="2"/>
  <c r="D367" i="2"/>
  <c r="E367" i="2"/>
  <c r="F367" i="2"/>
  <c r="G367" i="2"/>
  <c r="H367" i="2"/>
  <c r="I367" i="2"/>
  <c r="J367" i="2"/>
  <c r="K367" i="2"/>
  <c r="L367" i="2"/>
  <c r="B368" i="2"/>
  <c r="C368" i="2"/>
  <c r="D368" i="2"/>
  <c r="E368" i="2"/>
  <c r="F368" i="2"/>
  <c r="G368" i="2"/>
  <c r="H368" i="2"/>
  <c r="I368" i="2"/>
  <c r="J368" i="2"/>
  <c r="K368" i="2"/>
  <c r="L368" i="2"/>
  <c r="B369" i="2"/>
  <c r="C369" i="2"/>
  <c r="D369" i="2"/>
  <c r="E369" i="2"/>
  <c r="F369" i="2"/>
  <c r="G369" i="2"/>
  <c r="H369" i="2"/>
  <c r="I369" i="2"/>
  <c r="J369" i="2"/>
  <c r="K369" i="2"/>
  <c r="L369" i="2"/>
  <c r="B370" i="2"/>
  <c r="C370" i="2"/>
  <c r="D370" i="2"/>
  <c r="E370" i="2"/>
  <c r="F370" i="2"/>
  <c r="G370" i="2"/>
  <c r="H370" i="2"/>
  <c r="I370" i="2"/>
  <c r="J370" i="2"/>
  <c r="K370" i="2"/>
  <c r="L370" i="2"/>
  <c r="B371" i="2"/>
  <c r="C371" i="2"/>
  <c r="D371" i="2"/>
  <c r="E371" i="2"/>
  <c r="F371" i="2"/>
  <c r="G371" i="2"/>
  <c r="H371" i="2"/>
  <c r="I371" i="2"/>
  <c r="J371" i="2"/>
  <c r="K371" i="2"/>
  <c r="L371" i="2"/>
  <c r="B372" i="2"/>
  <c r="C372" i="2"/>
  <c r="D372" i="2"/>
  <c r="E372" i="2"/>
  <c r="F372" i="2"/>
  <c r="G372" i="2"/>
  <c r="H372" i="2"/>
  <c r="I372" i="2"/>
  <c r="J372" i="2"/>
  <c r="K372" i="2"/>
  <c r="L372" i="2"/>
  <c r="B373" i="2"/>
  <c r="C373" i="2"/>
  <c r="D373" i="2"/>
  <c r="E373" i="2"/>
  <c r="F373" i="2"/>
  <c r="G373" i="2"/>
  <c r="H373" i="2"/>
  <c r="I373" i="2"/>
  <c r="J373" i="2"/>
  <c r="K373" i="2"/>
  <c r="L373" i="2"/>
  <c r="B374" i="2"/>
  <c r="C374" i="2"/>
  <c r="D374" i="2"/>
  <c r="E374" i="2"/>
  <c r="F374" i="2"/>
  <c r="G374" i="2"/>
  <c r="H374" i="2"/>
  <c r="I374" i="2"/>
  <c r="J374" i="2"/>
  <c r="K374" i="2"/>
  <c r="L374" i="2"/>
  <c r="B375" i="2"/>
  <c r="C375" i="2"/>
  <c r="D375" i="2"/>
  <c r="E375" i="2"/>
  <c r="F375" i="2"/>
  <c r="G375" i="2"/>
  <c r="H375" i="2"/>
  <c r="I375" i="2"/>
  <c r="J375" i="2"/>
  <c r="K375" i="2"/>
  <c r="L375" i="2"/>
  <c r="B376" i="2"/>
  <c r="C376" i="2"/>
  <c r="D376" i="2"/>
  <c r="E376" i="2"/>
  <c r="F376" i="2"/>
  <c r="G376" i="2"/>
  <c r="H376" i="2"/>
  <c r="I376" i="2"/>
  <c r="J376" i="2"/>
  <c r="K376" i="2"/>
  <c r="L376" i="2"/>
  <c r="B377" i="2"/>
  <c r="C377" i="2"/>
  <c r="D377" i="2"/>
  <c r="E377" i="2"/>
  <c r="F377" i="2"/>
  <c r="G377" i="2"/>
  <c r="H377" i="2"/>
  <c r="I377" i="2"/>
  <c r="J377" i="2"/>
  <c r="K377" i="2"/>
  <c r="L377" i="2"/>
  <c r="B378" i="2"/>
  <c r="C378" i="2"/>
  <c r="D378" i="2"/>
  <c r="E378" i="2"/>
  <c r="F378" i="2"/>
  <c r="G378" i="2"/>
  <c r="H378" i="2"/>
  <c r="I378" i="2"/>
  <c r="J378" i="2"/>
  <c r="K378" i="2"/>
  <c r="L378" i="2"/>
  <c r="B379" i="2"/>
  <c r="C379" i="2"/>
  <c r="D379" i="2"/>
  <c r="E379" i="2"/>
  <c r="F379" i="2"/>
  <c r="G379" i="2"/>
  <c r="H379" i="2"/>
  <c r="I379" i="2"/>
  <c r="J379" i="2"/>
  <c r="K379" i="2"/>
  <c r="L379" i="2"/>
  <c r="B380" i="2"/>
  <c r="C380" i="2"/>
  <c r="D380" i="2"/>
  <c r="E380" i="2"/>
  <c r="F380" i="2"/>
  <c r="G380" i="2"/>
  <c r="H380" i="2"/>
  <c r="I380" i="2"/>
  <c r="J380" i="2"/>
  <c r="K380" i="2"/>
  <c r="L380" i="2"/>
  <c r="B381" i="2"/>
  <c r="C381" i="2"/>
  <c r="D381" i="2"/>
  <c r="E381" i="2"/>
  <c r="F381" i="2"/>
  <c r="G381" i="2"/>
  <c r="H381" i="2"/>
  <c r="I381" i="2"/>
  <c r="J381" i="2"/>
  <c r="K381" i="2"/>
  <c r="L381" i="2"/>
  <c r="B382" i="2"/>
  <c r="C382" i="2"/>
  <c r="D382" i="2"/>
  <c r="E382" i="2"/>
  <c r="F382" i="2"/>
  <c r="G382" i="2"/>
  <c r="H382" i="2"/>
  <c r="I382" i="2"/>
  <c r="J382" i="2"/>
  <c r="K382" i="2"/>
  <c r="L382" i="2"/>
  <c r="B383" i="2"/>
  <c r="C383" i="2"/>
  <c r="D383" i="2"/>
  <c r="E383" i="2"/>
  <c r="F383" i="2"/>
  <c r="G383" i="2"/>
  <c r="H383" i="2"/>
  <c r="I383" i="2"/>
  <c r="J383" i="2"/>
  <c r="K383" i="2"/>
  <c r="L383" i="2"/>
  <c r="B384" i="2"/>
  <c r="C384" i="2"/>
  <c r="D384" i="2"/>
  <c r="E384" i="2"/>
  <c r="F384" i="2"/>
  <c r="G384" i="2"/>
  <c r="H384" i="2"/>
  <c r="I384" i="2"/>
  <c r="J384" i="2"/>
  <c r="K384" i="2"/>
  <c r="L384" i="2"/>
  <c r="B385" i="2"/>
  <c r="C385" i="2"/>
  <c r="D385" i="2"/>
  <c r="E385" i="2"/>
  <c r="F385" i="2"/>
  <c r="G385" i="2"/>
  <c r="H385" i="2"/>
  <c r="I385" i="2"/>
  <c r="J385" i="2"/>
  <c r="K385" i="2"/>
  <c r="L385" i="2"/>
  <c r="B386" i="2"/>
  <c r="C386" i="2"/>
  <c r="D386" i="2"/>
  <c r="E386" i="2"/>
  <c r="F386" i="2"/>
  <c r="G386" i="2"/>
  <c r="H386" i="2"/>
  <c r="I386" i="2"/>
  <c r="J386" i="2"/>
  <c r="K386" i="2"/>
  <c r="L386" i="2"/>
  <c r="B387" i="2"/>
  <c r="C387" i="2"/>
  <c r="D387" i="2"/>
  <c r="E387" i="2"/>
  <c r="F387" i="2"/>
  <c r="G387" i="2"/>
  <c r="H387" i="2"/>
  <c r="I387" i="2"/>
  <c r="J387" i="2"/>
  <c r="K387" i="2"/>
  <c r="L387" i="2"/>
  <c r="B388" i="2"/>
  <c r="C388" i="2"/>
  <c r="D388" i="2"/>
  <c r="E388" i="2"/>
  <c r="F388" i="2"/>
  <c r="G388" i="2"/>
  <c r="H388" i="2"/>
  <c r="I388" i="2"/>
  <c r="J388" i="2"/>
  <c r="K388" i="2"/>
  <c r="L388" i="2"/>
  <c r="B389" i="2"/>
  <c r="C389" i="2"/>
  <c r="D389" i="2"/>
  <c r="E389" i="2"/>
  <c r="F389" i="2"/>
  <c r="G389" i="2"/>
  <c r="H389" i="2"/>
  <c r="I389" i="2"/>
  <c r="J389" i="2"/>
  <c r="K389" i="2"/>
  <c r="L389" i="2"/>
  <c r="B390" i="2"/>
  <c r="C390" i="2"/>
  <c r="D390" i="2"/>
  <c r="E390" i="2"/>
  <c r="F390" i="2"/>
  <c r="G390" i="2"/>
  <c r="H390" i="2"/>
  <c r="I390" i="2"/>
  <c r="J390" i="2"/>
  <c r="K390" i="2"/>
  <c r="L390" i="2"/>
  <c r="B391" i="2"/>
  <c r="C391" i="2"/>
  <c r="D391" i="2"/>
  <c r="E391" i="2"/>
  <c r="F391" i="2"/>
  <c r="G391" i="2"/>
  <c r="H391" i="2"/>
  <c r="I391" i="2"/>
  <c r="J391" i="2"/>
  <c r="K391" i="2"/>
  <c r="L391" i="2"/>
  <c r="B392" i="2"/>
  <c r="C392" i="2"/>
  <c r="D392" i="2"/>
  <c r="E392" i="2"/>
  <c r="F392" i="2"/>
  <c r="G392" i="2"/>
  <c r="H392" i="2"/>
  <c r="I392" i="2"/>
  <c r="J392" i="2"/>
  <c r="K392" i="2"/>
  <c r="L392" i="2"/>
  <c r="C5" i="2"/>
  <c r="D5" i="2"/>
  <c r="E5" i="2"/>
  <c r="F5" i="2"/>
  <c r="G5" i="2"/>
  <c r="H5" i="2"/>
  <c r="I5" i="2"/>
  <c r="J5" i="2"/>
  <c r="K5" i="2"/>
  <c r="L5" i="2"/>
  <c r="B5" i="2"/>
  <c r="B5" i="7" a="1"/>
  <c r="B4" i="7" a="1"/>
  <c r="B12" i="7" a="1"/>
  <c r="B6" i="7" a="1"/>
  <c r="E8" i="7" a="1"/>
  <c r="E13" i="7" a="1"/>
  <c r="E5" i="7" a="1"/>
  <c r="B7" i="7" a="1"/>
  <c r="B14" i="7" a="1"/>
  <c r="B9" i="7" a="1"/>
  <c r="E4" i="7" a="1"/>
  <c r="C5" i="7" a="1"/>
  <c r="C11" i="7" a="1"/>
  <c r="C12" i="7" a="1"/>
  <c r="C8" i="7" a="1"/>
  <c r="C9" i="7" a="1"/>
  <c r="E7" i="7" a="1"/>
  <c r="E6" i="7" a="1"/>
  <c r="E9" i="7" a="1"/>
  <c r="B8" i="7" a="1"/>
  <c r="E11" i="7" a="1"/>
  <c r="C7" i="7" a="1"/>
  <c r="C4" i="7" a="1"/>
  <c r="B10" i="7" a="1"/>
  <c r="E10" i="7" a="1"/>
  <c r="C14" i="7" a="1"/>
  <c r="B11" i="7" a="1"/>
  <c r="C6" i="7" a="1"/>
  <c r="C13" i="7" a="1"/>
  <c r="B13" i="7" a="1"/>
  <c r="E14" i="7" a="1"/>
  <c r="E12" i="7" a="1"/>
  <c r="C10" i="7" a="1"/>
  <c r="R85" i="2" l="1"/>
  <c r="R391" i="2"/>
  <c r="R387" i="2"/>
  <c r="R383" i="2"/>
  <c r="R379" i="2"/>
  <c r="R375" i="2"/>
  <c r="R371" i="2"/>
  <c r="R367" i="2"/>
  <c r="R363" i="2"/>
  <c r="R359" i="2"/>
  <c r="R355" i="2"/>
  <c r="R351" i="2"/>
  <c r="R347" i="2"/>
  <c r="R343" i="2"/>
  <c r="R339" i="2"/>
  <c r="R335" i="2"/>
  <c r="R331" i="2"/>
  <c r="R327" i="2"/>
  <c r="R323" i="2"/>
  <c r="R319" i="2"/>
  <c r="R315" i="2"/>
  <c r="R311" i="2"/>
  <c r="R307" i="2"/>
  <c r="R303" i="2"/>
  <c r="R299" i="2"/>
  <c r="R295" i="2"/>
  <c r="R291" i="2"/>
  <c r="R287" i="2"/>
  <c r="R283" i="2"/>
  <c r="R279" i="2"/>
  <c r="R275" i="2"/>
  <c r="R271" i="2"/>
  <c r="R267" i="2"/>
  <c r="R263" i="2"/>
  <c r="R259" i="2"/>
  <c r="R255" i="2"/>
  <c r="R251" i="2"/>
  <c r="R247" i="2"/>
  <c r="R243" i="2"/>
  <c r="R239" i="2"/>
  <c r="R235" i="2"/>
  <c r="R231" i="2"/>
  <c r="R227" i="2"/>
  <c r="R223" i="2"/>
  <c r="R219" i="2"/>
  <c r="R215" i="2"/>
  <c r="R211" i="2"/>
  <c r="R207" i="2"/>
  <c r="R203" i="2"/>
  <c r="R199" i="2"/>
  <c r="R195" i="2"/>
  <c r="R191" i="2"/>
  <c r="R187" i="2"/>
  <c r="R183" i="2"/>
  <c r="R179" i="2"/>
  <c r="R175" i="2"/>
  <c r="R171" i="2"/>
  <c r="R167" i="2"/>
  <c r="R163" i="2"/>
  <c r="R159" i="2"/>
  <c r="R155" i="2"/>
  <c r="R151" i="2"/>
  <c r="R147" i="2"/>
  <c r="R143" i="2"/>
  <c r="R139" i="2"/>
  <c r="R135" i="2"/>
  <c r="R131" i="2"/>
  <c r="R127" i="2"/>
  <c r="R123" i="2"/>
  <c r="R119" i="2"/>
  <c r="R115" i="2"/>
  <c r="R111" i="2"/>
  <c r="R107" i="2"/>
  <c r="R103" i="2"/>
  <c r="R99" i="2"/>
  <c r="R95" i="2"/>
  <c r="R91" i="2"/>
  <c r="R87" i="2"/>
  <c r="R83" i="2"/>
  <c r="R79" i="2"/>
  <c r="R75" i="2"/>
  <c r="R71" i="2"/>
  <c r="R67" i="2"/>
  <c r="R63" i="2"/>
  <c r="R59" i="2"/>
  <c r="R55" i="2"/>
  <c r="R51" i="2"/>
  <c r="R47" i="2"/>
  <c r="R43" i="2"/>
  <c r="R39" i="2"/>
  <c r="R35" i="2"/>
  <c r="R31" i="2"/>
  <c r="R27" i="2"/>
  <c r="R23" i="2"/>
  <c r="R19" i="2"/>
  <c r="R15" i="2"/>
  <c r="R11" i="2"/>
  <c r="D23" i="5" s="1" a="1"/>
  <c r="D23" i="5" s="1"/>
  <c r="B8" i="7"/>
  <c r="L14" i="7" s="1"/>
  <c r="E8" i="7"/>
  <c r="C8" i="7"/>
  <c r="L25" i="7" s="1"/>
  <c r="B4" i="7"/>
  <c r="L10" i="7" s="1"/>
  <c r="E4" i="7"/>
  <c r="C4" i="7"/>
  <c r="L21" i="7" s="1"/>
  <c r="C12" i="7"/>
  <c r="L29" i="7" s="1"/>
  <c r="E12" i="7"/>
  <c r="B12" i="7"/>
  <c r="L18" i="7" s="1"/>
  <c r="C11" i="7"/>
  <c r="L28" i="7" s="1"/>
  <c r="E11" i="7"/>
  <c r="B11" i="7"/>
  <c r="L17" i="7" s="1"/>
  <c r="E10" i="7"/>
  <c r="C10" i="7"/>
  <c r="L27" i="7" s="1"/>
  <c r="B10" i="7"/>
  <c r="L16" i="7" s="1"/>
  <c r="C7" i="7"/>
  <c r="L24" i="7" s="1"/>
  <c r="B7" i="7"/>
  <c r="L13" i="7" s="1"/>
  <c r="E7" i="7"/>
  <c r="E14" i="7"/>
  <c r="B14" i="7"/>
  <c r="L20" i="7" s="1"/>
  <c r="C14" i="7"/>
  <c r="L31" i="7" s="1"/>
  <c r="E6" i="7"/>
  <c r="B6" i="7"/>
  <c r="L12" i="7" s="1"/>
  <c r="C6" i="7"/>
  <c r="L23" i="7" s="1"/>
  <c r="E13" i="7"/>
  <c r="B13" i="7"/>
  <c r="L19" i="7" s="1"/>
  <c r="C13" i="7"/>
  <c r="L30" i="7" s="1"/>
  <c r="E9" i="7"/>
  <c r="M4" i="7" s="1"/>
  <c r="E11" i="9" s="1"/>
  <c r="C9" i="7"/>
  <c r="L26" i="7" s="1"/>
  <c r="B9" i="7"/>
  <c r="E5" i="7"/>
  <c r="C5" i="7"/>
  <c r="L22" i="7" s="1"/>
  <c r="B5" i="7"/>
  <c r="L11" i="7" s="1"/>
  <c r="H32" i="7" a="1"/>
  <c r="H32" i="7" s="1"/>
  <c r="I32" i="7" a="1"/>
  <c r="I32" i="7" s="1"/>
  <c r="E8" i="6"/>
  <c r="S7" i="6"/>
  <c r="K9" i="6"/>
  <c r="Y8" i="6"/>
  <c r="J9" i="6"/>
  <c r="X8" i="6"/>
  <c r="B9" i="6"/>
  <c r="P8" i="6"/>
  <c r="G9" i="6"/>
  <c r="U8" i="6"/>
  <c r="I9" i="6"/>
  <c r="W8" i="6"/>
  <c r="D9" i="6"/>
  <c r="R8" i="6"/>
  <c r="C9" i="6"/>
  <c r="Q8" i="6"/>
  <c r="H8" i="6"/>
  <c r="V7" i="6"/>
  <c r="L9" i="6"/>
  <c r="Z8" i="6"/>
  <c r="F8" i="6"/>
  <c r="T7" i="6"/>
  <c r="Q390" i="2"/>
  <c r="Q386" i="2"/>
  <c r="Q382" i="2"/>
  <c r="Q378" i="2"/>
  <c r="Q374" i="2"/>
  <c r="Q366" i="2"/>
  <c r="Q362" i="2"/>
  <c r="Q358" i="2"/>
  <c r="Q350" i="2"/>
  <c r="Q346" i="2"/>
  <c r="Q342" i="2"/>
  <c r="Q334" i="2"/>
  <c r="Q330" i="2"/>
  <c r="Q326" i="2"/>
  <c r="Q318" i="2"/>
  <c r="Q314" i="2"/>
  <c r="Q310" i="2"/>
  <c r="Q302" i="2"/>
  <c r="Q298" i="2"/>
  <c r="Q294" i="2"/>
  <c r="Q286" i="2"/>
  <c r="Q282" i="2"/>
  <c r="Q278" i="2"/>
  <c r="Q270" i="2"/>
  <c r="Q266" i="2"/>
  <c r="Q262" i="2"/>
  <c r="Q254" i="2"/>
  <c r="Q250" i="2"/>
  <c r="Q246" i="2"/>
  <c r="Q238" i="2"/>
  <c r="Q234" i="2"/>
  <c r="Q230" i="2"/>
  <c r="Q222" i="2"/>
  <c r="Q218" i="2"/>
  <c r="Q214" i="2"/>
  <c r="Q206" i="2"/>
  <c r="Q46" i="2"/>
  <c r="Q42" i="2"/>
  <c r="Q38" i="2"/>
  <c r="Q34" i="2"/>
  <c r="Q30" i="2"/>
  <c r="Q26" i="2"/>
  <c r="Q22" i="2"/>
  <c r="Q18" i="2"/>
  <c r="Q14" i="2"/>
  <c r="Q10" i="2"/>
  <c r="Q6" i="2"/>
  <c r="E84" i="4" s="1" a="1"/>
  <c r="E84" i="4" s="1"/>
  <c r="Q202" i="2"/>
  <c r="Q198" i="2"/>
  <c r="Q194" i="2"/>
  <c r="Q190" i="2"/>
  <c r="Q186" i="2"/>
  <c r="Q182" i="2"/>
  <c r="Q178" i="2"/>
  <c r="Q174" i="2"/>
  <c r="Q170" i="2"/>
  <c r="Q166" i="2"/>
  <c r="Q162" i="2"/>
  <c r="Q158" i="2"/>
  <c r="Q154" i="2"/>
  <c r="Q150" i="2"/>
  <c r="Q146" i="2"/>
  <c r="Q142" i="2"/>
  <c r="Q138" i="2"/>
  <c r="Q134" i="2"/>
  <c r="Q130" i="2"/>
  <c r="Q126" i="2"/>
  <c r="Q122" i="2"/>
  <c r="Q118" i="2"/>
  <c r="Q114" i="2"/>
  <c r="Q110" i="2"/>
  <c r="Q106" i="2"/>
  <c r="Q102" i="2"/>
  <c r="Q98" i="2"/>
  <c r="Q94" i="2"/>
  <c r="Q90" i="2"/>
  <c r="Q86" i="2"/>
  <c r="Q82" i="2"/>
  <c r="Q78" i="2"/>
  <c r="Q74" i="2"/>
  <c r="Q70" i="2"/>
  <c r="Q66" i="2"/>
  <c r="Q62" i="2"/>
  <c r="Q58" i="2"/>
  <c r="Q54" i="2"/>
  <c r="Q50" i="2"/>
  <c r="K84" i="4" l="1" a="1"/>
  <c r="K84" i="4" s="1"/>
  <c r="D83" i="4" a="1"/>
  <c r="D83" i="4" s="1"/>
  <c r="H84" i="4" a="1"/>
  <c r="H84" i="4" s="1"/>
  <c r="I23" i="5" a="1"/>
  <c r="I23" i="5" s="1"/>
  <c r="G84" i="4" a="1"/>
  <c r="G84" i="4" s="1"/>
  <c r="B83" i="4" a="1"/>
  <c r="B83" i="4" s="1"/>
  <c r="J83" i="4" a="1"/>
  <c r="J83" i="4" s="1"/>
  <c r="F83" i="4" a="1"/>
  <c r="F83" i="4" s="1"/>
  <c r="K23" i="5" a="1"/>
  <c r="K23" i="5" s="1"/>
  <c r="C84" i="4" a="1"/>
  <c r="C84" i="4" s="1"/>
  <c r="D84" i="4" a="1"/>
  <c r="D84" i="4" s="1"/>
  <c r="L23" i="5" a="1"/>
  <c r="L23" i="5" s="1"/>
  <c r="I83" i="4" a="1"/>
  <c r="I83" i="4" s="1"/>
  <c r="G83" i="4" a="1"/>
  <c r="G83" i="4" s="1"/>
  <c r="E23" i="5" a="1"/>
  <c r="E23" i="5" s="1"/>
  <c r="B84" i="4" a="1"/>
  <c r="B84" i="4" s="1"/>
  <c r="J23" i="5" a="1"/>
  <c r="J23" i="5" s="1"/>
  <c r="F23" i="5" a="1"/>
  <c r="F23" i="5" s="1"/>
  <c r="K83" i="4" a="1"/>
  <c r="K83" i="4" s="1"/>
  <c r="C23" i="5" a="1"/>
  <c r="C23" i="5" s="1"/>
  <c r="H23" i="5" a="1"/>
  <c r="H23" i="5" s="1"/>
  <c r="L83" i="4" a="1"/>
  <c r="L83" i="4" s="1"/>
  <c r="I84" i="4" a="1"/>
  <c r="I84" i="4" s="1"/>
  <c r="G23" i="5" a="1"/>
  <c r="G23" i="5" s="1"/>
  <c r="E83" i="4" a="1"/>
  <c r="E83" i="4" s="1"/>
  <c r="B23" i="5" a="1"/>
  <c r="B23" i="5" s="1"/>
  <c r="J84" i="4" a="1"/>
  <c r="J84" i="4" s="1"/>
  <c r="F84" i="4" a="1"/>
  <c r="F84" i="4" s="1"/>
  <c r="C83" i="4" a="1"/>
  <c r="C83" i="4" s="1"/>
  <c r="H83" i="4" a="1"/>
  <c r="H83" i="4" s="1"/>
  <c r="L84" i="4" a="1"/>
  <c r="L84" i="4" s="1"/>
  <c r="D12" i="5" a="1"/>
  <c r="D12" i="5" s="1"/>
  <c r="C17" i="5" a="1"/>
  <c r="C17" i="5" s="1"/>
  <c r="E21" i="5" a="1"/>
  <c r="E21" i="5" s="1"/>
  <c r="H13" i="5" a="1"/>
  <c r="H13" i="5" s="1"/>
  <c r="G7" i="5" a="1"/>
  <c r="G7" i="5" s="1"/>
  <c r="B12" i="5" a="1"/>
  <c r="B12" i="5" s="1"/>
  <c r="F7" i="5" a="1"/>
  <c r="F7" i="5" s="1"/>
  <c r="C10" i="5" a="1"/>
  <c r="C10" i="5" s="1"/>
  <c r="G11" i="5" a="1"/>
  <c r="G11" i="5" s="1"/>
  <c r="K8" i="5" a="1"/>
  <c r="K8" i="5" s="1"/>
  <c r="L13" i="5" a="1"/>
  <c r="L13" i="5" s="1"/>
  <c r="H8" i="5" a="1"/>
  <c r="H8" i="5" s="1"/>
  <c r="J19" i="5" a="1"/>
  <c r="J19" i="5" s="1"/>
  <c r="C21" i="5" a="1"/>
  <c r="C21" i="5" s="1"/>
  <c r="G19" i="5" a="1"/>
  <c r="G19" i="5" s="1"/>
  <c r="K9" i="5" a="1"/>
  <c r="K9" i="5" s="1"/>
  <c r="F8" i="5" a="1"/>
  <c r="F8" i="5" s="1"/>
  <c r="C11" i="5" a="1"/>
  <c r="C11" i="5" s="1"/>
  <c r="G12" i="5" a="1"/>
  <c r="G12" i="5" s="1"/>
  <c r="E22" i="5" a="1"/>
  <c r="E22" i="5" s="1"/>
  <c r="I10" i="5" a="1"/>
  <c r="I10" i="5" s="1"/>
  <c r="C9" i="5" a="1"/>
  <c r="C9" i="5" s="1"/>
  <c r="C20" i="5" a="1"/>
  <c r="C20" i="5" s="1"/>
  <c r="C16" i="5" a="1"/>
  <c r="C16" i="5" s="1"/>
  <c r="G13" i="5" a="1"/>
  <c r="G13" i="5" s="1"/>
  <c r="G8" i="5" a="1"/>
  <c r="G8" i="5" s="1"/>
  <c r="K13" i="5" a="1"/>
  <c r="K13" i="5" s="1"/>
  <c r="D7" i="5" a="1"/>
  <c r="D7" i="5" s="1"/>
  <c r="L20" i="5" a="1"/>
  <c r="L20" i="5" s="1"/>
  <c r="E12" i="5" a="1"/>
  <c r="E12" i="5" s="1"/>
  <c r="H10" i="5" a="1"/>
  <c r="H10" i="5" s="1"/>
  <c r="I5" i="5" a="1"/>
  <c r="I5" i="5" s="1"/>
  <c r="J14" i="5" a="1"/>
  <c r="J14" i="5" s="1"/>
  <c r="B11" i="5" a="1"/>
  <c r="B11" i="5" s="1"/>
  <c r="F12" i="5" a="1"/>
  <c r="F12" i="5" s="1"/>
  <c r="K7" i="5" a="1"/>
  <c r="K7" i="5" s="1"/>
  <c r="D9" i="5" a="1"/>
  <c r="D9" i="5" s="1"/>
  <c r="L12" i="5" a="1"/>
  <c r="L12" i="5" s="1"/>
  <c r="L21" i="5" a="1"/>
  <c r="L21" i="5" s="1"/>
  <c r="E9" i="5" a="1"/>
  <c r="E9" i="5" s="1"/>
  <c r="H5" i="5" a="1"/>
  <c r="H5" i="5" s="1"/>
  <c r="I7" i="5" a="1"/>
  <c r="I7" i="5" s="1"/>
  <c r="I18" i="5" a="1"/>
  <c r="I18" i="5" s="1"/>
  <c r="J13" i="5" a="1"/>
  <c r="J13" i="5" s="1"/>
  <c r="B10" i="5" a="1"/>
  <c r="B10" i="5" s="1"/>
  <c r="F20" i="5" a="1"/>
  <c r="F20" i="5" s="1"/>
  <c r="G18" i="5" a="1"/>
  <c r="G18" i="5" s="1"/>
  <c r="C22" i="5" a="1"/>
  <c r="C22" i="5" s="1"/>
  <c r="C5" i="5" a="1"/>
  <c r="C5" i="5" s="1"/>
  <c r="G10" i="5" a="1"/>
  <c r="G10" i="5" s="1"/>
  <c r="G9" i="5" a="1"/>
  <c r="G9" i="5" s="1"/>
  <c r="G15" i="5" a="1"/>
  <c r="G15" i="5" s="1"/>
  <c r="K14" i="5" a="1"/>
  <c r="K14" i="5" s="1"/>
  <c r="K21" i="5" a="1"/>
  <c r="K21" i="5" s="1"/>
  <c r="D16" i="5" a="1"/>
  <c r="D16" i="5" s="1"/>
  <c r="L10" i="5" a="1"/>
  <c r="L10" i="5" s="1"/>
  <c r="E5" i="5" a="1"/>
  <c r="E5" i="5" s="1"/>
  <c r="H18" i="5" a="1"/>
  <c r="H18" i="5" s="1"/>
  <c r="I6" i="5" a="1"/>
  <c r="I6" i="5" s="1"/>
  <c r="J21" i="5" a="1"/>
  <c r="J21" i="5" s="1"/>
  <c r="B21" i="5" a="1"/>
  <c r="B21" i="5" s="1"/>
  <c r="F15" i="5" a="1"/>
  <c r="F15" i="5" s="1"/>
  <c r="C12" i="5" a="1"/>
  <c r="C12" i="5" s="1"/>
  <c r="C6" i="5" a="1"/>
  <c r="C6" i="5" s="1"/>
  <c r="C8" i="5" a="1"/>
  <c r="C8" i="5" s="1"/>
  <c r="C15" i="5" a="1"/>
  <c r="C15" i="5" s="1"/>
  <c r="C14" i="5" a="1"/>
  <c r="C14" i="5" s="1"/>
  <c r="G22" i="5" a="1"/>
  <c r="G22" i="5" s="1"/>
  <c r="G16" i="5" a="1"/>
  <c r="G16" i="5" s="1"/>
  <c r="G14" i="5" a="1"/>
  <c r="G14" i="5" s="1"/>
  <c r="G17" i="5" a="1"/>
  <c r="G17" i="5" s="1"/>
  <c r="K17" i="5" a="1"/>
  <c r="K17" i="5" s="1"/>
  <c r="K18" i="5" a="1"/>
  <c r="K18" i="5" s="1"/>
  <c r="K12" i="5" a="1"/>
  <c r="K12" i="5" s="1"/>
  <c r="K6" i="5" a="1"/>
  <c r="K6" i="5" s="1"/>
  <c r="D18" i="5" a="1"/>
  <c r="D18" i="5" s="1"/>
  <c r="D10" i="5" a="1"/>
  <c r="D10" i="5" s="1"/>
  <c r="D8" i="5" a="1"/>
  <c r="D8" i="5" s="1"/>
  <c r="D20" i="5" a="1"/>
  <c r="D20" i="5" s="1"/>
  <c r="L8" i="5" a="1"/>
  <c r="L8" i="5" s="1"/>
  <c r="L17" i="5" a="1"/>
  <c r="L17" i="5" s="1"/>
  <c r="L9" i="5" a="1"/>
  <c r="L9" i="5" s="1"/>
  <c r="L5" i="5" a="1"/>
  <c r="L5" i="5" s="1"/>
  <c r="L6" i="5" a="1"/>
  <c r="L6" i="5" s="1"/>
  <c r="E7" i="5" a="1"/>
  <c r="E7" i="5" s="1"/>
  <c r="E19" i="5" a="1"/>
  <c r="E19" i="5" s="1"/>
  <c r="E18" i="5" a="1"/>
  <c r="E18" i="5" s="1"/>
  <c r="E14" i="5" a="1"/>
  <c r="E14" i="5" s="1"/>
  <c r="H20" i="5" a="1"/>
  <c r="H20" i="5" s="1"/>
  <c r="H9" i="5" a="1"/>
  <c r="H9" i="5" s="1"/>
  <c r="H22" i="5" a="1"/>
  <c r="H22" i="5" s="1"/>
  <c r="H21" i="5" a="1"/>
  <c r="H21" i="5" s="1"/>
  <c r="H11" i="5" a="1"/>
  <c r="H11" i="5" s="1"/>
  <c r="I8" i="5" a="1"/>
  <c r="I8" i="5" s="1"/>
  <c r="I13" i="5" a="1"/>
  <c r="I13" i="5" s="1"/>
  <c r="I16" i="5" a="1"/>
  <c r="I16" i="5" s="1"/>
  <c r="I15" i="5" a="1"/>
  <c r="I15" i="5" s="1"/>
  <c r="J7" i="5" a="1"/>
  <c r="J7" i="5" s="1"/>
  <c r="J20" i="5" a="1"/>
  <c r="J20" i="5" s="1"/>
  <c r="J8" i="5" a="1"/>
  <c r="J8" i="5" s="1"/>
  <c r="J6" i="5" a="1"/>
  <c r="J6" i="5" s="1"/>
  <c r="B19" i="5" a="1"/>
  <c r="B19" i="5" s="1"/>
  <c r="B6" i="5" a="1"/>
  <c r="B6" i="5" s="1"/>
  <c r="B22" i="5" a="1"/>
  <c r="B22" i="5" s="1"/>
  <c r="B17" i="5" a="1"/>
  <c r="B17" i="5" s="1"/>
  <c r="F14" i="5" a="1"/>
  <c r="F14" i="5" s="1"/>
  <c r="F10" i="5" a="1"/>
  <c r="F10" i="5" s="1"/>
  <c r="F18" i="5" a="1"/>
  <c r="F18" i="5" s="1"/>
  <c r="F22" i="5" a="1"/>
  <c r="F22" i="5" s="1"/>
  <c r="F5" i="5" a="1"/>
  <c r="F5" i="5" s="1"/>
  <c r="C19" i="5" a="1"/>
  <c r="C19" i="5" s="1"/>
  <c r="C13" i="5" a="1"/>
  <c r="C13" i="5" s="1"/>
  <c r="C18" i="5" a="1"/>
  <c r="C18" i="5" s="1"/>
  <c r="C7" i="5" a="1"/>
  <c r="C7" i="5" s="1"/>
  <c r="G6" i="5" a="1"/>
  <c r="G6" i="5" s="1"/>
  <c r="G20" i="5" a="1"/>
  <c r="G20" i="5" s="1"/>
  <c r="G21" i="5" a="1"/>
  <c r="G21" i="5" s="1"/>
  <c r="G5" i="5" a="1"/>
  <c r="G5" i="5" s="1"/>
  <c r="K5" i="5" a="1"/>
  <c r="K5" i="5" s="1"/>
  <c r="K11" i="5" a="1"/>
  <c r="K11" i="5" s="1"/>
  <c r="K22" i="5" a="1"/>
  <c r="K22" i="5" s="1"/>
  <c r="K19" i="5" a="1"/>
  <c r="K19" i="5" s="1"/>
  <c r="D5" i="5" a="1"/>
  <c r="D5" i="5" s="1"/>
  <c r="D21" i="5" a="1"/>
  <c r="D21" i="5" s="1"/>
  <c r="D19" i="5" a="1"/>
  <c r="D19" i="5" s="1"/>
  <c r="D13" i="5" a="1"/>
  <c r="D13" i="5" s="1"/>
  <c r="D22" i="5" a="1"/>
  <c r="D22" i="5" s="1"/>
  <c r="L11" i="5" a="1"/>
  <c r="L11" i="5" s="1"/>
  <c r="L22" i="5" a="1"/>
  <c r="L22" i="5" s="1"/>
  <c r="L19" i="5" a="1"/>
  <c r="L19" i="5" s="1"/>
  <c r="L15" i="5" a="1"/>
  <c r="L15" i="5" s="1"/>
  <c r="E20" i="5" a="1"/>
  <c r="E20" i="5" s="1"/>
  <c r="E15" i="5" a="1"/>
  <c r="E15" i="5" s="1"/>
  <c r="E6" i="5" a="1"/>
  <c r="E6" i="5" s="1"/>
  <c r="E10" i="5" a="1"/>
  <c r="E10" i="5" s="1"/>
  <c r="H17" i="5" a="1"/>
  <c r="H17" i="5" s="1"/>
  <c r="H19" i="5" a="1"/>
  <c r="H19" i="5" s="1"/>
  <c r="H14" i="5" a="1"/>
  <c r="H14" i="5" s="1"/>
  <c r="H6" i="5" a="1"/>
  <c r="H6" i="5" s="1"/>
  <c r="I11" i="5" a="1"/>
  <c r="I11" i="5" s="1"/>
  <c r="I22" i="5" a="1"/>
  <c r="I22" i="5" s="1"/>
  <c r="I12" i="5" a="1"/>
  <c r="I12" i="5" s="1"/>
  <c r="I14" i="5" a="1"/>
  <c r="I14" i="5" s="1"/>
  <c r="J5" i="5" a="1"/>
  <c r="J5" i="5" s="1"/>
  <c r="J17" i="5" a="1"/>
  <c r="J17" i="5" s="1"/>
  <c r="J9" i="5" a="1"/>
  <c r="J9" i="5" s="1"/>
  <c r="J11" i="5" a="1"/>
  <c r="J11" i="5" s="1"/>
  <c r="J12" i="5" a="1"/>
  <c r="J12" i="5" s="1"/>
  <c r="B16" i="5" a="1"/>
  <c r="B16" i="5" s="1"/>
  <c r="B8" i="5" a="1"/>
  <c r="B8" i="5" s="1"/>
  <c r="B5" i="5" a="1"/>
  <c r="B5" i="5" s="1"/>
  <c r="B7" i="5" a="1"/>
  <c r="B7" i="5" s="1"/>
  <c r="B13" i="5" a="1"/>
  <c r="B13" i="5" s="1"/>
  <c r="F9" i="5" a="1"/>
  <c r="F9" i="5" s="1"/>
  <c r="F19" i="5" a="1"/>
  <c r="F19" i="5" s="1"/>
  <c r="F21" i="5" a="1"/>
  <c r="F21" i="5" s="1"/>
  <c r="F17" i="5" a="1"/>
  <c r="F17" i="5" s="1"/>
  <c r="F11" i="5" a="1"/>
  <c r="F11" i="5" s="1"/>
  <c r="K15" i="5" a="1"/>
  <c r="K15" i="5" s="1"/>
  <c r="K20" i="5" a="1"/>
  <c r="K20" i="5" s="1"/>
  <c r="K10" i="5" a="1"/>
  <c r="K10" i="5" s="1"/>
  <c r="K16" i="5" a="1"/>
  <c r="K16" i="5" s="1"/>
  <c r="D15" i="5" a="1"/>
  <c r="D15" i="5" s="1"/>
  <c r="D6" i="5" a="1"/>
  <c r="D6" i="5" s="1"/>
  <c r="D14" i="5" a="1"/>
  <c r="D14" i="5" s="1"/>
  <c r="D11" i="5" a="1"/>
  <c r="D11" i="5" s="1"/>
  <c r="D17" i="5" a="1"/>
  <c r="D17" i="5" s="1"/>
  <c r="L14" i="5" a="1"/>
  <c r="L14" i="5" s="1"/>
  <c r="L16" i="5" a="1"/>
  <c r="L16" i="5" s="1"/>
  <c r="L7" i="5" a="1"/>
  <c r="L7" i="5" s="1"/>
  <c r="L18" i="5" a="1"/>
  <c r="L18" i="5" s="1"/>
  <c r="E16" i="5" a="1"/>
  <c r="E16" i="5" s="1"/>
  <c r="E13" i="5" a="1"/>
  <c r="E13" i="5" s="1"/>
  <c r="E11" i="5" a="1"/>
  <c r="E11" i="5" s="1"/>
  <c r="E17" i="5" a="1"/>
  <c r="E17" i="5" s="1"/>
  <c r="E8" i="5" a="1"/>
  <c r="E8" i="5" s="1"/>
  <c r="H16" i="5" a="1"/>
  <c r="H16" i="5" s="1"/>
  <c r="H7" i="5" a="1"/>
  <c r="H7" i="5" s="1"/>
  <c r="H15" i="5" a="1"/>
  <c r="H15" i="5" s="1"/>
  <c r="H12" i="5" a="1"/>
  <c r="H12" i="5" s="1"/>
  <c r="I17" i="5" a="1"/>
  <c r="I17" i="5" s="1"/>
  <c r="I21" i="5" a="1"/>
  <c r="I21" i="5" s="1"/>
  <c r="I20" i="5" a="1"/>
  <c r="I20" i="5" s="1"/>
  <c r="I19" i="5" a="1"/>
  <c r="I19" i="5" s="1"/>
  <c r="I9" i="5" a="1"/>
  <c r="I9" i="5" s="1"/>
  <c r="J10" i="5" a="1"/>
  <c r="J10" i="5" s="1"/>
  <c r="J16" i="5" a="1"/>
  <c r="J16" i="5" s="1"/>
  <c r="J15" i="5" a="1"/>
  <c r="J15" i="5" s="1"/>
  <c r="J18" i="5" a="1"/>
  <c r="J18" i="5" s="1"/>
  <c r="J22" i="5" a="1"/>
  <c r="J22" i="5" s="1"/>
  <c r="B15" i="5" a="1"/>
  <c r="B15" i="5" s="1"/>
  <c r="B18" i="5" a="1"/>
  <c r="B18" i="5" s="1"/>
  <c r="B9" i="5" a="1"/>
  <c r="B9" i="5" s="1"/>
  <c r="B14" i="5" a="1"/>
  <c r="B14" i="5" s="1"/>
  <c r="B20" i="5" a="1"/>
  <c r="B20" i="5" s="1"/>
  <c r="F16" i="5" a="1"/>
  <c r="F16" i="5" s="1"/>
  <c r="F13" i="5" a="1"/>
  <c r="F13" i="5" s="1"/>
  <c r="F6" i="5" a="1"/>
  <c r="F6" i="5" s="1"/>
  <c r="H49" i="4" a="1"/>
  <c r="H49" i="4" s="1"/>
  <c r="B45" i="4" a="1"/>
  <c r="B45" i="4" s="1"/>
  <c r="L15" i="7"/>
  <c r="L4" i="7"/>
  <c r="N4" i="7" s="1"/>
  <c r="D11" i="9" s="1"/>
  <c r="C10" i="6"/>
  <c r="Q9" i="6"/>
  <c r="I10" i="6"/>
  <c r="W9" i="6"/>
  <c r="B10" i="6"/>
  <c r="P9" i="6"/>
  <c r="K10" i="6"/>
  <c r="Y9" i="6"/>
  <c r="L10" i="6"/>
  <c r="Z9" i="6"/>
  <c r="F9" i="6"/>
  <c r="T8" i="6"/>
  <c r="H9" i="6"/>
  <c r="V8" i="6"/>
  <c r="D10" i="6"/>
  <c r="R9" i="6"/>
  <c r="G10" i="6"/>
  <c r="U9" i="6"/>
  <c r="J10" i="6"/>
  <c r="X9" i="6"/>
  <c r="E9" i="6"/>
  <c r="S8" i="6"/>
  <c r="K61" i="4" a="1"/>
  <c r="K61" i="4" s="1"/>
  <c r="F81" i="4" a="1"/>
  <c r="F81" i="4" s="1"/>
  <c r="G78" i="4" a="1"/>
  <c r="G78" i="4" s="1"/>
  <c r="G75" i="4" a="1"/>
  <c r="G75" i="4" s="1"/>
  <c r="K70" i="4" a="1"/>
  <c r="K70" i="4" s="1"/>
  <c r="B65" i="4" a="1"/>
  <c r="B65" i="4" s="1"/>
  <c r="C62" i="4" a="1"/>
  <c r="C62" i="4" s="1"/>
  <c r="B59" i="4" a="1"/>
  <c r="B59" i="4" s="1"/>
  <c r="L56" i="4" a="1"/>
  <c r="L56" i="4" s="1"/>
  <c r="F51" i="4" a="1"/>
  <c r="F51" i="4" s="1"/>
  <c r="C47" i="4" a="1"/>
  <c r="C47" i="4" s="1"/>
  <c r="G39" i="4" a="1"/>
  <c r="G39" i="4" s="1"/>
  <c r="H27" i="4" a="1"/>
  <c r="H27" i="4" s="1"/>
  <c r="G9" i="4" a="1"/>
  <c r="G9" i="4" s="1"/>
  <c r="H80" i="4" a="1"/>
  <c r="H80" i="4" s="1"/>
  <c r="D76" i="4" a="1"/>
  <c r="D76" i="4" s="1"/>
  <c r="I69" i="4" a="1"/>
  <c r="I69" i="4" s="1"/>
  <c r="K60" i="4" a="1"/>
  <c r="K60" i="4" s="1"/>
  <c r="I51" i="4" a="1"/>
  <c r="I51" i="4" s="1"/>
  <c r="L30" i="4" a="1"/>
  <c r="L30" i="4" s="1"/>
  <c r="C5" i="4" a="1"/>
  <c r="C5" i="4" s="1"/>
  <c r="H81" i="4" a="1"/>
  <c r="H81" i="4" s="1"/>
  <c r="C80" i="4" a="1"/>
  <c r="C80" i="4" s="1"/>
  <c r="I78" i="4" a="1"/>
  <c r="I78" i="4" s="1"/>
  <c r="D77" i="4" a="1"/>
  <c r="D77" i="4" s="1"/>
  <c r="J75" i="4" a="1"/>
  <c r="J75" i="4" s="1"/>
  <c r="D72" i="4" a="1"/>
  <c r="D72" i="4" s="1"/>
  <c r="E69" i="4" a="1"/>
  <c r="E69" i="4" s="1"/>
  <c r="F66" i="4" a="1"/>
  <c r="F66" i="4" s="1"/>
  <c r="G63" i="4" a="1"/>
  <c r="G63" i="4" s="1"/>
  <c r="H60" i="4" a="1"/>
  <c r="H60" i="4" s="1"/>
  <c r="K56" i="4" a="1"/>
  <c r="K56" i="4" s="1"/>
  <c r="J54" i="4" a="1"/>
  <c r="J54" i="4" s="1"/>
  <c r="C51" i="4" a="1"/>
  <c r="C51" i="4" s="1"/>
  <c r="K42" i="4" a="1"/>
  <c r="K42" i="4" s="1"/>
  <c r="D34" i="4" a="1"/>
  <c r="D34" i="4" s="1"/>
  <c r="L12" i="4" a="1"/>
  <c r="L12" i="4" s="1"/>
  <c r="G81" i="4" a="1"/>
  <c r="G81" i="4" s="1"/>
  <c r="C77" i="4" a="1"/>
  <c r="C77" i="4" s="1"/>
  <c r="C71" i="4" a="1"/>
  <c r="C71" i="4" s="1"/>
  <c r="F62" i="4" a="1"/>
  <c r="F62" i="4" s="1"/>
  <c r="J53" i="4" a="1"/>
  <c r="J53" i="4" s="1"/>
  <c r="D24" i="4" a="1"/>
  <c r="D24" i="4" s="1"/>
  <c r="E5" i="4" a="1"/>
  <c r="E5" i="4" s="1"/>
  <c r="K81" i="4" a="1"/>
  <c r="K81" i="4" s="1"/>
  <c r="F80" i="4" a="1"/>
  <c r="F80" i="4" s="1"/>
  <c r="L78" i="4" a="1"/>
  <c r="L78" i="4" s="1"/>
  <c r="G77" i="4" a="1"/>
  <c r="G77" i="4" s="1"/>
  <c r="B76" i="4" a="1"/>
  <c r="B76" i="4" s="1"/>
  <c r="B74" i="4" a="1"/>
  <c r="B74" i="4" s="1"/>
  <c r="D71" i="4" a="1"/>
  <c r="D71" i="4" s="1"/>
  <c r="E68" i="4" a="1"/>
  <c r="E68" i="4" s="1"/>
  <c r="F65" i="4" a="1"/>
  <c r="F65" i="4" s="1"/>
  <c r="G62" i="4" a="1"/>
  <c r="G62" i="4" s="1"/>
  <c r="K59" i="4" a="1"/>
  <c r="K59" i="4" s="1"/>
  <c r="C56" i="4" a="1"/>
  <c r="C56" i="4" s="1"/>
  <c r="B54" i="4" a="1"/>
  <c r="B54" i="4" s="1"/>
  <c r="I47" i="4" a="1"/>
  <c r="I47" i="4" s="1"/>
  <c r="E38" i="4" a="1"/>
  <c r="E38" i="4" s="1"/>
  <c r="E25" i="4" a="1"/>
  <c r="E25" i="4" s="1"/>
  <c r="L53" i="4" a="1"/>
  <c r="L53" i="4" s="1"/>
  <c r="C52" i="4" a="1"/>
  <c r="C52" i="4" s="1"/>
  <c r="B51" i="4" a="1"/>
  <c r="B51" i="4" s="1"/>
  <c r="D49" i="4" a="1"/>
  <c r="D49" i="4" s="1"/>
  <c r="C48" i="4" a="1"/>
  <c r="C48" i="4" s="1"/>
  <c r="J46" i="4" a="1"/>
  <c r="J46" i="4" s="1"/>
  <c r="E45" i="4" a="1"/>
  <c r="E45" i="4" s="1"/>
  <c r="F42" i="4" a="1"/>
  <c r="F42" i="4" s="1"/>
  <c r="H40" i="4" a="1"/>
  <c r="H40" i="4" s="1"/>
  <c r="I37" i="4" a="1"/>
  <c r="I37" i="4" s="1"/>
  <c r="J34" i="4" a="1"/>
  <c r="J34" i="4" s="1"/>
  <c r="G32" i="4" a="1"/>
  <c r="G32" i="4" s="1"/>
  <c r="G27" i="4" a="1"/>
  <c r="G27" i="4" s="1"/>
  <c r="K19" i="4" a="1"/>
  <c r="K19" i="4" s="1"/>
  <c r="B14" i="4" a="1"/>
  <c r="B14" i="4" s="1"/>
  <c r="D8" i="4" a="1"/>
  <c r="D8" i="4" s="1"/>
  <c r="J74" i="4" a="1"/>
  <c r="J74" i="4" s="1"/>
  <c r="D73" i="4" a="1"/>
  <c r="D73" i="4" s="1"/>
  <c r="J71" i="4" a="1"/>
  <c r="J71" i="4" s="1"/>
  <c r="E70" i="4" a="1"/>
  <c r="E70" i="4" s="1"/>
  <c r="K68" i="4" a="1"/>
  <c r="K68" i="4" s="1"/>
  <c r="F67" i="4" a="1"/>
  <c r="F67" i="4" s="1"/>
  <c r="L65" i="4" a="1"/>
  <c r="L65" i="4" s="1"/>
  <c r="G64" i="4" a="1"/>
  <c r="G64" i="4" s="1"/>
  <c r="B63" i="4" a="1"/>
  <c r="B63" i="4" s="1"/>
  <c r="J61" i="4" a="1"/>
  <c r="J61" i="4" s="1"/>
  <c r="G60" i="4" a="1"/>
  <c r="G60" i="4" s="1"/>
  <c r="I58" i="4" a="1"/>
  <c r="I58" i="4" s="1"/>
  <c r="H57" i="4" a="1"/>
  <c r="H57" i="4" s="1"/>
  <c r="J55" i="4" a="1"/>
  <c r="J55" i="4" s="1"/>
  <c r="I54" i="4" a="1"/>
  <c r="I54" i="4" s="1"/>
  <c r="K52" i="4" a="1"/>
  <c r="K52" i="4" s="1"/>
  <c r="J51" i="4" a="1"/>
  <c r="J51" i="4" s="1"/>
  <c r="L49" i="4" a="1"/>
  <c r="L49" i="4" s="1"/>
  <c r="K48" i="4" a="1"/>
  <c r="K48" i="4" s="1"/>
  <c r="L46" i="4" a="1"/>
  <c r="L46" i="4" s="1"/>
  <c r="G45" i="4" a="1"/>
  <c r="G45" i="4" s="1"/>
  <c r="G43" i="4" a="1"/>
  <c r="G43" i="4" s="1"/>
  <c r="L41" i="4" a="1"/>
  <c r="L41" i="4" s="1"/>
  <c r="J39" i="4" a="1"/>
  <c r="J39" i="4" s="1"/>
  <c r="K36" i="4" a="1"/>
  <c r="K36" i="4" s="1"/>
  <c r="L33" i="4" a="1"/>
  <c r="L33" i="4" s="1"/>
  <c r="D31" i="4" a="1"/>
  <c r="D31" i="4" s="1"/>
  <c r="K28" i="4" a="1"/>
  <c r="K28" i="4" s="1"/>
  <c r="J23" i="4" a="1"/>
  <c r="J23" i="4" s="1"/>
  <c r="D11" i="4" a="1"/>
  <c r="D11" i="4" s="1"/>
  <c r="J72" i="4" a="1"/>
  <c r="J72" i="4" s="1"/>
  <c r="K69" i="4" a="1"/>
  <c r="K69" i="4" s="1"/>
  <c r="L66" i="4" a="1"/>
  <c r="L66" i="4" s="1"/>
  <c r="B64" i="4" a="1"/>
  <c r="B64" i="4" s="1"/>
  <c r="D61" i="4" a="1"/>
  <c r="D61" i="4" s="1"/>
  <c r="E58" i="4" a="1"/>
  <c r="E58" i="4" s="1"/>
  <c r="G52" i="4" a="1"/>
  <c r="G52" i="4" s="1"/>
  <c r="K80" i="4" a="1"/>
  <c r="K80" i="4" s="1"/>
  <c r="I52" i="4" a="1"/>
  <c r="I52" i="4" s="1"/>
  <c r="L79" i="4" a="1"/>
  <c r="L79" i="4" s="1"/>
  <c r="B77" i="4" a="1"/>
  <c r="B77" i="4" s="1"/>
  <c r="J73" i="4" a="1"/>
  <c r="J73" i="4" s="1"/>
  <c r="L67" i="4" a="1"/>
  <c r="L67" i="4" s="1"/>
  <c r="B80" i="4" a="1"/>
  <c r="B80" i="4" s="1"/>
  <c r="L75" i="4" a="1"/>
  <c r="L75" i="4" s="1"/>
  <c r="D68" i="4" a="1"/>
  <c r="D68" i="4" s="1"/>
  <c r="J59" i="4" a="1"/>
  <c r="J59" i="4" s="1"/>
  <c r="G48" i="4" a="1"/>
  <c r="G48" i="4" s="1"/>
  <c r="E15" i="4" a="1"/>
  <c r="E15" i="4" s="1"/>
  <c r="H82" i="4" a="1"/>
  <c r="H82" i="4" s="1"/>
  <c r="C81" i="4" a="1"/>
  <c r="C81" i="4" s="1"/>
  <c r="I79" i="4" a="1"/>
  <c r="I79" i="4" s="1"/>
  <c r="D78" i="4" a="1"/>
  <c r="D78" i="4" s="1"/>
  <c r="J76" i="4" a="1"/>
  <c r="J76" i="4" s="1"/>
  <c r="C75" i="4" a="1"/>
  <c r="C75" i="4" s="1"/>
  <c r="B73" i="4" a="1"/>
  <c r="B73" i="4" s="1"/>
  <c r="C70" i="4" a="1"/>
  <c r="C70" i="4" s="1"/>
  <c r="D67" i="4" a="1"/>
  <c r="D67" i="4" s="1"/>
  <c r="E64" i="4" a="1"/>
  <c r="E64" i="4" s="1"/>
  <c r="I61" i="4" a="1"/>
  <c r="I61" i="4" s="1"/>
  <c r="G58" i="4" a="1"/>
  <c r="G58" i="4" s="1"/>
  <c r="F56" i="4" a="1"/>
  <c r="F56" i="4" s="1"/>
  <c r="E50" i="4" a="1"/>
  <c r="E50" i="4" s="1"/>
  <c r="L45" i="4" a="1"/>
  <c r="L45" i="4" s="1"/>
  <c r="C37" i="4" a="1"/>
  <c r="C37" i="4" s="1"/>
  <c r="D23" i="4" a="1"/>
  <c r="D23" i="4" s="1"/>
  <c r="B5" i="4" a="1"/>
  <c r="B5" i="4" s="1"/>
  <c r="F79" i="4" a="1"/>
  <c r="F79" i="4" s="1"/>
  <c r="D75" i="4" a="1"/>
  <c r="D75" i="4" s="1"/>
  <c r="G67" i="4" a="1"/>
  <c r="G67" i="4" s="1"/>
  <c r="D59" i="4" a="1"/>
  <c r="D59" i="4" s="1"/>
  <c r="H50" i="4" a="1"/>
  <c r="H50" i="4" s="1"/>
  <c r="H10" i="4" a="1"/>
  <c r="H10" i="4" s="1"/>
  <c r="J82" i="4" a="1"/>
  <c r="J82" i="4" s="1"/>
  <c r="E81" i="4" a="1"/>
  <c r="E81" i="4" s="1"/>
  <c r="K79" i="4" a="1"/>
  <c r="K79" i="4" s="1"/>
  <c r="F78" i="4" a="1"/>
  <c r="F78" i="4" s="1"/>
  <c r="L76" i="4" a="1"/>
  <c r="L76" i="4" s="1"/>
  <c r="F75" i="4" a="1"/>
  <c r="F75" i="4" s="1"/>
  <c r="G71" i="4" a="1"/>
  <c r="G71" i="4" s="1"/>
  <c r="H68" i="4" a="1"/>
  <c r="H68" i="4" s="1"/>
  <c r="I65" i="4" a="1"/>
  <c r="I65" i="4" s="1"/>
  <c r="J62" i="4" a="1"/>
  <c r="J62" i="4" s="1"/>
  <c r="B60" i="4" a="1"/>
  <c r="B60" i="4" s="1"/>
  <c r="E56" i="4" a="1"/>
  <c r="E56" i="4" s="1"/>
  <c r="D54" i="4" a="1"/>
  <c r="D54" i="4" s="1"/>
  <c r="L47" i="4" a="1"/>
  <c r="L47" i="4" s="1"/>
  <c r="D41" i="4" a="1"/>
  <c r="D41" i="4" s="1"/>
  <c r="K29" i="4" a="1"/>
  <c r="K29" i="4" s="1"/>
  <c r="E8" i="4" a="1"/>
  <c r="E8" i="4" s="1"/>
  <c r="E80" i="4" a="1"/>
  <c r="E80" i="4" s="1"/>
  <c r="H75" i="4" a="1"/>
  <c r="H75" i="4" s="1"/>
  <c r="L68" i="4" a="1"/>
  <c r="L68" i="4" s="1"/>
  <c r="E60" i="4" a="1"/>
  <c r="E60" i="4" s="1"/>
  <c r="F47" i="4" a="1"/>
  <c r="F47" i="4" s="1"/>
  <c r="L19" i="4" a="1"/>
  <c r="L19" i="4" s="1"/>
  <c r="I82" i="4" a="1"/>
  <c r="I82" i="4" s="1"/>
  <c r="D81" i="4" a="1"/>
  <c r="D81" i="4" s="1"/>
  <c r="J79" i="4" a="1"/>
  <c r="J79" i="4" s="1"/>
  <c r="E78" i="4" a="1"/>
  <c r="E78" i="4" s="1"/>
  <c r="K76" i="4" a="1"/>
  <c r="K76" i="4" s="1"/>
  <c r="E75" i="4" a="1"/>
  <c r="E75" i="4" s="1"/>
  <c r="F73" i="4" a="1"/>
  <c r="F73" i="4" s="1"/>
  <c r="G70" i="4" a="1"/>
  <c r="G70" i="4" s="1"/>
  <c r="H67" i="4" a="1"/>
  <c r="H67" i="4" s="1"/>
  <c r="I64" i="4" a="1"/>
  <c r="I64" i="4" s="1"/>
  <c r="F61" i="4" a="1"/>
  <c r="F61" i="4" s="1"/>
  <c r="E59" i="4" a="1"/>
  <c r="E59" i="4" s="1"/>
  <c r="H55" i="4" a="1"/>
  <c r="H55" i="4" s="1"/>
  <c r="K50" i="4" a="1"/>
  <c r="K50" i="4" s="1"/>
  <c r="G46" i="4" a="1"/>
  <c r="G46" i="4" s="1"/>
  <c r="L35" i="4" a="1"/>
  <c r="L35" i="4" s="1"/>
  <c r="C21" i="4" a="1"/>
  <c r="C21" i="4" s="1"/>
  <c r="F53" i="4" a="1"/>
  <c r="F53" i="4" s="1"/>
  <c r="K51" i="4" a="1"/>
  <c r="K51" i="4" s="1"/>
  <c r="G50" i="4" a="1"/>
  <c r="G50" i="4" s="1"/>
  <c r="L48" i="4" a="1"/>
  <c r="L48" i="4" s="1"/>
  <c r="H47" i="4" a="1"/>
  <c r="H47" i="4" s="1"/>
  <c r="C46" i="4" a="1"/>
  <c r="C46" i="4" s="1"/>
  <c r="I44" i="4" a="1"/>
  <c r="I44" i="4" s="1"/>
  <c r="B42" i="4" a="1"/>
  <c r="B42" i="4" s="1"/>
  <c r="L39" i="4" a="1"/>
  <c r="L39" i="4" s="1"/>
  <c r="B37" i="4" a="1"/>
  <c r="B37" i="4" s="1"/>
  <c r="C34" i="4" a="1"/>
  <c r="C34" i="4" s="1"/>
  <c r="L31" i="4" a="1"/>
  <c r="L31" i="4" s="1"/>
  <c r="C23" i="4" a="1"/>
  <c r="C23" i="4" s="1"/>
  <c r="I18" i="4" a="1"/>
  <c r="I18" i="4" s="1"/>
  <c r="K12" i="4" a="1"/>
  <c r="K12" i="4" s="1"/>
  <c r="B7" i="4" a="1"/>
  <c r="B7" i="4" s="1"/>
  <c r="G74" i="4" a="1"/>
  <c r="G74" i="4" s="1"/>
  <c r="K72" i="4" a="1"/>
  <c r="K72" i="4" s="1"/>
  <c r="F71" i="4" a="1"/>
  <c r="F71" i="4" s="1"/>
  <c r="L69" i="4" a="1"/>
  <c r="L69" i="4" s="1"/>
  <c r="G68" i="4" a="1"/>
  <c r="G68" i="4" s="1"/>
  <c r="B67" i="4" a="1"/>
  <c r="B67" i="4" s="1"/>
  <c r="H65" i="4" a="1"/>
  <c r="H65" i="4" s="1"/>
  <c r="C64" i="4" a="1"/>
  <c r="C64" i="4" s="1"/>
  <c r="I62" i="4" a="1"/>
  <c r="I62" i="4" s="1"/>
  <c r="E61" i="4" a="1"/>
  <c r="E61" i="4" s="1"/>
  <c r="L59" i="4" a="1"/>
  <c r="L59" i="4" s="1"/>
  <c r="F58" i="4" a="1"/>
  <c r="F58" i="4" s="1"/>
  <c r="B57" i="4" a="1"/>
  <c r="B57" i="4" s="1"/>
  <c r="G55" i="4" a="1"/>
  <c r="G55" i="4" s="1"/>
  <c r="C54" i="4" a="1"/>
  <c r="C54" i="4" s="1"/>
  <c r="H52" i="4" a="1"/>
  <c r="H52" i="4" s="1"/>
  <c r="D51" i="4" a="1"/>
  <c r="D51" i="4" s="1"/>
  <c r="I49" i="4" a="1"/>
  <c r="I49" i="4" s="1"/>
  <c r="E48" i="4" a="1"/>
  <c r="E48" i="4" s="1"/>
  <c r="I46" i="4" a="1"/>
  <c r="I46" i="4" s="1"/>
  <c r="D45" i="4" a="1"/>
  <c r="D45" i="4" s="1"/>
  <c r="C43" i="4" a="1"/>
  <c r="C43" i="4" s="1"/>
  <c r="G41" i="4" a="1"/>
  <c r="G41" i="4" s="1"/>
  <c r="H38" i="4" a="1"/>
  <c r="H38" i="4" s="1"/>
  <c r="I35" i="4" a="1"/>
  <c r="I35" i="4" s="1"/>
  <c r="K32" i="4" a="1"/>
  <c r="K32" i="4" s="1"/>
  <c r="I30" i="4" a="1"/>
  <c r="I30" i="4" s="1"/>
  <c r="C28" i="4" a="1"/>
  <c r="C28" i="4" s="1"/>
  <c r="D18" i="4" a="1"/>
  <c r="D18" i="4" s="1"/>
  <c r="H6" i="4" a="1"/>
  <c r="H6" i="4" s="1"/>
  <c r="I71" i="4" a="1"/>
  <c r="I71" i="4" s="1"/>
  <c r="J68" i="4" a="1"/>
  <c r="J68" i="4" s="1"/>
  <c r="K65" i="4" a="1"/>
  <c r="K65" i="4" s="1"/>
  <c r="L62" i="4" a="1"/>
  <c r="L62" i="4" s="1"/>
  <c r="I59" i="4" a="1"/>
  <c r="I59" i="4" s="1"/>
  <c r="G56" i="4" a="1"/>
  <c r="G56" i="4" s="1"/>
  <c r="I50" i="4" a="1"/>
  <c r="I50" i="4" s="1"/>
  <c r="G76" i="4" a="1"/>
  <c r="G76" i="4" s="1"/>
  <c r="G28" i="4" a="1"/>
  <c r="G28" i="4" s="1"/>
  <c r="J5" i="4" a="1"/>
  <c r="J5" i="4" s="1"/>
  <c r="K74" i="4" a="1"/>
  <c r="K74" i="4" s="1"/>
  <c r="D58" i="4" a="1"/>
  <c r="D58" i="4" s="1"/>
  <c r="I5" i="4" a="1"/>
  <c r="I5" i="4" s="1"/>
  <c r="L81" i="4" a="1"/>
  <c r="L81" i="4" s="1"/>
  <c r="G80" i="4" a="1"/>
  <c r="G80" i="4" s="1"/>
  <c r="B79" i="4" a="1"/>
  <c r="B79" i="4" s="1"/>
  <c r="H77" i="4" a="1"/>
  <c r="H77" i="4" s="1"/>
  <c r="C76" i="4" a="1"/>
  <c r="C76" i="4" s="1"/>
  <c r="I74" i="4" a="1"/>
  <c r="I74" i="4" s="1"/>
  <c r="E72" i="4" a="1"/>
  <c r="E72" i="4" s="1"/>
  <c r="F69" i="4" a="1"/>
  <c r="F69" i="4" s="1"/>
  <c r="G66" i="4" a="1"/>
  <c r="G66" i="4" s="1"/>
  <c r="H63" i="4" a="1"/>
  <c r="H63" i="4" s="1"/>
  <c r="C60" i="4" a="1"/>
  <c r="C60" i="4" s="1"/>
  <c r="B58" i="4" a="1"/>
  <c r="B58" i="4" s="1"/>
  <c r="E54" i="4" a="1"/>
  <c r="E54" i="4" s="1"/>
  <c r="E49" i="4" a="1"/>
  <c r="E49" i="4" s="1"/>
  <c r="J44" i="4" a="1"/>
  <c r="J44" i="4" s="1"/>
  <c r="H32" i="4" a="1"/>
  <c r="H32" i="4" s="1"/>
  <c r="J18" i="4" a="1"/>
  <c r="J18" i="4" s="1"/>
  <c r="L82" i="4" a="1"/>
  <c r="L82" i="4" s="1"/>
  <c r="H78" i="4" a="1"/>
  <c r="H78" i="4" s="1"/>
  <c r="L73" i="4" a="1"/>
  <c r="L73" i="4" s="1"/>
  <c r="E65" i="4" a="1"/>
  <c r="E65" i="4" s="1"/>
  <c r="I57" i="4" a="1"/>
  <c r="I57" i="4" s="1"/>
  <c r="D46" i="4" a="1"/>
  <c r="D46" i="4" s="1"/>
  <c r="L5" i="4" a="1"/>
  <c r="L5" i="4" s="1"/>
  <c r="G82" i="4" a="1"/>
  <c r="G82" i="4" s="1"/>
  <c r="B81" i="4" a="1"/>
  <c r="B81" i="4" s="1"/>
  <c r="H79" i="4" a="1"/>
  <c r="H79" i="4" s="1"/>
  <c r="C78" i="4" a="1"/>
  <c r="C78" i="4" s="1"/>
  <c r="I76" i="4" a="1"/>
  <c r="I76" i="4" s="1"/>
  <c r="I73" i="4" a="1"/>
  <c r="I73" i="4" s="1"/>
  <c r="J70" i="4" a="1"/>
  <c r="J70" i="4" s="1"/>
  <c r="K67" i="4" a="1"/>
  <c r="K67" i="4" s="1"/>
  <c r="L64" i="4" a="1"/>
  <c r="L64" i="4" s="1"/>
  <c r="H61" i="4" a="1"/>
  <c r="H61" i="4" s="1"/>
  <c r="L57" i="4" a="1"/>
  <c r="L57" i="4" s="1"/>
  <c r="K55" i="4" a="1"/>
  <c r="K55" i="4" s="1"/>
  <c r="D53" i="4" a="1"/>
  <c r="D53" i="4" s="1"/>
  <c r="I45" i="4" a="1"/>
  <c r="I45" i="4" s="1"/>
  <c r="K38" i="4" a="1"/>
  <c r="K38" i="4" s="1"/>
  <c r="F26" i="4" a="1"/>
  <c r="F26" i="4" s="1"/>
  <c r="G5" i="4" a="1"/>
  <c r="G5" i="4" s="1"/>
  <c r="K78" i="4" a="1"/>
  <c r="K78" i="4" s="1"/>
  <c r="F74" i="4" a="1"/>
  <c r="F74" i="4" s="1"/>
  <c r="B66" i="4" a="1"/>
  <c r="B66" i="4" s="1"/>
  <c r="J58" i="4" a="1"/>
  <c r="J58" i="4" s="1"/>
  <c r="I43" i="4" a="1"/>
  <c r="I43" i="4" s="1"/>
  <c r="K5" i="4" a="1"/>
  <c r="K5" i="4" s="1"/>
  <c r="F82" i="4" a="1"/>
  <c r="F82" i="4" s="1"/>
  <c r="L80" i="4" a="1"/>
  <c r="L80" i="4" s="1"/>
  <c r="G79" i="4" a="1"/>
  <c r="G79" i="4" s="1"/>
  <c r="B78" i="4" a="1"/>
  <c r="B78" i="4" s="1"/>
  <c r="H76" i="4" a="1"/>
  <c r="H76" i="4" s="1"/>
  <c r="L74" i="4" a="1"/>
  <c r="L74" i="4" s="1"/>
  <c r="I72" i="4" a="1"/>
  <c r="I72" i="4" s="1"/>
  <c r="J69" i="4" a="1"/>
  <c r="J69" i="4" s="1"/>
  <c r="K66" i="4" a="1"/>
  <c r="K66" i="4" s="1"/>
  <c r="L63" i="4" a="1"/>
  <c r="L63" i="4" s="1"/>
  <c r="L60" i="4" a="1"/>
  <c r="L60" i="4" s="1"/>
  <c r="D57" i="4" a="1"/>
  <c r="D57" i="4" s="1"/>
  <c r="C55" i="4" a="1"/>
  <c r="C55" i="4" s="1"/>
  <c r="J49" i="4" a="1"/>
  <c r="J49" i="4" s="1"/>
  <c r="B44" i="4" a="1"/>
  <c r="B44" i="4" s="1"/>
  <c r="I33" i="4" a="1"/>
  <c r="I33" i="4" s="1"/>
  <c r="F16" i="4" a="1"/>
  <c r="F16" i="4" s="1"/>
  <c r="L52" i="4" a="1"/>
  <c r="L52" i="4" s="1"/>
  <c r="H51" i="4" a="1"/>
  <c r="H51" i="4" s="1"/>
  <c r="B50" i="4" a="1"/>
  <c r="B50" i="4" s="1"/>
  <c r="I48" i="4" a="1"/>
  <c r="I48" i="4" s="1"/>
  <c r="E47" i="4" a="1"/>
  <c r="E47" i="4" s="1"/>
  <c r="K45" i="4" a="1"/>
  <c r="K45" i="4" s="1"/>
  <c r="E44" i="4" a="1"/>
  <c r="E44" i="4" s="1"/>
  <c r="I41" i="4" a="1"/>
  <c r="I41" i="4" s="1"/>
  <c r="F39" i="4" a="1"/>
  <c r="F39" i="4" s="1"/>
  <c r="G36" i="4" a="1"/>
  <c r="G36" i="4" s="1"/>
  <c r="H33" i="4" a="1"/>
  <c r="H33" i="4" s="1"/>
  <c r="F31" i="4" a="1"/>
  <c r="F31" i="4" s="1"/>
  <c r="B22" i="4" a="1"/>
  <c r="B22" i="4" s="1"/>
  <c r="H17" i="4" a="1"/>
  <c r="H17" i="4" s="1"/>
  <c r="J11" i="4" a="1"/>
  <c r="J11" i="4" s="1"/>
  <c r="I75" i="4" a="1"/>
  <c r="I75" i="4" s="1"/>
  <c r="D74" i="4" a="1"/>
  <c r="D74" i="4" s="1"/>
  <c r="G72" i="4" a="1"/>
  <c r="G72" i="4" s="1"/>
  <c r="B71" i="4" a="1"/>
  <c r="B71" i="4" s="1"/>
  <c r="H69" i="4" a="1"/>
  <c r="H69" i="4" s="1"/>
  <c r="C68" i="4" a="1"/>
  <c r="C68" i="4" s="1"/>
  <c r="I66" i="4" a="1"/>
  <c r="I66" i="4" s="1"/>
  <c r="D65" i="4" a="1"/>
  <c r="D65" i="4" s="1"/>
  <c r="J63" i="4" a="1"/>
  <c r="J63" i="4" s="1"/>
  <c r="E62" i="4" a="1"/>
  <c r="E62" i="4" s="1"/>
  <c r="B61" i="4" a="1"/>
  <c r="B61" i="4" s="1"/>
  <c r="G59" i="4" a="1"/>
  <c r="G59" i="4" s="1"/>
  <c r="C51" i="7" s="1"/>
  <c r="C52" i="7" s="1"/>
  <c r="E30" i="9" s="1"/>
  <c r="C58" i="4" a="1"/>
  <c r="C58" i="4" s="1"/>
  <c r="H56" i="4" a="1"/>
  <c r="H56" i="4" s="1"/>
  <c r="D55" i="4" a="1"/>
  <c r="D55" i="4" s="1"/>
  <c r="I53" i="4" a="1"/>
  <c r="I53" i="4" s="1"/>
  <c r="E52" i="4" a="1"/>
  <c r="E52" i="4" s="1"/>
  <c r="J50" i="4" a="1"/>
  <c r="J50" i="4" s="1"/>
  <c r="F49" i="4" a="1"/>
  <c r="F49" i="4" s="1"/>
  <c r="K47" i="4" a="1"/>
  <c r="K47" i="4" s="1"/>
  <c r="F46" i="4" a="1"/>
  <c r="F46" i="4" s="1"/>
  <c r="L44" i="4" a="1"/>
  <c r="L44" i="4" s="1"/>
  <c r="I42" i="4" a="1"/>
  <c r="I42" i="4" s="1"/>
  <c r="L40" i="4" a="1"/>
  <c r="L40" i="4" s="1"/>
  <c r="B38" i="4" a="1"/>
  <c r="B38" i="4" s="1"/>
  <c r="C35" i="4" a="1"/>
  <c r="C35" i="4" s="1"/>
  <c r="D32" i="4" a="1"/>
  <c r="D32" i="4" s="1"/>
  <c r="C30" i="4" a="1"/>
  <c r="C30" i="4" s="1"/>
  <c r="L26" i="4" a="1"/>
  <c r="L26" i="4" s="1"/>
  <c r="B17" i="4" a="1"/>
  <c r="B17" i="4" s="1"/>
  <c r="C74" i="4" a="1"/>
  <c r="C74" i="4" s="1"/>
  <c r="E71" i="4" a="1"/>
  <c r="E71" i="4" s="1"/>
  <c r="F68" i="4" a="1"/>
  <c r="F68" i="4" s="1"/>
  <c r="G65" i="4" a="1"/>
  <c r="G65" i="4" s="1"/>
  <c r="H62" i="4" a="1"/>
  <c r="H62" i="4" s="1"/>
  <c r="F59" i="4" a="1"/>
  <c r="F59" i="4" s="1"/>
  <c r="F55" i="4" a="1"/>
  <c r="F55" i="4" s="1"/>
  <c r="F70" i="4" a="1"/>
  <c r="F70" i="4" s="1"/>
  <c r="K82" i="4" a="1"/>
  <c r="K82" i="4" s="1"/>
  <c r="C79" i="4" a="1"/>
  <c r="C79" i="4" s="1"/>
  <c r="J66" i="4" a="1"/>
  <c r="J66" i="4" s="1"/>
  <c r="B6" i="4" a="1"/>
  <c r="B6" i="4" s="1"/>
  <c r="G7" i="4" a="1"/>
  <c r="G7" i="4" s="1"/>
  <c r="L8" i="4" a="1"/>
  <c r="L8" i="4" s="1"/>
  <c r="F10" i="4" a="1"/>
  <c r="F10" i="4" s="1"/>
  <c r="K11" i="4" a="1"/>
  <c r="K11" i="4" s="1"/>
  <c r="E13" i="4" a="1"/>
  <c r="E13" i="4" s="1"/>
  <c r="J14" i="4" a="1"/>
  <c r="J14" i="4" s="1"/>
  <c r="D16" i="4" a="1"/>
  <c r="D16" i="4" s="1"/>
  <c r="I17" i="4" a="1"/>
  <c r="I17" i="4" s="1"/>
  <c r="C19" i="4" a="1"/>
  <c r="C19" i="4" s="1"/>
  <c r="H20" i="4" a="1"/>
  <c r="H20" i="4" s="1"/>
  <c r="L21" i="4" a="1"/>
  <c r="L21" i="4" s="1"/>
  <c r="G23" i="4" a="1"/>
  <c r="G23" i="4" s="1"/>
  <c r="K24" i="4" a="1"/>
  <c r="K24" i="4" s="1"/>
  <c r="D26" i="4" a="1"/>
  <c r="D26" i="4" s="1"/>
  <c r="F27" i="4" a="1"/>
  <c r="F27" i="4" s="1"/>
  <c r="L28" i="4" a="1"/>
  <c r="L28" i="4" s="1"/>
  <c r="C6" i="4" a="1"/>
  <c r="C6" i="4" s="1"/>
  <c r="H7" i="4" a="1"/>
  <c r="H7" i="4" s="1"/>
  <c r="B9" i="4" a="1"/>
  <c r="B9" i="4" s="1"/>
  <c r="G10" i="4" a="1"/>
  <c r="G10" i="4" s="1"/>
  <c r="L11" i="4" a="1"/>
  <c r="L11" i="4" s="1"/>
  <c r="F13" i="4" a="1"/>
  <c r="F13" i="4" s="1"/>
  <c r="K14" i="4" a="1"/>
  <c r="K14" i="4" s="1"/>
  <c r="E16" i="4" a="1"/>
  <c r="E16" i="4" s="1"/>
  <c r="J17" i="4" a="1"/>
  <c r="J17" i="4" s="1"/>
  <c r="D19" i="4" a="1"/>
  <c r="D19" i="4" s="1"/>
  <c r="I20" i="4" a="1"/>
  <c r="I20" i="4" s="1"/>
  <c r="E22" i="4" a="1"/>
  <c r="E22" i="4" s="1"/>
  <c r="K23" i="4" a="1"/>
  <c r="K23" i="4" s="1"/>
  <c r="D25" i="4" a="1"/>
  <c r="D25" i="4" s="1"/>
  <c r="H26" i="4" a="1"/>
  <c r="H26" i="4" s="1"/>
  <c r="L27" i="4" a="1"/>
  <c r="L27" i="4" s="1"/>
  <c r="G8" i="4" a="1"/>
  <c r="G8" i="4" s="1"/>
  <c r="F11" i="4" a="1"/>
  <c r="F11" i="4" s="1"/>
  <c r="E14" i="4" a="1"/>
  <c r="E14" i="4" s="1"/>
  <c r="D17" i="4" a="1"/>
  <c r="D17" i="4" s="1"/>
  <c r="C20" i="4" a="1"/>
  <c r="C20" i="4" s="1"/>
  <c r="L23" i="4" a="1"/>
  <c r="L23" i="4" s="1"/>
  <c r="C26" i="4" a="1"/>
  <c r="C26" i="4" s="1"/>
  <c r="D28" i="4" a="1"/>
  <c r="D28" i="4" s="1"/>
  <c r="B31" i="4" a="1"/>
  <c r="B31" i="4" s="1"/>
  <c r="I32" i="4" a="1"/>
  <c r="I32" i="4" s="1"/>
  <c r="H34" i="4" a="1"/>
  <c r="H34" i="4" s="1"/>
  <c r="B36" i="4" a="1"/>
  <c r="B36" i="4" s="1"/>
  <c r="G37" i="4" a="1"/>
  <c r="G37" i="4" s="1"/>
  <c r="L38" i="4" a="1"/>
  <c r="L38" i="4" s="1"/>
  <c r="F40" i="4" a="1"/>
  <c r="F40" i="4" s="1"/>
  <c r="K41" i="4" a="1"/>
  <c r="K41" i="4" s="1"/>
  <c r="E43" i="4" a="1"/>
  <c r="E43" i="4" s="1"/>
  <c r="D6" i="4" a="1"/>
  <c r="D6" i="4" s="1"/>
  <c r="C9" i="4" a="1"/>
  <c r="C9" i="4" s="1"/>
  <c r="B12" i="4" a="1"/>
  <c r="B12" i="4" s="1"/>
  <c r="L14" i="4" a="1"/>
  <c r="L14" i="4" s="1"/>
  <c r="K17" i="4" a="1"/>
  <c r="K17" i="4" s="1"/>
  <c r="J20" i="4" a="1"/>
  <c r="J20" i="4" s="1"/>
  <c r="L22" i="4" a="1"/>
  <c r="L22" i="4" s="1"/>
  <c r="E28" i="4" a="1"/>
  <c r="E28" i="4" s="1"/>
  <c r="I29" i="4" a="1"/>
  <c r="I29" i="4" s="1"/>
  <c r="H31" i="4" a="1"/>
  <c r="H31" i="4" s="1"/>
  <c r="L32" i="4" a="1"/>
  <c r="L32" i="4" s="1"/>
  <c r="F34" i="4" a="1"/>
  <c r="F34" i="4" s="1"/>
  <c r="K35" i="4" a="1"/>
  <c r="K35" i="4" s="1"/>
  <c r="E37" i="4" a="1"/>
  <c r="E37" i="4" s="1"/>
  <c r="J38" i="4" a="1"/>
  <c r="J38" i="4" s="1"/>
  <c r="D40" i="4" a="1"/>
  <c r="D40" i="4" s="1"/>
  <c r="G6" i="4" a="1"/>
  <c r="G6" i="4" s="1"/>
  <c r="E12" i="4" a="1"/>
  <c r="E12" i="4" s="1"/>
  <c r="C18" i="4" a="1"/>
  <c r="C18" i="4" s="1"/>
  <c r="I23" i="4" a="1"/>
  <c r="I23" i="4" s="1"/>
  <c r="F29" i="4" a="1"/>
  <c r="F29" i="4" s="1"/>
  <c r="I31" i="4" a="1"/>
  <c r="I31" i="4" s="1"/>
  <c r="B35" i="4" a="1"/>
  <c r="B35" i="4" s="1"/>
  <c r="L37" i="4" a="1"/>
  <c r="L37" i="4" s="1"/>
  <c r="K40" i="4" a="1"/>
  <c r="K40" i="4" s="1"/>
  <c r="H42" i="4" a="1"/>
  <c r="H42" i="4" s="1"/>
  <c r="C44" i="4" a="1"/>
  <c r="C44" i="4" s="1"/>
  <c r="F45" i="4" a="1"/>
  <c r="F45" i="4" s="1"/>
  <c r="K46" i="4" a="1"/>
  <c r="K46" i="4" s="1"/>
  <c r="H48" i="4" a="1"/>
  <c r="H48" i="4" s="1"/>
  <c r="C50" i="4" a="1"/>
  <c r="C50" i="4" s="1"/>
  <c r="G51" i="4" a="1"/>
  <c r="G51" i="4" s="1"/>
  <c r="B53" i="4" a="1"/>
  <c r="B53" i="4" s="1"/>
  <c r="F54" i="4" a="1"/>
  <c r="F54" i="4" s="1"/>
  <c r="L55" i="4" a="1"/>
  <c r="L55" i="4" s="1"/>
  <c r="E57" i="4" a="1"/>
  <c r="E57" i="4" s="1"/>
  <c r="K58" i="4" a="1"/>
  <c r="K58" i="4" s="1"/>
  <c r="D60" i="4" a="1"/>
  <c r="D60" i="4" s="1"/>
  <c r="L61" i="4" a="1"/>
  <c r="L61" i="4" s="1"/>
  <c r="E63" i="4" a="1"/>
  <c r="E63" i="4" s="1"/>
  <c r="J64" i="4" a="1"/>
  <c r="J64" i="4" s="1"/>
  <c r="D66" i="4" a="1"/>
  <c r="D66" i="4" s="1"/>
  <c r="I67" i="4" a="1"/>
  <c r="I67" i="4" s="1"/>
  <c r="C69" i="4" a="1"/>
  <c r="C69" i="4" s="1"/>
  <c r="H70" i="4" a="1"/>
  <c r="H70" i="4" s="1"/>
  <c r="B72" i="4" a="1"/>
  <c r="B72" i="4" s="1"/>
  <c r="G73" i="4" a="1"/>
  <c r="G73" i="4" s="1"/>
  <c r="I7" i="4" a="1"/>
  <c r="I7" i="4" s="1"/>
  <c r="G13" i="4" a="1"/>
  <c r="G13" i="4" s="1"/>
  <c r="E19" i="4" a="1"/>
  <c r="E19" i="4" s="1"/>
  <c r="L25" i="4" a="1"/>
  <c r="L25" i="4" s="1"/>
  <c r="E6" i="4" a="1"/>
  <c r="E6" i="4" s="1"/>
  <c r="J7" i="4" a="1"/>
  <c r="J7" i="4" s="1"/>
  <c r="D9" i="4" a="1"/>
  <c r="D9" i="4" s="1"/>
  <c r="I10" i="4" a="1"/>
  <c r="I10" i="4" s="1"/>
  <c r="C12" i="4" a="1"/>
  <c r="C12" i="4" s="1"/>
  <c r="H13" i="4" a="1"/>
  <c r="H13" i="4" s="1"/>
  <c r="B15" i="4" a="1"/>
  <c r="B15" i="4" s="1"/>
  <c r="G16" i="4" a="1"/>
  <c r="G16" i="4" s="1"/>
  <c r="L17" i="4" a="1"/>
  <c r="L17" i="4" s="1"/>
  <c r="F19" i="4" a="1"/>
  <c r="F19" i="4" s="1"/>
  <c r="K20" i="4" a="1"/>
  <c r="K20" i="4" s="1"/>
  <c r="D22" i="4" a="1"/>
  <c r="D22" i="4" s="1"/>
  <c r="B24" i="4" a="1"/>
  <c r="B24" i="4" s="1"/>
  <c r="C25" i="4" a="1"/>
  <c r="C25" i="4" s="1"/>
  <c r="G26" i="4" a="1"/>
  <c r="G26" i="4" s="1"/>
  <c r="K27" i="4" a="1"/>
  <c r="K27" i="4" s="1"/>
  <c r="D29" i="4" a="1"/>
  <c r="D29" i="4" s="1"/>
  <c r="F6" i="4" a="1"/>
  <c r="F6" i="4" s="1"/>
  <c r="K7" i="4" a="1"/>
  <c r="K7" i="4" s="1"/>
  <c r="E9" i="4" a="1"/>
  <c r="E9" i="4" s="1"/>
  <c r="J10" i="4" a="1"/>
  <c r="J10" i="4" s="1"/>
  <c r="D12" i="4" a="1"/>
  <c r="D12" i="4" s="1"/>
  <c r="I13" i="4" a="1"/>
  <c r="I13" i="4" s="1"/>
  <c r="C15" i="4" a="1"/>
  <c r="C15" i="4" s="1"/>
  <c r="H16" i="4" a="1"/>
  <c r="H16" i="4" s="1"/>
  <c r="B18" i="4" a="1"/>
  <c r="B18" i="4" s="1"/>
  <c r="G19" i="4" a="1"/>
  <c r="G19" i="4" s="1"/>
  <c r="L20" i="4" a="1"/>
  <c r="L20" i="4" s="1"/>
  <c r="J22" i="4" a="1"/>
  <c r="J22" i="4" s="1"/>
  <c r="C24" i="4" a="1"/>
  <c r="C24" i="4" s="1"/>
  <c r="J25" i="4" a="1"/>
  <c r="J25" i="4" s="1"/>
  <c r="K26" i="4" a="1"/>
  <c r="K26" i="4" s="1"/>
  <c r="J6" i="4" a="1"/>
  <c r="J6" i="4" s="1"/>
  <c r="I9" i="4" a="1"/>
  <c r="I9" i="4" s="1"/>
  <c r="H12" i="4" a="1"/>
  <c r="H12" i="4" s="1"/>
  <c r="G15" i="4" a="1"/>
  <c r="G15" i="4" s="1"/>
  <c r="F18" i="4" a="1"/>
  <c r="F18" i="4" s="1"/>
  <c r="E21" i="4" a="1"/>
  <c r="E21" i="4" s="1"/>
  <c r="G24" i="4" a="1"/>
  <c r="G24" i="4" s="1"/>
  <c r="I26" i="4" a="1"/>
  <c r="I26" i="4" s="1"/>
  <c r="L29" i="4" a="1"/>
  <c r="L29" i="4" s="1"/>
  <c r="G31" i="4" a="1"/>
  <c r="G31" i="4" s="1"/>
  <c r="F33" i="4" a="1"/>
  <c r="F33" i="4" s="1"/>
  <c r="K34" i="4" a="1"/>
  <c r="K34" i="4" s="1"/>
  <c r="E36" i="4" a="1"/>
  <c r="E36" i="4" s="1"/>
  <c r="J37" i="4" a="1"/>
  <c r="J37" i="4" s="1"/>
  <c r="D39" i="4" a="1"/>
  <c r="D39" i="4" s="1"/>
  <c r="I40" i="4" a="1"/>
  <c r="I40" i="4" s="1"/>
  <c r="C42" i="4" a="1"/>
  <c r="C42" i="4" s="1"/>
  <c r="H43" i="4" a="1"/>
  <c r="H43" i="4" s="1"/>
  <c r="K6" i="4" a="1"/>
  <c r="K6" i="4" s="1"/>
  <c r="J9" i="4" a="1"/>
  <c r="J9" i="4" s="1"/>
  <c r="I12" i="4" a="1"/>
  <c r="I12" i="4" s="1"/>
  <c r="H15" i="4" a="1"/>
  <c r="H15" i="4" s="1"/>
  <c r="G18" i="4" a="1"/>
  <c r="G18" i="4" s="1"/>
  <c r="F21" i="4" a="1"/>
  <c r="F21" i="4" s="1"/>
  <c r="B25" i="4" a="1"/>
  <c r="B25" i="4" s="1"/>
  <c r="H28" i="4" a="1"/>
  <c r="H28" i="4" s="1"/>
  <c r="E30" i="4" a="1"/>
  <c r="E30" i="4" s="1"/>
  <c r="K31" i="4" a="1"/>
  <c r="K31" i="4" s="1"/>
  <c r="D33" i="4" a="1"/>
  <c r="D33" i="4" s="1"/>
  <c r="I34" i="4" a="1"/>
  <c r="I34" i="4" s="1"/>
  <c r="C36" i="4" a="1"/>
  <c r="C36" i="4" s="1"/>
  <c r="H37" i="4" a="1"/>
  <c r="H37" i="4" s="1"/>
  <c r="B39" i="4" a="1"/>
  <c r="B39" i="4" s="1"/>
  <c r="G40" i="4" a="1"/>
  <c r="G40" i="4" s="1"/>
  <c r="K8" i="4" a="1"/>
  <c r="K8" i="4" s="1"/>
  <c r="I14" i="4" a="1"/>
  <c r="I14" i="4" s="1"/>
  <c r="G20" i="4" a="1"/>
  <c r="G20" i="4" s="1"/>
  <c r="K25" i="4" a="1"/>
  <c r="K25" i="4" s="1"/>
  <c r="B30" i="4" a="1"/>
  <c r="B30" i="4" s="1"/>
  <c r="J32" i="4" a="1"/>
  <c r="J32" i="4" s="1"/>
  <c r="H35" i="4" a="1"/>
  <c r="H35" i="4" s="1"/>
  <c r="G38" i="4" a="1"/>
  <c r="G38" i="4" s="1"/>
  <c r="F41" i="4" a="1"/>
  <c r="F41" i="4" s="1"/>
  <c r="L42" i="4" a="1"/>
  <c r="L42" i="4" s="1"/>
  <c r="H44" i="4" a="1"/>
  <c r="H44" i="4" s="1"/>
  <c r="B46" i="4" a="1"/>
  <c r="B46" i="4" s="1"/>
  <c r="G47" i="4" a="1"/>
  <c r="G47" i="4" s="1"/>
  <c r="B49" i="4" a="1"/>
  <c r="B49" i="4" s="1"/>
  <c r="F50" i="4" a="1"/>
  <c r="F50" i="4" s="1"/>
  <c r="L51" i="4" a="1"/>
  <c r="L51" i="4" s="1"/>
  <c r="E53" i="4" a="1"/>
  <c r="E53" i="4" s="1"/>
  <c r="K54" i="4" a="1"/>
  <c r="K54" i="4" s="1"/>
  <c r="D56" i="4" a="1"/>
  <c r="D56" i="4" s="1"/>
  <c r="J57" i="4" a="1"/>
  <c r="J57" i="4" s="1"/>
  <c r="C59" i="4" a="1"/>
  <c r="C59" i="4" s="1"/>
  <c r="I60" i="4" a="1"/>
  <c r="I60" i="4" s="1"/>
  <c r="D62" i="4" a="1"/>
  <c r="D62" i="4" s="1"/>
  <c r="I63" i="4" a="1"/>
  <c r="I63" i="4" s="1"/>
  <c r="C65" i="4" a="1"/>
  <c r="C65" i="4" s="1"/>
  <c r="H66" i="4" a="1"/>
  <c r="H66" i="4" s="1"/>
  <c r="B68" i="4" a="1"/>
  <c r="B68" i="4" s="1"/>
  <c r="G69" i="4" a="1"/>
  <c r="G69" i="4" s="1"/>
  <c r="L70" i="4" a="1"/>
  <c r="L70" i="4" s="1"/>
  <c r="F72" i="4" a="1"/>
  <c r="F72" i="4" s="1"/>
  <c r="K73" i="4" a="1"/>
  <c r="K73" i="4" s="1"/>
  <c r="B10" i="4" a="1"/>
  <c r="B10" i="4" s="1"/>
  <c r="K15" i="4" a="1"/>
  <c r="K15" i="4" s="1"/>
  <c r="I22" i="4" a="1"/>
  <c r="I22" i="4" s="1"/>
  <c r="I6" i="4" a="1"/>
  <c r="I6" i="4" s="1"/>
  <c r="C8" i="4" a="1"/>
  <c r="C8" i="4" s="1"/>
  <c r="H9" i="4" a="1"/>
  <c r="H9" i="4" s="1"/>
  <c r="B11" i="4" a="1"/>
  <c r="B11" i="4" s="1"/>
  <c r="G12" i="4" a="1"/>
  <c r="G12" i="4" s="1"/>
  <c r="L13" i="4" a="1"/>
  <c r="L13" i="4" s="1"/>
  <c r="F15" i="4" a="1"/>
  <c r="F15" i="4" s="1"/>
  <c r="K16" i="4" a="1"/>
  <c r="K16" i="4" s="1"/>
  <c r="E18" i="4" a="1"/>
  <c r="E18" i="4" s="1"/>
  <c r="J19" i="4" a="1"/>
  <c r="J19" i="4" s="1"/>
  <c r="D21" i="4" a="1"/>
  <c r="D21" i="4" s="1"/>
  <c r="G22" i="4" a="1"/>
  <c r="G22" i="4" s="1"/>
  <c r="E24" i="4" a="1"/>
  <c r="E24" i="4" s="1"/>
  <c r="F25" i="4" a="1"/>
  <c r="F25" i="4" s="1"/>
  <c r="J26" i="4" a="1"/>
  <c r="J26" i="4" s="1"/>
  <c r="F28" i="4" a="1"/>
  <c r="F28" i="4" s="1"/>
  <c r="G29" i="4" a="1"/>
  <c r="G29" i="4" s="1"/>
  <c r="L6" i="4" a="1"/>
  <c r="L6" i="4" s="1"/>
  <c r="F8" i="4" a="1"/>
  <c r="F8" i="4" s="1"/>
  <c r="K9" i="4" a="1"/>
  <c r="K9" i="4" s="1"/>
  <c r="E11" i="4" a="1"/>
  <c r="E11" i="4" s="1"/>
  <c r="J12" i="4" a="1"/>
  <c r="J12" i="4" s="1"/>
  <c r="D14" i="4" a="1"/>
  <c r="D14" i="4" s="1"/>
  <c r="I15" i="4" a="1"/>
  <c r="I15" i="4" s="1"/>
  <c r="C17" i="4" a="1"/>
  <c r="C17" i="4" s="1"/>
  <c r="H18" i="4" a="1"/>
  <c r="H18" i="4" s="1"/>
  <c r="B20" i="4" a="1"/>
  <c r="B20" i="4" s="1"/>
  <c r="G21" i="4" a="1"/>
  <c r="G21" i="4" s="1"/>
  <c r="E23" i="4" a="1"/>
  <c r="E23" i="4" s="1"/>
  <c r="F24" i="4" a="1"/>
  <c r="F24" i="4" s="1"/>
  <c r="B26" i="4" a="1"/>
  <c r="B26" i="4" s="1"/>
  <c r="C27" i="4" a="1"/>
  <c r="C27" i="4" s="1"/>
  <c r="F7" i="4" a="1"/>
  <c r="F7" i="4" s="1"/>
  <c r="E10" i="4" a="1"/>
  <c r="E10" i="4" s="1"/>
  <c r="D13" i="4" a="1"/>
  <c r="D13" i="4" s="1"/>
  <c r="C16" i="4" a="1"/>
  <c r="C16" i="4" s="1"/>
  <c r="B19" i="4" a="1"/>
  <c r="B19" i="4" s="1"/>
  <c r="K22" i="4" a="1"/>
  <c r="K22" i="4" s="1"/>
  <c r="L24" i="4" a="1"/>
  <c r="L24" i="4" s="1"/>
  <c r="D27" i="4" a="1"/>
  <c r="D27" i="4" s="1"/>
  <c r="D30" i="4" a="1"/>
  <c r="D30" i="4" s="1"/>
  <c r="B32" i="4" a="1"/>
  <c r="B32" i="4" s="1"/>
  <c r="B34" i="4" a="1"/>
  <c r="B34" i="4" s="1"/>
  <c r="G35" i="4" a="1"/>
  <c r="G35" i="4" s="1"/>
  <c r="L36" i="4" a="1"/>
  <c r="L36" i="4" s="1"/>
  <c r="F38" i="4" a="1"/>
  <c r="F38" i="4" s="1"/>
  <c r="K39" i="4" a="1"/>
  <c r="K39" i="4" s="1"/>
  <c r="E41" i="4" a="1"/>
  <c r="E41" i="4" s="1"/>
  <c r="J42" i="4" a="1"/>
  <c r="J42" i="4" s="1"/>
  <c r="D44" i="4" a="1"/>
  <c r="D44" i="4" s="1"/>
  <c r="B8" i="4" a="1"/>
  <c r="B8" i="4" s="1"/>
  <c r="L10" i="4" a="1"/>
  <c r="L10" i="4" s="1"/>
  <c r="K13" i="4" a="1"/>
  <c r="K13" i="4" s="1"/>
  <c r="J16" i="4" a="1"/>
  <c r="J16" i="4" s="1"/>
  <c r="I19" i="4" a="1"/>
  <c r="I19" i="4" s="1"/>
  <c r="K21" i="4" a="1"/>
  <c r="K21" i="4" s="1"/>
  <c r="H25" i="4" a="1"/>
  <c r="H25" i="4" s="1"/>
  <c r="B29" i="4" a="1"/>
  <c r="B29" i="4" s="1"/>
  <c r="J30" i="4" a="1"/>
  <c r="J30" i="4" s="1"/>
  <c r="C32" i="4" a="1"/>
  <c r="C32" i="4" s="1"/>
  <c r="G33" i="4" a="1"/>
  <c r="G33" i="4" s="1"/>
  <c r="L34" i="4" a="1"/>
  <c r="L34" i="4" s="1"/>
  <c r="F36" i="4" a="1"/>
  <c r="F36" i="4" s="1"/>
  <c r="K37" i="4" a="1"/>
  <c r="K37" i="4" s="1"/>
  <c r="E39" i="4" a="1"/>
  <c r="E39" i="4" s="1"/>
  <c r="J40" i="4" a="1"/>
  <c r="J40" i="4" s="1"/>
  <c r="L9" i="4" a="1"/>
  <c r="L9" i="4" s="1"/>
  <c r="J15" i="4" a="1"/>
  <c r="J15" i="4" s="1"/>
  <c r="H21" i="4" a="1"/>
  <c r="H21" i="4" s="1"/>
  <c r="B28" i="4" a="1"/>
  <c r="B28" i="4" s="1"/>
  <c r="H30" i="4" a="1"/>
  <c r="H30" i="4" s="1"/>
  <c r="E33" i="4" a="1"/>
  <c r="E33" i="4" s="1"/>
  <c r="D36" i="4" a="1"/>
  <c r="D36" i="4" s="1"/>
  <c r="C39" i="4" a="1"/>
  <c r="C39" i="4" s="1"/>
  <c r="J41" i="4" a="1"/>
  <c r="J41" i="4" s="1"/>
  <c r="F43" i="4" a="1"/>
  <c r="F43" i="4" s="1"/>
  <c r="K44" i="4" a="1"/>
  <c r="K44" i="4" s="1"/>
  <c r="E46" i="4" a="1"/>
  <c r="E46" i="4" s="1"/>
  <c r="D7" i="4" a="1"/>
  <c r="D7" i="4" s="1"/>
  <c r="I8" i="4" a="1"/>
  <c r="I8" i="4" s="1"/>
  <c r="C10" i="4" a="1"/>
  <c r="C10" i="4" s="1"/>
  <c r="H11" i="4" a="1"/>
  <c r="H11" i="4" s="1"/>
  <c r="B13" i="4" a="1"/>
  <c r="B13" i="4" s="1"/>
  <c r="G14" i="4" a="1"/>
  <c r="G14" i="4" s="1"/>
  <c r="L15" i="4" a="1"/>
  <c r="L15" i="4" s="1"/>
  <c r="F17" i="4" a="1"/>
  <c r="F17" i="4" s="1"/>
  <c r="K18" i="4" a="1"/>
  <c r="K18" i="4" s="1"/>
  <c r="E20" i="4" a="1"/>
  <c r="E20" i="4" s="1"/>
  <c r="I21" i="4" a="1"/>
  <c r="I21" i="4" s="1"/>
  <c r="B23" i="4" a="1"/>
  <c r="B23" i="4" s="1"/>
  <c r="H24" i="4" a="1"/>
  <c r="H24" i="4" s="1"/>
  <c r="I25" i="4" a="1"/>
  <c r="I25" i="4" s="1"/>
  <c r="B27" i="4" a="1"/>
  <c r="B27" i="4" s="1"/>
  <c r="I28" i="4" a="1"/>
  <c r="I28" i="4" s="1"/>
  <c r="J29" i="4" a="1"/>
  <c r="J29" i="4" s="1"/>
  <c r="E7" i="4" a="1"/>
  <c r="E7" i="4" s="1"/>
  <c r="J8" i="4" a="1"/>
  <c r="J8" i="4" s="1"/>
  <c r="D10" i="4" a="1"/>
  <c r="D10" i="4" s="1"/>
  <c r="I11" i="4" a="1"/>
  <c r="I11" i="4" s="1"/>
  <c r="C13" i="4" a="1"/>
  <c r="C13" i="4" s="1"/>
  <c r="H14" i="4" a="1"/>
  <c r="H14" i="4" s="1"/>
  <c r="B16" i="4" a="1"/>
  <c r="B16" i="4" s="1"/>
  <c r="G17" i="4" a="1"/>
  <c r="G17" i="4" s="1"/>
  <c r="L18" i="4" a="1"/>
  <c r="L18" i="4" s="1"/>
  <c r="F20" i="4" a="1"/>
  <c r="F20" i="4" s="1"/>
  <c r="J21" i="4" a="1"/>
  <c r="J21" i="4" s="1"/>
  <c r="H23" i="4" a="1"/>
  <c r="H23" i="4" s="1"/>
  <c r="I24" i="4" a="1"/>
  <c r="I24" i="4" s="1"/>
  <c r="E26" i="4" a="1"/>
  <c r="E26" i="4" s="1"/>
  <c r="I27" i="4" a="1"/>
  <c r="I27" i="4" s="1"/>
  <c r="L7" i="4" a="1"/>
  <c r="L7" i="4" s="1"/>
  <c r="K10" i="4" a="1"/>
  <c r="K10" i="4" s="1"/>
  <c r="J13" i="4" a="1"/>
  <c r="J13" i="4" s="1"/>
  <c r="I16" i="4" a="1"/>
  <c r="I16" i="4" s="1"/>
  <c r="H19" i="4" a="1"/>
  <c r="H19" i="4" s="1"/>
  <c r="F23" i="4" a="1"/>
  <c r="F23" i="4" s="1"/>
  <c r="G25" i="4" a="1"/>
  <c r="G25" i="4" s="1"/>
  <c r="J27" i="4" a="1"/>
  <c r="J27" i="4" s="1"/>
  <c r="G30" i="4" a="1"/>
  <c r="G30" i="4" s="1"/>
  <c r="E32" i="4" a="1"/>
  <c r="E32" i="4" s="1"/>
  <c r="E34" i="4" a="1"/>
  <c r="E34" i="4" s="1"/>
  <c r="J35" i="4" a="1"/>
  <c r="J35" i="4" s="1"/>
  <c r="D37" i="4" a="1"/>
  <c r="D37" i="4" s="1"/>
  <c r="I38" i="4" a="1"/>
  <c r="I38" i="4" s="1"/>
  <c r="C40" i="4" a="1"/>
  <c r="C40" i="4" s="1"/>
  <c r="H41" i="4" a="1"/>
  <c r="H41" i="4" s="1"/>
  <c r="B43" i="4" a="1"/>
  <c r="B43" i="4" s="1"/>
  <c r="G44" i="4" a="1"/>
  <c r="G44" i="4" s="1"/>
  <c r="H8" i="4" a="1"/>
  <c r="H8" i="4" s="1"/>
  <c r="G11" i="4" a="1"/>
  <c r="G11" i="4" s="1"/>
  <c r="F14" i="4" a="1"/>
  <c r="F14" i="4" s="1"/>
  <c r="E17" i="4" a="1"/>
  <c r="E17" i="4" s="1"/>
  <c r="D20" i="4" a="1"/>
  <c r="D20" i="4" s="1"/>
  <c r="F22" i="4" a="1"/>
  <c r="F22" i="4" s="1"/>
  <c r="E27" i="4" a="1"/>
  <c r="E27" i="4" s="1"/>
  <c r="E29" i="4" a="1"/>
  <c r="E29" i="4" s="1"/>
  <c r="E31" i="4" a="1"/>
  <c r="E31" i="4" s="1"/>
  <c r="F32" i="4" a="1"/>
  <c r="F32" i="4" s="1"/>
  <c r="J33" i="4" a="1"/>
  <c r="J33" i="4" s="1"/>
  <c r="D35" i="4" a="1"/>
  <c r="D35" i="4" s="1"/>
  <c r="I36" i="4" a="1"/>
  <c r="I36" i="4" s="1"/>
  <c r="C38" i="4" a="1"/>
  <c r="C38" i="4" s="1"/>
  <c r="H39" i="4" a="1"/>
  <c r="H39" i="4" s="1"/>
  <c r="B41" i="4" a="1"/>
  <c r="B41" i="4" s="1"/>
  <c r="C11" i="4" a="1"/>
  <c r="C11" i="4" s="1"/>
  <c r="L16" i="4" a="1"/>
  <c r="L16" i="4" s="1"/>
  <c r="H22" i="4" a="1"/>
  <c r="H22" i="4" s="1"/>
  <c r="J28" i="4" a="1"/>
  <c r="J28" i="4" s="1"/>
  <c r="C31" i="4" a="1"/>
  <c r="C31" i="4" s="1"/>
  <c r="K33" i="4" a="1"/>
  <c r="K33" i="4" s="1"/>
  <c r="J36" i="4" a="1"/>
  <c r="J36" i="4" s="1"/>
  <c r="I39" i="4" a="1"/>
  <c r="I39" i="4" s="1"/>
  <c r="D42" i="4" a="1"/>
  <c r="D42" i="4" s="1"/>
  <c r="J43" i="4" a="1"/>
  <c r="J43" i="4" s="1"/>
  <c r="C45" i="4" a="1"/>
  <c r="C45" i="4" s="1"/>
  <c r="H46" i="4" a="1"/>
  <c r="H46" i="4" s="1"/>
  <c r="B48" i="4" a="1"/>
  <c r="B48" i="4" s="1"/>
  <c r="K49" i="4" a="1"/>
  <c r="K49" i="4" s="1"/>
  <c r="L50" i="4" a="1"/>
  <c r="L50" i="4" s="1"/>
  <c r="J52" i="4" a="1"/>
  <c r="J52" i="4" s="1"/>
  <c r="K53" i="4" a="1"/>
  <c r="K53" i="4" s="1"/>
  <c r="I55" i="4" a="1"/>
  <c r="I55" i="4" s="1"/>
  <c r="J56" i="4" a="1"/>
  <c r="J56" i="4" s="1"/>
  <c r="B82" i="4" a="1"/>
  <c r="B82" i="4" s="1"/>
  <c r="L77" i="4" a="1"/>
  <c r="L77" i="4" s="1"/>
  <c r="H72" i="4" a="1"/>
  <c r="H72" i="4" s="1"/>
  <c r="H64" i="4" a="1"/>
  <c r="H64" i="4" s="1"/>
  <c r="B55" i="4" a="1"/>
  <c r="B55" i="4" s="1"/>
  <c r="F35" i="4" a="1"/>
  <c r="F35" i="4" s="1"/>
  <c r="D5" i="4" a="1"/>
  <c r="D5" i="4" s="1"/>
  <c r="I81" i="4" a="1"/>
  <c r="I81" i="4" s="1"/>
  <c r="D80" i="4" a="1"/>
  <c r="D80" i="4" s="1"/>
  <c r="J78" i="4" a="1"/>
  <c r="J78" i="4" s="1"/>
  <c r="E77" i="4" a="1"/>
  <c r="E77" i="4" s="1"/>
  <c r="K75" i="4" a="1"/>
  <c r="K75" i="4" s="1"/>
  <c r="E74" i="4" a="1"/>
  <c r="E74" i="4" s="1"/>
  <c r="H71" i="4" a="1"/>
  <c r="H71" i="4" s="1"/>
  <c r="I68" i="4" a="1"/>
  <c r="I68" i="4" s="1"/>
  <c r="J65" i="4" a="1"/>
  <c r="J65" i="4" s="1"/>
  <c r="K62" i="4" a="1"/>
  <c r="K62" i="4" s="1"/>
  <c r="H59" i="4" a="1"/>
  <c r="H59" i="4" s="1"/>
  <c r="G57" i="4" a="1"/>
  <c r="G57" i="4" s="1"/>
  <c r="A51" i="7" s="1"/>
  <c r="A52" i="7" s="1"/>
  <c r="C30" i="9" s="1"/>
  <c r="G53" i="4" a="1"/>
  <c r="G53" i="4" s="1"/>
  <c r="D48" i="4" a="1"/>
  <c r="D48" i="4" s="1"/>
  <c r="D43" i="4" a="1"/>
  <c r="D43" i="4" s="1"/>
  <c r="F30" i="4" a="1"/>
  <c r="F30" i="4" s="1"/>
  <c r="C14" i="4" a="1"/>
  <c r="C14" i="4" s="1"/>
  <c r="J81" i="4" a="1"/>
  <c r="J81" i="4" s="1"/>
  <c r="F77" i="4" a="1"/>
  <c r="F77" i="4" s="1"/>
  <c r="K71" i="4" a="1"/>
  <c r="K71" i="4" s="1"/>
  <c r="C63" i="4" a="1"/>
  <c r="C63" i="4" s="1"/>
  <c r="G54" i="4" a="1"/>
  <c r="G54" i="4" s="1"/>
  <c r="B40" i="4" a="1"/>
  <c r="B40" i="4" s="1"/>
  <c r="F5" i="4" a="1"/>
  <c r="F5" i="4" s="1"/>
  <c r="D82" i="4" a="1"/>
  <c r="D82" i="4" s="1"/>
  <c r="J80" i="4" a="1"/>
  <c r="J80" i="4" s="1"/>
  <c r="E79" i="4" a="1"/>
  <c r="E79" i="4" s="1"/>
  <c r="K77" i="4" a="1"/>
  <c r="K77" i="4" s="1"/>
  <c r="F76" i="4" a="1"/>
  <c r="F76" i="4" s="1"/>
  <c r="L72" i="4" a="1"/>
  <c r="L72" i="4" s="1"/>
  <c r="B70" i="4" a="1"/>
  <c r="B70" i="4" s="1"/>
  <c r="C67" i="4" a="1"/>
  <c r="C67" i="4" s="1"/>
  <c r="D64" i="4" a="1"/>
  <c r="D64" i="4" s="1"/>
  <c r="C61" i="4" a="1"/>
  <c r="C61" i="4" s="1"/>
  <c r="F57" i="4" a="1"/>
  <c r="F57" i="4" s="1"/>
  <c r="E55" i="4" a="1"/>
  <c r="E55" i="4" s="1"/>
  <c r="D52" i="4" a="1"/>
  <c r="D52" i="4" s="1"/>
  <c r="F44" i="4" a="1"/>
  <c r="F44" i="4" s="1"/>
  <c r="H36" i="4" a="1"/>
  <c r="H36" i="4" s="1"/>
  <c r="C22" i="4" a="1"/>
  <c r="C22" i="4" s="1"/>
  <c r="E82" i="4" a="1"/>
  <c r="E82" i="4" s="1"/>
  <c r="I77" i="4" a="1"/>
  <c r="I77" i="4" s="1"/>
  <c r="E73" i="4" a="1"/>
  <c r="E73" i="4" s="1"/>
  <c r="K63" i="4" a="1"/>
  <c r="K63" i="4" s="1"/>
  <c r="C57" i="4" a="1"/>
  <c r="C57" i="4" s="1"/>
  <c r="C33" i="4" a="1"/>
  <c r="C33" i="4" s="1"/>
  <c r="H5" i="4" a="1"/>
  <c r="H5" i="4" s="1"/>
  <c r="C82" i="4" a="1"/>
  <c r="C82" i="4" s="1"/>
  <c r="I80" i="4" a="1"/>
  <c r="I80" i="4" s="1"/>
  <c r="D79" i="4" a="1"/>
  <c r="D79" i="4" s="1"/>
  <c r="J77" i="4" a="1"/>
  <c r="J77" i="4" s="1"/>
  <c r="E76" i="4" a="1"/>
  <c r="E76" i="4" s="1"/>
  <c r="H74" i="4" a="1"/>
  <c r="H74" i="4" s="1"/>
  <c r="L71" i="4" a="1"/>
  <c r="L71" i="4" s="1"/>
  <c r="B69" i="4" a="1"/>
  <c r="B69" i="4" s="1"/>
  <c r="C66" i="4" a="1"/>
  <c r="C66" i="4" s="1"/>
  <c r="D63" i="4" a="1"/>
  <c r="D63" i="4" s="1"/>
  <c r="F60" i="4" a="1"/>
  <c r="F60" i="4" s="1"/>
  <c r="I56" i="4" a="1"/>
  <c r="I56" i="4" s="1"/>
  <c r="H54" i="4" a="1"/>
  <c r="H54" i="4" s="1"/>
  <c r="J48" i="4" a="1"/>
  <c r="J48" i="4" s="1"/>
  <c r="G42" i="4" a="1"/>
  <c r="G42" i="4" s="1"/>
  <c r="C29" i="4" a="1"/>
  <c r="C29" i="4" s="1"/>
  <c r="C7" i="4" a="1"/>
  <c r="C7" i="4" s="1"/>
  <c r="F52" i="4" a="1"/>
  <c r="F52" i="4" s="1"/>
  <c r="E51" i="4" a="1"/>
  <c r="E51" i="4" s="1"/>
  <c r="G49" i="4" a="1"/>
  <c r="G49" i="4" s="1"/>
  <c r="F48" i="4" a="1"/>
  <c r="F48" i="4" s="1"/>
  <c r="B47" i="4" a="1"/>
  <c r="B47" i="4" s="1"/>
  <c r="H45" i="4" a="1"/>
  <c r="H45" i="4" s="1"/>
  <c r="L43" i="4" a="1"/>
  <c r="L43" i="4" s="1"/>
  <c r="C41" i="4" a="1"/>
  <c r="C41" i="4" s="1"/>
  <c r="D38" i="4" a="1"/>
  <c r="D38" i="4" s="1"/>
  <c r="E35" i="4" a="1"/>
  <c r="E35" i="4" s="1"/>
  <c r="B33" i="4" a="1"/>
  <c r="B33" i="4" s="1"/>
  <c r="K30" i="4" a="1"/>
  <c r="K30" i="4" s="1"/>
  <c r="B21" i="4" a="1"/>
  <c r="B21" i="4" s="1"/>
  <c r="D15" i="4" a="1"/>
  <c r="D15" i="4" s="1"/>
  <c r="F9" i="4" a="1"/>
  <c r="F9" i="4" s="1"/>
  <c r="B75" i="4" a="1"/>
  <c r="B75" i="4" s="1"/>
  <c r="H73" i="4" a="1"/>
  <c r="H73" i="4" s="1"/>
  <c r="C72" i="4" a="1"/>
  <c r="C72" i="4" s="1"/>
  <c r="I70" i="4" a="1"/>
  <c r="I70" i="4" s="1"/>
  <c r="D69" i="4" a="1"/>
  <c r="D69" i="4" s="1"/>
  <c r="J67" i="4" a="1"/>
  <c r="J67" i="4" s="1"/>
  <c r="E66" i="4" a="1"/>
  <c r="E66" i="4" s="1"/>
  <c r="K64" i="4" a="1"/>
  <c r="K64" i="4" s="1"/>
  <c r="F63" i="4" a="1"/>
  <c r="F63" i="4" s="1"/>
  <c r="B62" i="4" a="1"/>
  <c r="B62" i="4" s="1"/>
  <c r="J60" i="4" a="1"/>
  <c r="J60" i="4" s="1"/>
  <c r="L58" i="4" a="1"/>
  <c r="L58" i="4" s="1"/>
  <c r="K57" i="4" a="1"/>
  <c r="K57" i="4" s="1"/>
  <c r="B56" i="4" a="1"/>
  <c r="B56" i="4" s="1"/>
  <c r="L54" i="4" a="1"/>
  <c r="L54" i="4" s="1"/>
  <c r="C53" i="4" a="1"/>
  <c r="C53" i="4" s="1"/>
  <c r="B52" i="4" a="1"/>
  <c r="B52" i="4" s="1"/>
  <c r="D50" i="4" a="1"/>
  <c r="D50" i="4" s="1"/>
  <c r="C49" i="4" a="1"/>
  <c r="C49" i="4" s="1"/>
  <c r="D47" i="4" a="1"/>
  <c r="D47" i="4" s="1"/>
  <c r="J45" i="4" a="1"/>
  <c r="J45" i="4" s="1"/>
  <c r="K43" i="4" a="1"/>
  <c r="K43" i="4" s="1"/>
  <c r="E42" i="4" a="1"/>
  <c r="E42" i="4" s="1"/>
  <c r="E40" i="4" a="1"/>
  <c r="E40" i="4" s="1"/>
  <c r="F37" i="4" a="1"/>
  <c r="F37" i="4" s="1"/>
  <c r="G34" i="4" a="1"/>
  <c r="G34" i="4" s="1"/>
  <c r="J31" i="4" a="1"/>
  <c r="J31" i="4" s="1"/>
  <c r="H29" i="4" a="1"/>
  <c r="H29" i="4" s="1"/>
  <c r="J24" i="4" a="1"/>
  <c r="J24" i="4" s="1"/>
  <c r="F12" i="4" a="1"/>
  <c r="F12" i="4" s="1"/>
  <c r="C73" i="4" a="1"/>
  <c r="C73" i="4" s="1"/>
  <c r="D70" i="4" a="1"/>
  <c r="D70" i="4" s="1"/>
  <c r="E67" i="4" a="1"/>
  <c r="E67" i="4" s="1"/>
  <c r="F64" i="4" a="1"/>
  <c r="F64" i="4" s="1"/>
  <c r="G61" i="4" a="1"/>
  <c r="G61" i="4" s="1"/>
  <c r="H58" i="4" a="1"/>
  <c r="H58" i="4" s="1"/>
  <c r="H53" i="4" a="1"/>
  <c r="H53" i="4" s="1"/>
  <c r="J47" i="4" a="1"/>
  <c r="J47" i="4" s="1"/>
  <c r="C22" i="7" a="1"/>
  <c r="B19" i="7" a="1"/>
  <c r="E26" i="7" a="1"/>
  <c r="C57" i="7"/>
  <c r="C20" i="7" a="1"/>
  <c r="E25" i="7" a="1"/>
  <c r="C21" i="7" a="1"/>
  <c r="B20" i="7" a="1"/>
  <c r="E18" i="7" a="1"/>
  <c r="D59" i="7"/>
  <c r="E21" i="7" a="1"/>
  <c r="C58" i="7"/>
  <c r="C28" i="7" a="1"/>
  <c r="B28" i="7" a="1"/>
  <c r="C23" i="7" a="1"/>
  <c r="E22" i="7" a="1"/>
  <c r="B58" i="7"/>
  <c r="C18" i="7" a="1"/>
  <c r="E19" i="7" a="1"/>
  <c r="B21" i="7" a="1"/>
  <c r="B23" i="7" a="1"/>
  <c r="C24" i="7" a="1"/>
  <c r="B27" i="7" a="1"/>
  <c r="C27" i="7" a="1"/>
  <c r="B25" i="7" a="1"/>
  <c r="E23" i="7" a="1"/>
  <c r="E27" i="7" a="1"/>
  <c r="B59" i="7"/>
  <c r="E20" i="7" a="1"/>
  <c r="B26" i="7" a="1"/>
  <c r="B57" i="7"/>
  <c r="D58" i="7"/>
  <c r="B24" i="7" a="1"/>
  <c r="C25" i="7" a="1"/>
  <c r="E24" i="7" a="1"/>
  <c r="B22" i="7" a="1"/>
  <c r="D57" i="7"/>
  <c r="E28" i="7" a="1"/>
  <c r="C59" i="7"/>
  <c r="C26" i="7" a="1"/>
  <c r="C19" i="7" a="1"/>
  <c r="B18" i="7" a="1"/>
  <c r="D51" i="7" l="1"/>
  <c r="D52" i="7" s="1"/>
  <c r="F30" i="9" s="1"/>
  <c r="B51" i="7"/>
  <c r="B52" i="7" s="1"/>
  <c r="D30" i="9" s="1"/>
  <c r="C65" i="7"/>
  <c r="B64" i="7"/>
  <c r="D65" i="7"/>
  <c r="C64" i="7"/>
  <c r="C63" i="7"/>
  <c r="B65" i="7"/>
  <c r="D63" i="7"/>
  <c r="B63" i="7"/>
  <c r="D64" i="7"/>
  <c r="B18" i="7"/>
  <c r="E24" i="7"/>
  <c r="C24" i="7"/>
  <c r="B24" i="7"/>
  <c r="E23" i="7"/>
  <c r="C23" i="7"/>
  <c r="M5" i="7" s="1"/>
  <c r="J11" i="9" s="1"/>
  <c r="B23" i="7"/>
  <c r="L5" i="7" s="1"/>
  <c r="E26" i="7"/>
  <c r="C26" i="7"/>
  <c r="B26" i="7"/>
  <c r="E19" i="7"/>
  <c r="C19" i="7"/>
  <c r="B19" i="7"/>
  <c r="E28" i="7"/>
  <c r="C28" i="7"/>
  <c r="B28" i="7"/>
  <c r="E25" i="7"/>
  <c r="C25" i="7"/>
  <c r="B25" i="7"/>
  <c r="E21" i="7"/>
  <c r="C21" i="7"/>
  <c r="B21" i="7"/>
  <c r="E22" i="7"/>
  <c r="C22" i="7"/>
  <c r="B22" i="7"/>
  <c r="E20" i="7"/>
  <c r="C20" i="7"/>
  <c r="B20" i="7"/>
  <c r="E27" i="7"/>
  <c r="B27" i="7"/>
  <c r="C27" i="7"/>
  <c r="E18" i="7"/>
  <c r="C18" i="7"/>
  <c r="B32" i="7" a="1"/>
  <c r="B32" i="7" s="1"/>
  <c r="L6" i="7" s="1"/>
  <c r="C32" i="7" a="1"/>
  <c r="C32" i="7" s="1"/>
  <c r="M6" i="7" s="1"/>
  <c r="O11" i="9" s="1"/>
  <c r="L11" i="6"/>
  <c r="Z10" i="6"/>
  <c r="J11" i="6"/>
  <c r="X10" i="6"/>
  <c r="D11" i="6"/>
  <c r="R10" i="6"/>
  <c r="F10" i="6"/>
  <c r="T9" i="6"/>
  <c r="K11" i="6"/>
  <c r="Y10" i="6"/>
  <c r="I11" i="6"/>
  <c r="W10" i="6"/>
  <c r="B11" i="6"/>
  <c r="P10" i="6"/>
  <c r="E10" i="6"/>
  <c r="S9" i="6"/>
  <c r="G11" i="6"/>
  <c r="U10" i="6"/>
  <c r="H10" i="6"/>
  <c r="V9" i="6"/>
  <c r="C11" i="6"/>
  <c r="Q10" i="6"/>
  <c r="N6" i="7" l="1"/>
  <c r="N11" i="9" s="1"/>
  <c r="N5" i="7"/>
  <c r="I11" i="9" s="1"/>
  <c r="G12" i="6"/>
  <c r="U11" i="6"/>
  <c r="K12" i="6"/>
  <c r="Y11" i="6"/>
  <c r="L12" i="6"/>
  <c r="Z11" i="6"/>
  <c r="C12" i="6"/>
  <c r="Q11" i="6"/>
  <c r="B12" i="6"/>
  <c r="P11" i="6"/>
  <c r="D12" i="6"/>
  <c r="R11" i="6"/>
  <c r="H11" i="6"/>
  <c r="V10" i="6"/>
  <c r="E11" i="6"/>
  <c r="S10" i="6"/>
  <c r="I12" i="6"/>
  <c r="W11" i="6"/>
  <c r="F11" i="6"/>
  <c r="T10" i="6"/>
  <c r="J12" i="6"/>
  <c r="X11" i="6"/>
  <c r="J13" i="6" l="1"/>
  <c r="X12" i="6"/>
  <c r="H12" i="6"/>
  <c r="V11" i="6"/>
  <c r="G13" i="6"/>
  <c r="U12" i="6"/>
  <c r="I13" i="6"/>
  <c r="W12" i="6"/>
  <c r="B13" i="6"/>
  <c r="P12" i="6"/>
  <c r="L13" i="6"/>
  <c r="Z12" i="6"/>
  <c r="F12" i="6"/>
  <c r="T11" i="6"/>
  <c r="E12" i="6"/>
  <c r="S11" i="6"/>
  <c r="D13" i="6"/>
  <c r="R12" i="6"/>
  <c r="C13" i="6"/>
  <c r="Q12" i="6"/>
  <c r="K13" i="6"/>
  <c r="Y12" i="6"/>
  <c r="D14" i="6" l="1"/>
  <c r="R13" i="6"/>
  <c r="G14" i="6"/>
  <c r="U13" i="6"/>
  <c r="K14" i="6"/>
  <c r="Y13" i="6"/>
  <c r="F13" i="6"/>
  <c r="T12" i="6"/>
  <c r="B14" i="6"/>
  <c r="P13" i="6"/>
  <c r="J14" i="6"/>
  <c r="X13" i="6"/>
  <c r="C14" i="6"/>
  <c r="Q13" i="6"/>
  <c r="E13" i="6"/>
  <c r="S12" i="6"/>
  <c r="L14" i="6"/>
  <c r="Z13" i="6"/>
  <c r="I14" i="6"/>
  <c r="W13" i="6"/>
  <c r="H13" i="6"/>
  <c r="V12" i="6"/>
  <c r="H14" i="6" l="1"/>
  <c r="V13" i="6"/>
  <c r="C15" i="6"/>
  <c r="Q14" i="6"/>
  <c r="D15" i="6"/>
  <c r="R14" i="6"/>
  <c r="L15" i="6"/>
  <c r="Z14" i="6"/>
  <c r="B15" i="6"/>
  <c r="P14" i="6"/>
  <c r="K15" i="6"/>
  <c r="Y14" i="6"/>
  <c r="I15" i="6"/>
  <c r="W14" i="6"/>
  <c r="E14" i="6"/>
  <c r="S13" i="6"/>
  <c r="J15" i="6"/>
  <c r="X14" i="6"/>
  <c r="F14" i="6"/>
  <c r="T13" i="6"/>
  <c r="G15" i="6"/>
  <c r="U14" i="6"/>
  <c r="J16" i="6" l="1"/>
  <c r="X15" i="6"/>
  <c r="D16" i="6"/>
  <c r="R15" i="6"/>
  <c r="G16" i="6"/>
  <c r="U15" i="6"/>
  <c r="I16" i="6"/>
  <c r="W15" i="6"/>
  <c r="B16" i="6"/>
  <c r="P15" i="6"/>
  <c r="H15" i="6"/>
  <c r="V14" i="6"/>
  <c r="F15" i="6"/>
  <c r="T14" i="6"/>
  <c r="E15" i="6"/>
  <c r="S14" i="6"/>
  <c r="K16" i="6"/>
  <c r="Y15" i="6"/>
  <c r="L16" i="6"/>
  <c r="Z15" i="6"/>
  <c r="C16" i="6"/>
  <c r="Q15" i="6"/>
  <c r="K17" i="6" l="1"/>
  <c r="Y16" i="6"/>
  <c r="G17" i="6"/>
  <c r="U16" i="6"/>
  <c r="C17" i="6"/>
  <c r="Q16" i="6"/>
  <c r="F16" i="6"/>
  <c r="T15" i="6"/>
  <c r="B17" i="6"/>
  <c r="P16" i="6"/>
  <c r="J17" i="6"/>
  <c r="X16" i="6"/>
  <c r="L17" i="6"/>
  <c r="Z16" i="6"/>
  <c r="E16" i="6"/>
  <c r="S15" i="6"/>
  <c r="H16" i="6"/>
  <c r="V15" i="6"/>
  <c r="I17" i="6"/>
  <c r="W16" i="6"/>
  <c r="D17" i="6"/>
  <c r="R16" i="6"/>
  <c r="H17" i="6" l="1"/>
  <c r="V16" i="6"/>
  <c r="C18" i="6"/>
  <c r="Q17" i="6"/>
  <c r="D18" i="6"/>
  <c r="R17" i="6"/>
  <c r="L18" i="6"/>
  <c r="Z17" i="6"/>
  <c r="B18" i="6"/>
  <c r="P17" i="6"/>
  <c r="K18" i="6"/>
  <c r="Y17" i="6"/>
  <c r="I18" i="6"/>
  <c r="W17" i="6"/>
  <c r="E17" i="6"/>
  <c r="S16" i="6"/>
  <c r="J18" i="6"/>
  <c r="X17" i="6"/>
  <c r="F17" i="6"/>
  <c r="T16" i="6"/>
  <c r="G18" i="6"/>
  <c r="U17" i="6"/>
  <c r="G19" i="6" l="1"/>
  <c r="U18" i="6"/>
  <c r="I19" i="6"/>
  <c r="W18" i="6"/>
  <c r="D19" i="6"/>
  <c r="R18" i="6"/>
  <c r="J19" i="6"/>
  <c r="X18" i="6"/>
  <c r="B19" i="6"/>
  <c r="P18" i="6"/>
  <c r="H18" i="6"/>
  <c r="V17" i="6"/>
  <c r="F18" i="6"/>
  <c r="T17" i="6"/>
  <c r="E18" i="6"/>
  <c r="S17" i="6"/>
  <c r="K19" i="6"/>
  <c r="Y18" i="6"/>
  <c r="L19" i="6"/>
  <c r="Z18" i="6"/>
  <c r="C19" i="6"/>
  <c r="Q18" i="6"/>
  <c r="C20" i="6" l="1"/>
  <c r="Q19" i="6"/>
  <c r="F19" i="6"/>
  <c r="T18" i="6"/>
  <c r="D20" i="6"/>
  <c r="R19" i="6"/>
  <c r="K20" i="6"/>
  <c r="Y19" i="6"/>
  <c r="B20" i="6"/>
  <c r="P19" i="6"/>
  <c r="G20" i="6"/>
  <c r="U19" i="6"/>
  <c r="L20" i="6"/>
  <c r="Z19" i="6"/>
  <c r="E19" i="6"/>
  <c r="S18" i="6"/>
  <c r="H19" i="6"/>
  <c r="V18" i="6"/>
  <c r="J20" i="6"/>
  <c r="X19" i="6"/>
  <c r="I20" i="6"/>
  <c r="W19" i="6"/>
  <c r="H20" i="6" l="1"/>
  <c r="V19" i="6"/>
  <c r="I21" i="6"/>
  <c r="W20" i="6"/>
  <c r="L21" i="6"/>
  <c r="Z20" i="6"/>
  <c r="J21" i="6"/>
  <c r="X20" i="6"/>
  <c r="E20" i="6"/>
  <c r="S19" i="6"/>
  <c r="G21" i="6"/>
  <c r="U20" i="6"/>
  <c r="K21" i="6"/>
  <c r="Y20" i="6"/>
  <c r="F20" i="6"/>
  <c r="T19" i="6"/>
  <c r="B21" i="6"/>
  <c r="P20" i="6"/>
  <c r="D21" i="6"/>
  <c r="R20" i="6"/>
  <c r="C21" i="6"/>
  <c r="Q20" i="6"/>
  <c r="C22" i="6" l="1"/>
  <c r="Q21" i="6"/>
  <c r="D22" i="6"/>
  <c r="R21" i="6"/>
  <c r="F21" i="6"/>
  <c r="T20" i="6"/>
  <c r="G22" i="6"/>
  <c r="U21" i="6"/>
  <c r="J22" i="6"/>
  <c r="X21" i="6"/>
  <c r="I22" i="6"/>
  <c r="W21" i="6"/>
  <c r="B22" i="6"/>
  <c r="P21" i="6"/>
  <c r="K22" i="6"/>
  <c r="Y21" i="6"/>
  <c r="E21" i="6"/>
  <c r="S20" i="6"/>
  <c r="L22" i="6"/>
  <c r="Z21" i="6"/>
  <c r="H21" i="6"/>
  <c r="V20" i="6"/>
  <c r="L23" i="6" l="1"/>
  <c r="Z22" i="6"/>
  <c r="K23" i="6"/>
  <c r="Y22" i="6"/>
  <c r="I23" i="6"/>
  <c r="W22" i="6"/>
  <c r="G23" i="6"/>
  <c r="U22" i="6"/>
  <c r="D23" i="6"/>
  <c r="R22" i="6"/>
  <c r="H22" i="6"/>
  <c r="V21" i="6"/>
  <c r="E22" i="6"/>
  <c r="S21" i="6"/>
  <c r="B23" i="6"/>
  <c r="P22" i="6"/>
  <c r="J23" i="6"/>
  <c r="X22" i="6"/>
  <c r="F22" i="6"/>
  <c r="T21" i="6"/>
  <c r="C23" i="6"/>
  <c r="Q22" i="6"/>
  <c r="C24" i="6" l="1"/>
  <c r="Q23" i="6"/>
  <c r="F23" i="6"/>
  <c r="T22" i="6"/>
  <c r="B24" i="6"/>
  <c r="P23" i="6"/>
  <c r="H23" i="6"/>
  <c r="V22" i="6"/>
  <c r="G24" i="6"/>
  <c r="U23" i="6"/>
  <c r="K24" i="6"/>
  <c r="Y23" i="6"/>
  <c r="J24" i="6"/>
  <c r="X23" i="6"/>
  <c r="E23" i="6"/>
  <c r="S22" i="6"/>
  <c r="D24" i="6"/>
  <c r="R23" i="6"/>
  <c r="I24" i="6"/>
  <c r="W23" i="6"/>
  <c r="L24" i="6"/>
  <c r="Z23" i="6"/>
  <c r="I25" i="6" l="1"/>
  <c r="W24" i="6"/>
  <c r="E24" i="6"/>
  <c r="S23" i="6"/>
  <c r="K25" i="6"/>
  <c r="Y24" i="6"/>
  <c r="H24" i="6"/>
  <c r="V23" i="6"/>
  <c r="F24" i="6"/>
  <c r="T23" i="6"/>
  <c r="L25" i="6"/>
  <c r="Z24" i="6"/>
  <c r="D25" i="6"/>
  <c r="R24" i="6"/>
  <c r="J25" i="6"/>
  <c r="X24" i="6"/>
  <c r="G25" i="6"/>
  <c r="U24" i="6"/>
  <c r="B25" i="6"/>
  <c r="P24" i="6"/>
  <c r="C25" i="6"/>
  <c r="Q24" i="6"/>
  <c r="C26" i="6" l="1"/>
  <c r="Q25" i="6"/>
  <c r="B26" i="6"/>
  <c r="P25" i="6"/>
  <c r="J26" i="6"/>
  <c r="X25" i="6"/>
  <c r="L26" i="6"/>
  <c r="Z25" i="6"/>
  <c r="H25" i="6"/>
  <c r="V24" i="6"/>
  <c r="E25" i="6"/>
  <c r="S24" i="6"/>
  <c r="G26" i="6"/>
  <c r="U25" i="6"/>
  <c r="D26" i="6"/>
  <c r="R25" i="6"/>
  <c r="F25" i="6"/>
  <c r="T24" i="6"/>
  <c r="K26" i="6"/>
  <c r="Y25" i="6"/>
  <c r="I26" i="6"/>
  <c r="W25" i="6"/>
  <c r="K27" i="6" l="1"/>
  <c r="Y26" i="6"/>
  <c r="D27" i="6"/>
  <c r="R26" i="6"/>
  <c r="E26" i="6"/>
  <c r="S25" i="6"/>
  <c r="L27" i="6"/>
  <c r="Z26" i="6"/>
  <c r="B27" i="6"/>
  <c r="P26" i="6"/>
  <c r="I27" i="6"/>
  <c r="W26" i="6"/>
  <c r="F26" i="6"/>
  <c r="T25" i="6"/>
  <c r="G27" i="6"/>
  <c r="U26" i="6"/>
  <c r="H26" i="6"/>
  <c r="V25" i="6"/>
  <c r="J27" i="6"/>
  <c r="X26" i="6"/>
  <c r="C27" i="6"/>
  <c r="Q26" i="6"/>
  <c r="J28" i="6" l="1"/>
  <c r="X27" i="6"/>
  <c r="G28" i="6"/>
  <c r="U27" i="6"/>
  <c r="I28" i="6"/>
  <c r="W27" i="6"/>
  <c r="L28" i="6"/>
  <c r="Z27" i="6"/>
  <c r="D28" i="6"/>
  <c r="R27" i="6"/>
  <c r="C28" i="6"/>
  <c r="Q27" i="6"/>
  <c r="H27" i="6"/>
  <c r="V26" i="6"/>
  <c r="F27" i="6"/>
  <c r="T26" i="6"/>
  <c r="B28" i="6"/>
  <c r="P27" i="6"/>
  <c r="E27" i="6"/>
  <c r="S26" i="6"/>
  <c r="K28" i="6"/>
  <c r="Y27" i="6"/>
  <c r="F28" i="6" l="1"/>
  <c r="T27" i="6"/>
  <c r="C29" i="6"/>
  <c r="Q28" i="6"/>
  <c r="L29" i="6"/>
  <c r="Z28" i="6"/>
  <c r="G29" i="6"/>
  <c r="U28" i="6"/>
  <c r="E28" i="6"/>
  <c r="S27" i="6"/>
  <c r="K29" i="6"/>
  <c r="Y28" i="6"/>
  <c r="B29" i="6"/>
  <c r="P28" i="6"/>
  <c r="H28" i="6"/>
  <c r="V27" i="6"/>
  <c r="D29" i="6"/>
  <c r="R28" i="6"/>
  <c r="I29" i="6"/>
  <c r="W28" i="6"/>
  <c r="J29" i="6"/>
  <c r="X28" i="6"/>
  <c r="I30" i="6" l="1"/>
  <c r="W29" i="6"/>
  <c r="H29" i="6"/>
  <c r="V28" i="6"/>
  <c r="K30" i="6"/>
  <c r="Y29" i="6"/>
  <c r="G30" i="6"/>
  <c r="U29" i="6"/>
  <c r="C30" i="6"/>
  <c r="Q29" i="6"/>
  <c r="J30" i="6"/>
  <c r="X29" i="6"/>
  <c r="D30" i="6"/>
  <c r="R29" i="6"/>
  <c r="B30" i="6"/>
  <c r="P29" i="6"/>
  <c r="E29" i="6"/>
  <c r="S28" i="6"/>
  <c r="L30" i="6"/>
  <c r="Z29" i="6"/>
  <c r="F29" i="6"/>
  <c r="T28" i="6"/>
  <c r="L31" i="6" l="1"/>
  <c r="Z30" i="6"/>
  <c r="B31" i="6"/>
  <c r="P30" i="6"/>
  <c r="J31" i="6"/>
  <c r="X30" i="6"/>
  <c r="G31" i="6"/>
  <c r="U30" i="6"/>
  <c r="H30" i="6"/>
  <c r="V29" i="6"/>
  <c r="F30" i="6"/>
  <c r="T29" i="6"/>
  <c r="E30" i="6"/>
  <c r="S29" i="6"/>
  <c r="D31" i="6"/>
  <c r="R30" i="6"/>
  <c r="C31" i="6"/>
  <c r="Q30" i="6"/>
  <c r="K31" i="6"/>
  <c r="Y30" i="6"/>
  <c r="I31" i="6"/>
  <c r="W30" i="6"/>
  <c r="C32" i="6" l="1"/>
  <c r="Q31" i="6"/>
  <c r="K32" i="6"/>
  <c r="Y31" i="6"/>
  <c r="D32" i="6"/>
  <c r="R31" i="6"/>
  <c r="F31" i="6"/>
  <c r="T30" i="6"/>
  <c r="G32" i="6"/>
  <c r="U31" i="6"/>
  <c r="B32" i="6"/>
  <c r="P31" i="6"/>
  <c r="I32" i="6"/>
  <c r="W31" i="6"/>
  <c r="E31" i="6"/>
  <c r="S30" i="6"/>
  <c r="H31" i="6"/>
  <c r="V30" i="6"/>
  <c r="J32" i="6"/>
  <c r="X31" i="6"/>
  <c r="L32" i="6"/>
  <c r="Z31" i="6"/>
  <c r="J33" i="6" l="1"/>
  <c r="X32" i="6"/>
  <c r="E32" i="6"/>
  <c r="S31" i="6"/>
  <c r="B33" i="6"/>
  <c r="P32" i="6"/>
  <c r="F32" i="6"/>
  <c r="T31" i="6"/>
  <c r="K33" i="6"/>
  <c r="Y32" i="6"/>
  <c r="L33" i="6"/>
  <c r="Z32" i="6"/>
  <c r="H32" i="6"/>
  <c r="V31" i="6"/>
  <c r="I33" i="6"/>
  <c r="W32" i="6"/>
  <c r="G33" i="6"/>
  <c r="U32" i="6"/>
  <c r="D33" i="6"/>
  <c r="R32" i="6"/>
  <c r="C33" i="6"/>
  <c r="Q32" i="6"/>
  <c r="D34" i="6" l="1"/>
  <c r="R33" i="6"/>
  <c r="I34" i="6"/>
  <c r="W33" i="6"/>
  <c r="L34" i="6"/>
  <c r="Z33" i="6"/>
  <c r="F33" i="6"/>
  <c r="T32" i="6"/>
  <c r="E33" i="6"/>
  <c r="S32" i="6"/>
  <c r="C34" i="6"/>
  <c r="Q33" i="6"/>
  <c r="G34" i="6"/>
  <c r="U33" i="6"/>
  <c r="H33" i="6"/>
  <c r="V32" i="6"/>
  <c r="K34" i="6"/>
  <c r="Y33" i="6"/>
  <c r="B34" i="6"/>
  <c r="P33" i="6"/>
  <c r="J34" i="6"/>
  <c r="X33" i="6"/>
  <c r="B35" i="6" l="1"/>
  <c r="P34" i="6"/>
  <c r="H34" i="6"/>
  <c r="V33" i="6"/>
  <c r="C35" i="6"/>
  <c r="Q34" i="6"/>
  <c r="F34" i="6"/>
  <c r="T33" i="6"/>
  <c r="I35" i="6"/>
  <c r="W34" i="6"/>
  <c r="J35" i="6"/>
  <c r="X34" i="6"/>
  <c r="K35" i="6"/>
  <c r="Y34" i="6"/>
  <c r="G35" i="6"/>
  <c r="U34" i="6"/>
  <c r="E34" i="6"/>
  <c r="S33" i="6"/>
  <c r="L35" i="6"/>
  <c r="Z34" i="6"/>
  <c r="D35" i="6"/>
  <c r="R34" i="6"/>
  <c r="L36" i="6" l="1"/>
  <c r="Z35" i="6"/>
  <c r="G36" i="6"/>
  <c r="U35" i="6"/>
  <c r="J36" i="6"/>
  <c r="X35" i="6"/>
  <c r="F35" i="6"/>
  <c r="T34" i="6"/>
  <c r="H35" i="6"/>
  <c r="V34" i="6"/>
  <c r="D36" i="6"/>
  <c r="R35" i="6"/>
  <c r="E35" i="6"/>
  <c r="S34" i="6"/>
  <c r="K36" i="6"/>
  <c r="Y35" i="6"/>
  <c r="I36" i="6"/>
  <c r="W35" i="6"/>
  <c r="C36" i="6"/>
  <c r="Q35" i="6"/>
  <c r="B36" i="6"/>
  <c r="P35" i="6"/>
  <c r="C37" i="6" l="1"/>
  <c r="Q36" i="6"/>
  <c r="K37" i="6"/>
  <c r="Y36" i="6"/>
  <c r="D37" i="6"/>
  <c r="R36" i="6"/>
  <c r="F36" i="6"/>
  <c r="T35" i="6"/>
  <c r="G37" i="6"/>
  <c r="U36" i="6"/>
  <c r="B37" i="6"/>
  <c r="P36" i="6"/>
  <c r="I37" i="6"/>
  <c r="W36" i="6"/>
  <c r="E36" i="6"/>
  <c r="S35" i="6"/>
  <c r="H36" i="6"/>
  <c r="V35" i="6"/>
  <c r="J37" i="6"/>
  <c r="X36" i="6"/>
  <c r="L37" i="6"/>
  <c r="Z36" i="6"/>
  <c r="L38" i="6" l="1"/>
  <c r="Z37" i="6"/>
  <c r="J38" i="6"/>
  <c r="X37" i="6"/>
  <c r="E37" i="6"/>
  <c r="S36" i="6"/>
  <c r="B38" i="6"/>
  <c r="P37" i="6"/>
  <c r="F37" i="6"/>
  <c r="T36" i="6"/>
  <c r="K38" i="6"/>
  <c r="Y37" i="6"/>
  <c r="H37" i="6"/>
  <c r="V36" i="6"/>
  <c r="I38" i="6"/>
  <c r="W37" i="6"/>
  <c r="G38" i="6"/>
  <c r="U37" i="6"/>
  <c r="D38" i="6"/>
  <c r="R37" i="6"/>
  <c r="C38" i="6"/>
  <c r="Q37" i="6"/>
  <c r="D39" i="6" l="1"/>
  <c r="R38" i="6"/>
  <c r="I39" i="6"/>
  <c r="W38" i="6"/>
  <c r="K39" i="6"/>
  <c r="Y38" i="6"/>
  <c r="B39" i="6"/>
  <c r="P38" i="6"/>
  <c r="J39" i="6"/>
  <c r="X38" i="6"/>
  <c r="C39" i="6"/>
  <c r="Q38" i="6"/>
  <c r="G39" i="6"/>
  <c r="U38" i="6"/>
  <c r="H38" i="6"/>
  <c r="V37" i="6"/>
  <c r="F38" i="6"/>
  <c r="T37" i="6"/>
  <c r="E38" i="6"/>
  <c r="S37" i="6"/>
  <c r="L39" i="6"/>
  <c r="Z38" i="6"/>
  <c r="E39" i="6" l="1"/>
  <c r="S38" i="6"/>
  <c r="H39" i="6"/>
  <c r="V38" i="6"/>
  <c r="C40" i="6"/>
  <c r="Q39" i="6"/>
  <c r="B40" i="6"/>
  <c r="P39" i="6"/>
  <c r="I40" i="6"/>
  <c r="W39" i="6"/>
  <c r="L40" i="6"/>
  <c r="Z39" i="6"/>
  <c r="F39" i="6"/>
  <c r="T38" i="6"/>
  <c r="G40" i="6"/>
  <c r="U39" i="6"/>
  <c r="J40" i="6"/>
  <c r="X39" i="6"/>
  <c r="K40" i="6"/>
  <c r="Y39" i="6"/>
  <c r="D40" i="6"/>
  <c r="R39" i="6"/>
  <c r="K41" i="6" l="1"/>
  <c r="Y40" i="6"/>
  <c r="G41" i="6"/>
  <c r="U40" i="6"/>
  <c r="L41" i="6"/>
  <c r="Z40" i="6"/>
  <c r="B41" i="6"/>
  <c r="P40" i="6"/>
  <c r="H40" i="6"/>
  <c r="V39" i="6"/>
  <c r="D41" i="6"/>
  <c r="R40" i="6"/>
  <c r="J41" i="6"/>
  <c r="X40" i="6"/>
  <c r="F40" i="6"/>
  <c r="T39" i="6"/>
  <c r="I41" i="6"/>
  <c r="W40" i="6"/>
  <c r="C41" i="6"/>
  <c r="Q40" i="6"/>
  <c r="E40" i="6"/>
  <c r="S39" i="6"/>
  <c r="C42" i="6" l="1"/>
  <c r="Q41" i="6"/>
  <c r="F41" i="6"/>
  <c r="T40" i="6"/>
  <c r="D42" i="6"/>
  <c r="R41" i="6"/>
  <c r="B42" i="6"/>
  <c r="P41" i="6"/>
  <c r="G42" i="6"/>
  <c r="U41" i="6"/>
  <c r="E41" i="6"/>
  <c r="S40" i="6"/>
  <c r="I42" i="6"/>
  <c r="W41" i="6"/>
  <c r="J42" i="6"/>
  <c r="X41" i="6"/>
  <c r="H41" i="6"/>
  <c r="V40" i="6"/>
  <c r="L42" i="6"/>
  <c r="Z41" i="6"/>
  <c r="K42" i="6"/>
  <c r="Y41" i="6"/>
  <c r="L43" i="6" l="1"/>
  <c r="Z42" i="6"/>
  <c r="J43" i="6"/>
  <c r="X42" i="6"/>
  <c r="E42" i="6"/>
  <c r="S41" i="6"/>
  <c r="B43" i="6"/>
  <c r="P42" i="6"/>
  <c r="F42" i="6"/>
  <c r="T41" i="6"/>
  <c r="K43" i="6"/>
  <c r="Y42" i="6"/>
  <c r="H42" i="6"/>
  <c r="V41" i="6"/>
  <c r="I43" i="6"/>
  <c r="W42" i="6"/>
  <c r="G43" i="6"/>
  <c r="U42" i="6"/>
  <c r="D43" i="6"/>
  <c r="R42" i="6"/>
  <c r="C43" i="6"/>
  <c r="Q42" i="6"/>
  <c r="H43" i="6" l="1"/>
  <c r="V42" i="6"/>
  <c r="E43" i="6"/>
  <c r="S42" i="6"/>
  <c r="C44" i="6"/>
  <c r="Q43" i="6"/>
  <c r="G44" i="6"/>
  <c r="U43" i="6"/>
  <c r="F43" i="6"/>
  <c r="T42" i="6"/>
  <c r="D44" i="6"/>
  <c r="R43" i="6"/>
  <c r="I44" i="6"/>
  <c r="W43" i="6"/>
  <c r="K44" i="6"/>
  <c r="Y43" i="6"/>
  <c r="B44" i="6"/>
  <c r="P43" i="6"/>
  <c r="J44" i="6"/>
  <c r="X43" i="6"/>
  <c r="L44" i="6"/>
  <c r="Z43" i="6"/>
  <c r="J45" i="6" l="1"/>
  <c r="X44" i="6"/>
  <c r="D45" i="6"/>
  <c r="R44" i="6"/>
  <c r="G45" i="6"/>
  <c r="U44" i="6"/>
  <c r="E44" i="6"/>
  <c r="S43" i="6"/>
  <c r="K45" i="6"/>
  <c r="Y44" i="6"/>
  <c r="L45" i="6"/>
  <c r="Z44" i="6"/>
  <c r="B45" i="6"/>
  <c r="P44" i="6"/>
  <c r="I45" i="6"/>
  <c r="W44" i="6"/>
  <c r="F44" i="6"/>
  <c r="T43" i="6"/>
  <c r="C45" i="6"/>
  <c r="Q44" i="6"/>
  <c r="H44" i="6"/>
  <c r="V43" i="6"/>
  <c r="D46" i="6" l="1"/>
  <c r="R45" i="6"/>
  <c r="C46" i="6"/>
  <c r="Q45" i="6"/>
  <c r="E45" i="6"/>
  <c r="S44" i="6"/>
  <c r="I46" i="6"/>
  <c r="W45" i="6"/>
  <c r="L46" i="6"/>
  <c r="Z45" i="6"/>
  <c r="H45" i="6"/>
  <c r="V44" i="6"/>
  <c r="F45" i="6"/>
  <c r="T44" i="6"/>
  <c r="B46" i="6"/>
  <c r="P45" i="6"/>
  <c r="K46" i="6"/>
  <c r="Y45" i="6"/>
  <c r="G46" i="6"/>
  <c r="U45" i="6"/>
  <c r="J46" i="6"/>
  <c r="X45" i="6"/>
  <c r="J47" i="6" l="1"/>
  <c r="X46" i="6"/>
  <c r="G47" i="6"/>
  <c r="U46" i="6"/>
  <c r="B47" i="6"/>
  <c r="P46" i="6"/>
  <c r="H46" i="6"/>
  <c r="V45" i="6"/>
  <c r="I47" i="6"/>
  <c r="W46" i="6"/>
  <c r="C47" i="6"/>
  <c r="Q46" i="6"/>
  <c r="K47" i="6"/>
  <c r="Y46" i="6"/>
  <c r="F46" i="6"/>
  <c r="T45" i="6"/>
  <c r="L47" i="6"/>
  <c r="Z46" i="6"/>
  <c r="E46" i="6"/>
  <c r="S45" i="6"/>
  <c r="D47" i="6"/>
  <c r="R46" i="6"/>
  <c r="D48" i="6" l="1"/>
  <c r="R47" i="6"/>
  <c r="E47" i="6"/>
  <c r="S46" i="6"/>
  <c r="F47" i="6"/>
  <c r="T46" i="6"/>
  <c r="C48" i="6"/>
  <c r="Q47" i="6"/>
  <c r="H47" i="6"/>
  <c r="V46" i="6"/>
  <c r="G48" i="6"/>
  <c r="U47" i="6"/>
  <c r="L48" i="6"/>
  <c r="Z47" i="6"/>
  <c r="K48" i="6"/>
  <c r="Y47" i="6"/>
  <c r="I48" i="6"/>
  <c r="W47" i="6"/>
  <c r="B48" i="6"/>
  <c r="P47" i="6"/>
  <c r="J48" i="6"/>
  <c r="X47" i="6"/>
  <c r="B49" i="6" l="1"/>
  <c r="P48" i="6"/>
  <c r="K49" i="6"/>
  <c r="Y48" i="6"/>
  <c r="G49" i="6"/>
  <c r="U48" i="6"/>
  <c r="C49" i="6"/>
  <c r="Q48" i="6"/>
  <c r="E48" i="6"/>
  <c r="S47" i="6"/>
  <c r="J49" i="6"/>
  <c r="X48" i="6"/>
  <c r="I49" i="6"/>
  <c r="W48" i="6"/>
  <c r="L49" i="6"/>
  <c r="Z48" i="6"/>
  <c r="H48" i="6"/>
  <c r="V47" i="6"/>
  <c r="F48" i="6"/>
  <c r="T47" i="6"/>
  <c r="D49" i="6"/>
  <c r="R48" i="6"/>
  <c r="D50" i="6" l="1"/>
  <c r="R49" i="6"/>
  <c r="F49" i="6"/>
  <c r="T48" i="6"/>
  <c r="L50" i="6"/>
  <c r="Z49" i="6"/>
  <c r="J50" i="6"/>
  <c r="X49" i="6"/>
  <c r="C50" i="6"/>
  <c r="Q49" i="6"/>
  <c r="K50" i="6"/>
  <c r="Y49" i="6"/>
  <c r="H49" i="6"/>
  <c r="V48" i="6"/>
  <c r="I50" i="6"/>
  <c r="W49" i="6"/>
  <c r="E49" i="6"/>
  <c r="S48" i="6"/>
  <c r="G50" i="6"/>
  <c r="U49" i="6"/>
  <c r="B50" i="6"/>
  <c r="P49" i="6"/>
  <c r="G51" i="6" l="1"/>
  <c r="U50" i="6"/>
  <c r="I51" i="6"/>
  <c r="W50" i="6"/>
  <c r="K51" i="6"/>
  <c r="Y50" i="6"/>
  <c r="J51" i="6"/>
  <c r="X50" i="6"/>
  <c r="F50" i="6"/>
  <c r="T49" i="6"/>
  <c r="B51" i="6"/>
  <c r="P50" i="6"/>
  <c r="E50" i="6"/>
  <c r="S49" i="6"/>
  <c r="H50" i="6"/>
  <c r="V49" i="6"/>
  <c r="C51" i="6"/>
  <c r="Q50" i="6"/>
  <c r="L51" i="6"/>
  <c r="Z50" i="6"/>
  <c r="D51" i="6"/>
  <c r="R50" i="6"/>
  <c r="D52" i="6" l="1"/>
  <c r="R51" i="6"/>
  <c r="L52" i="6"/>
  <c r="Z51" i="6"/>
  <c r="H51" i="6"/>
  <c r="V50" i="6"/>
  <c r="B52" i="6"/>
  <c r="P51" i="6"/>
  <c r="J52" i="6"/>
  <c r="X51" i="6"/>
  <c r="I52" i="6"/>
  <c r="W51" i="6"/>
  <c r="C52" i="6"/>
  <c r="Q51" i="6"/>
  <c r="E51" i="6"/>
  <c r="S50" i="6"/>
  <c r="F51" i="6"/>
  <c r="T50" i="6"/>
  <c r="K52" i="6"/>
  <c r="Y51" i="6"/>
  <c r="G52" i="6"/>
  <c r="U51" i="6"/>
  <c r="G53" i="6" l="1"/>
  <c r="U52" i="6"/>
  <c r="K53" i="6"/>
  <c r="Y52" i="6"/>
  <c r="E52" i="6"/>
  <c r="S51" i="6"/>
  <c r="I53" i="6"/>
  <c r="W52" i="6"/>
  <c r="B53" i="6"/>
  <c r="P52" i="6"/>
  <c r="L53" i="6"/>
  <c r="Z52" i="6"/>
  <c r="F52" i="6"/>
  <c r="T51" i="6"/>
  <c r="C53" i="6"/>
  <c r="Q52" i="6"/>
  <c r="J53" i="6"/>
  <c r="X52" i="6"/>
  <c r="H52" i="6"/>
  <c r="V51" i="6"/>
  <c r="D53" i="6"/>
  <c r="R52" i="6"/>
  <c r="H53" i="6" l="1"/>
  <c r="V52" i="6"/>
  <c r="C54" i="6"/>
  <c r="Q53" i="6"/>
  <c r="L54" i="6"/>
  <c r="Z53" i="6"/>
  <c r="I54" i="6"/>
  <c r="W53" i="6"/>
  <c r="K54" i="6"/>
  <c r="Y53" i="6"/>
  <c r="D54" i="6"/>
  <c r="R53" i="6"/>
  <c r="J54" i="6"/>
  <c r="X53" i="6"/>
  <c r="F53" i="6"/>
  <c r="T52" i="6"/>
  <c r="B54" i="6"/>
  <c r="P53" i="6"/>
  <c r="E53" i="6"/>
  <c r="S52" i="6"/>
  <c r="G54" i="6"/>
  <c r="U53" i="6"/>
  <c r="G55" i="6" l="1"/>
  <c r="U54" i="6"/>
  <c r="E54" i="6"/>
  <c r="S53" i="6"/>
  <c r="F54" i="6"/>
  <c r="T53" i="6"/>
  <c r="D55" i="6"/>
  <c r="R54" i="6"/>
  <c r="I55" i="6"/>
  <c r="W54" i="6"/>
  <c r="C55" i="6"/>
  <c r="Q54" i="6"/>
  <c r="B55" i="6"/>
  <c r="P54" i="6"/>
  <c r="J55" i="6"/>
  <c r="X54" i="6"/>
  <c r="K55" i="6"/>
  <c r="Y54" i="6"/>
  <c r="L55" i="6"/>
  <c r="Z54" i="6"/>
  <c r="H54" i="6"/>
  <c r="V53" i="6"/>
  <c r="H55" i="6" l="1"/>
  <c r="V54" i="6"/>
  <c r="L56" i="6"/>
  <c r="Z55" i="6"/>
  <c r="J56" i="6"/>
  <c r="X55" i="6"/>
  <c r="C56" i="6"/>
  <c r="Q55" i="6"/>
  <c r="D56" i="6"/>
  <c r="R55" i="6"/>
  <c r="E55" i="6"/>
  <c r="S54" i="6"/>
  <c r="K56" i="6"/>
  <c r="Y55" i="6"/>
  <c r="B56" i="6"/>
  <c r="P55" i="6"/>
  <c r="I56" i="6"/>
  <c r="W55" i="6"/>
  <c r="F55" i="6"/>
  <c r="T54" i="6"/>
  <c r="G56" i="6"/>
  <c r="U55" i="6"/>
  <c r="G57" i="6" l="1"/>
  <c r="U56" i="6"/>
  <c r="F56" i="6"/>
  <c r="T55" i="6"/>
  <c r="B57" i="6"/>
  <c r="P56" i="6"/>
  <c r="E56" i="6"/>
  <c r="S55" i="6"/>
  <c r="C57" i="6"/>
  <c r="Q56" i="6"/>
  <c r="L57" i="6"/>
  <c r="Z56" i="6"/>
  <c r="I57" i="6"/>
  <c r="W56" i="6"/>
  <c r="K57" i="6"/>
  <c r="Y56" i="6"/>
  <c r="D57" i="6"/>
  <c r="R56" i="6"/>
  <c r="J57" i="6"/>
  <c r="X56" i="6"/>
  <c r="H56" i="6"/>
  <c r="V55" i="6"/>
  <c r="J58" i="6" l="1"/>
  <c r="X57" i="6"/>
  <c r="K58" i="6"/>
  <c r="Y57" i="6"/>
  <c r="L58" i="6"/>
  <c r="Z57" i="6"/>
  <c r="E57" i="6"/>
  <c r="S56" i="6"/>
  <c r="F57" i="6"/>
  <c r="T56" i="6"/>
  <c r="H57" i="6"/>
  <c r="V56" i="6"/>
  <c r="D58" i="6"/>
  <c r="R57" i="6"/>
  <c r="I58" i="6"/>
  <c r="W57" i="6"/>
  <c r="C58" i="6"/>
  <c r="Q57" i="6"/>
  <c r="B58" i="6"/>
  <c r="P57" i="6"/>
  <c r="G58" i="6"/>
  <c r="U57" i="6"/>
  <c r="G59" i="6" l="1"/>
  <c r="U58" i="6"/>
  <c r="B59" i="6"/>
  <c r="P58" i="6"/>
  <c r="I59" i="6"/>
  <c r="W58" i="6"/>
  <c r="H58" i="6"/>
  <c r="V57" i="6"/>
  <c r="E58" i="6"/>
  <c r="S57" i="6"/>
  <c r="K59" i="6"/>
  <c r="Y58" i="6"/>
  <c r="C59" i="6"/>
  <c r="Q58" i="6"/>
  <c r="D59" i="6"/>
  <c r="R58" i="6"/>
  <c r="F58" i="6"/>
  <c r="T57" i="6"/>
  <c r="L59" i="6"/>
  <c r="Z58" i="6"/>
  <c r="J59" i="6"/>
  <c r="X58" i="6"/>
  <c r="L60" i="6" l="1"/>
  <c r="Z59" i="6"/>
  <c r="D60" i="6"/>
  <c r="R59" i="6"/>
  <c r="K60" i="6"/>
  <c r="Y59" i="6"/>
  <c r="H59" i="6"/>
  <c r="V58" i="6"/>
  <c r="B60" i="6"/>
  <c r="P59" i="6"/>
  <c r="J60" i="6"/>
  <c r="X59" i="6"/>
  <c r="F59" i="6"/>
  <c r="T58" i="6"/>
  <c r="C60" i="6"/>
  <c r="Q59" i="6"/>
  <c r="E59" i="6"/>
  <c r="S58" i="6"/>
  <c r="I60" i="6"/>
  <c r="W59" i="6"/>
  <c r="G60" i="6"/>
  <c r="U59" i="6"/>
  <c r="I61" i="6" l="1"/>
  <c r="W60" i="6"/>
  <c r="C61" i="6"/>
  <c r="Q60" i="6"/>
  <c r="J61" i="6"/>
  <c r="X60" i="6"/>
  <c r="H60" i="6"/>
  <c r="V59" i="6"/>
  <c r="D61" i="6"/>
  <c r="R60" i="6"/>
  <c r="G61" i="6"/>
  <c r="U60" i="6"/>
  <c r="E60" i="6"/>
  <c r="S59" i="6"/>
  <c r="F60" i="6"/>
  <c r="T59" i="6"/>
  <c r="B61" i="6"/>
  <c r="P60" i="6"/>
  <c r="K61" i="6"/>
  <c r="Y60" i="6"/>
  <c r="L61" i="6"/>
  <c r="Z60" i="6"/>
  <c r="K62" i="6" l="1"/>
  <c r="Y61" i="6"/>
  <c r="F61" i="6"/>
  <c r="T60" i="6"/>
  <c r="G62" i="6"/>
  <c r="U61" i="6"/>
  <c r="H61" i="6"/>
  <c r="V60" i="6"/>
  <c r="C62" i="6"/>
  <c r="Q61" i="6"/>
  <c r="L62" i="6"/>
  <c r="Z61" i="6"/>
  <c r="B62" i="6"/>
  <c r="P61" i="6"/>
  <c r="E61" i="6"/>
  <c r="S60" i="6"/>
  <c r="D62" i="6"/>
  <c r="R61" i="6"/>
  <c r="J62" i="6"/>
  <c r="X61" i="6"/>
  <c r="I62" i="6"/>
  <c r="W61" i="6"/>
  <c r="J63" i="6" l="1"/>
  <c r="X62" i="6"/>
  <c r="E62" i="6"/>
  <c r="S61" i="6"/>
  <c r="L63" i="6"/>
  <c r="Z62" i="6"/>
  <c r="H62" i="6"/>
  <c r="V61" i="6"/>
  <c r="F62" i="6"/>
  <c r="T61" i="6"/>
  <c r="I63" i="6"/>
  <c r="W62" i="6"/>
  <c r="D63" i="6"/>
  <c r="R62" i="6"/>
  <c r="B63" i="6"/>
  <c r="P62" i="6"/>
  <c r="C63" i="6"/>
  <c r="Q62" i="6"/>
  <c r="G63" i="6"/>
  <c r="U62" i="6"/>
  <c r="K63" i="6"/>
  <c r="Y62" i="6"/>
  <c r="K64" i="6" l="1"/>
  <c r="Y63" i="6"/>
  <c r="G64" i="6"/>
  <c r="U63" i="6"/>
  <c r="B64" i="6"/>
  <c r="P63" i="6"/>
  <c r="I64" i="6"/>
  <c r="W63" i="6"/>
  <c r="H63" i="6"/>
  <c r="V62" i="6"/>
  <c r="E63" i="6"/>
  <c r="S62" i="6"/>
  <c r="C64" i="6"/>
  <c r="Q63" i="6"/>
  <c r="D64" i="6"/>
  <c r="R63" i="6"/>
  <c r="F63" i="6"/>
  <c r="T62" i="6"/>
  <c r="L64" i="6"/>
  <c r="Z63" i="6"/>
  <c r="J64" i="6"/>
  <c r="X63" i="6"/>
  <c r="L65" i="6" l="1"/>
  <c r="Z64" i="6"/>
  <c r="D65" i="6"/>
  <c r="R64" i="6"/>
  <c r="E64" i="6"/>
  <c r="S63" i="6"/>
  <c r="I65" i="6"/>
  <c r="W64" i="6"/>
  <c r="G65" i="6"/>
  <c r="U64" i="6"/>
  <c r="J65" i="6"/>
  <c r="X64" i="6"/>
  <c r="F64" i="6"/>
  <c r="T63" i="6"/>
  <c r="C65" i="6"/>
  <c r="Q64" i="6"/>
  <c r="H64" i="6"/>
  <c r="V63" i="6"/>
  <c r="B65" i="6"/>
  <c r="P64" i="6"/>
  <c r="K65" i="6"/>
  <c r="Y64" i="6"/>
  <c r="K66" i="6" l="1"/>
  <c r="Y65" i="6"/>
  <c r="B66" i="6"/>
  <c r="P65" i="6"/>
  <c r="C66" i="6"/>
  <c r="Q65" i="6"/>
  <c r="J66" i="6"/>
  <c r="X65" i="6"/>
  <c r="I66" i="6"/>
  <c r="W65" i="6"/>
  <c r="D66" i="6"/>
  <c r="R65" i="6"/>
  <c r="H65" i="6"/>
  <c r="V64" i="6"/>
  <c r="F65" i="6"/>
  <c r="T64" i="6"/>
  <c r="G66" i="6"/>
  <c r="U65" i="6"/>
  <c r="E65" i="6"/>
  <c r="S64" i="6"/>
  <c r="L66" i="6"/>
  <c r="Z65" i="6"/>
  <c r="D67" i="6" l="1"/>
  <c r="R66" i="6"/>
  <c r="J67" i="6"/>
  <c r="X66" i="6"/>
  <c r="E66" i="6"/>
  <c r="S65" i="6"/>
  <c r="F66" i="6"/>
  <c r="T65" i="6"/>
  <c r="B67" i="6"/>
  <c r="P66" i="6"/>
  <c r="L67" i="6"/>
  <c r="Z66" i="6"/>
  <c r="G67" i="6"/>
  <c r="U66" i="6"/>
  <c r="H66" i="6"/>
  <c r="V65" i="6"/>
  <c r="I67" i="6"/>
  <c r="W66" i="6"/>
  <c r="C67" i="6"/>
  <c r="Q66" i="6"/>
  <c r="K67" i="6"/>
  <c r="Y66" i="6"/>
  <c r="C68" i="6" l="1"/>
  <c r="Q67" i="6"/>
  <c r="H67" i="6"/>
  <c r="V66" i="6"/>
  <c r="L68" i="6"/>
  <c r="Z67" i="6"/>
  <c r="J68" i="6"/>
  <c r="X67" i="6"/>
  <c r="F67" i="6"/>
  <c r="T66" i="6"/>
  <c r="K68" i="6"/>
  <c r="Y67" i="6"/>
  <c r="I68" i="6"/>
  <c r="W67" i="6"/>
  <c r="G68" i="6"/>
  <c r="U67" i="6"/>
  <c r="B68" i="6"/>
  <c r="P67" i="6"/>
  <c r="E67" i="6"/>
  <c r="S66" i="6"/>
  <c r="D68" i="6"/>
  <c r="R67" i="6"/>
  <c r="E68" i="6" l="1"/>
  <c r="S67" i="6"/>
  <c r="J69" i="6"/>
  <c r="X68" i="6"/>
  <c r="H68" i="6"/>
  <c r="V67" i="6"/>
  <c r="K69" i="6"/>
  <c r="Y68" i="6"/>
  <c r="G69" i="6"/>
  <c r="U68" i="6"/>
  <c r="D69" i="6"/>
  <c r="R68" i="6"/>
  <c r="B69" i="6"/>
  <c r="P68" i="6"/>
  <c r="I69" i="6"/>
  <c r="W68" i="6"/>
  <c r="F68" i="6"/>
  <c r="T67" i="6"/>
  <c r="L69" i="6"/>
  <c r="Z68" i="6"/>
  <c r="C69" i="6"/>
  <c r="Q68" i="6"/>
  <c r="L70" i="6" l="1"/>
  <c r="Z69" i="6"/>
  <c r="K70" i="6"/>
  <c r="Y69" i="6"/>
  <c r="I70" i="6"/>
  <c r="W69" i="6"/>
  <c r="D70" i="6"/>
  <c r="R69" i="6"/>
  <c r="J70" i="6"/>
  <c r="X69" i="6"/>
  <c r="C70" i="6"/>
  <c r="Q69" i="6"/>
  <c r="F69" i="6"/>
  <c r="T68" i="6"/>
  <c r="B70" i="6"/>
  <c r="P69" i="6"/>
  <c r="G70" i="6"/>
  <c r="U69" i="6"/>
  <c r="H69" i="6"/>
  <c r="V68" i="6"/>
  <c r="E69" i="6"/>
  <c r="S68" i="6"/>
  <c r="B71" i="6" l="1"/>
  <c r="P70" i="6"/>
  <c r="C71" i="6"/>
  <c r="Q70" i="6"/>
  <c r="D71" i="6"/>
  <c r="R70" i="6"/>
  <c r="K71" i="6"/>
  <c r="Y70" i="6"/>
  <c r="H70" i="6"/>
  <c r="V69" i="6"/>
  <c r="E70" i="6"/>
  <c r="S69" i="6"/>
  <c r="G71" i="6"/>
  <c r="U70" i="6"/>
  <c r="F70" i="6"/>
  <c r="T69" i="6"/>
  <c r="J71" i="6"/>
  <c r="X70" i="6"/>
  <c r="I71" i="6"/>
  <c r="W70" i="6"/>
  <c r="L71" i="6"/>
  <c r="Z70" i="6"/>
  <c r="F71" i="6" l="1"/>
  <c r="T70" i="6"/>
  <c r="C72" i="6"/>
  <c r="Q71" i="6"/>
  <c r="I72" i="6"/>
  <c r="W71" i="6"/>
  <c r="E71" i="6"/>
  <c r="S70" i="6"/>
  <c r="K72" i="6"/>
  <c r="Y71" i="6"/>
  <c r="L72" i="6"/>
  <c r="Z71" i="6"/>
  <c r="J72" i="6"/>
  <c r="X71" i="6"/>
  <c r="G72" i="6"/>
  <c r="U71" i="6"/>
  <c r="H71" i="6"/>
  <c r="V70" i="6"/>
  <c r="D72" i="6"/>
  <c r="R71" i="6"/>
  <c r="B72" i="6"/>
  <c r="P71" i="6"/>
  <c r="D73" i="6" l="1"/>
  <c r="R72" i="6"/>
  <c r="G73" i="6"/>
  <c r="U72" i="6"/>
  <c r="L73" i="6"/>
  <c r="Z72" i="6"/>
  <c r="E72" i="6"/>
  <c r="S71" i="6"/>
  <c r="C73" i="6"/>
  <c r="Q72" i="6"/>
  <c r="B73" i="6"/>
  <c r="P72" i="6"/>
  <c r="H72" i="6"/>
  <c r="V71" i="6"/>
  <c r="J73" i="6"/>
  <c r="X72" i="6"/>
  <c r="K73" i="6"/>
  <c r="Y72" i="6"/>
  <c r="I73" i="6"/>
  <c r="W72" i="6"/>
  <c r="F72" i="6"/>
  <c r="T71" i="6"/>
  <c r="I74" i="6" l="1"/>
  <c r="W73" i="6"/>
  <c r="J74" i="6"/>
  <c r="X73" i="6"/>
  <c r="B74" i="6"/>
  <c r="P73" i="6"/>
  <c r="E73" i="6"/>
  <c r="S72" i="6"/>
  <c r="G74" i="6"/>
  <c r="U73" i="6"/>
  <c r="F73" i="6"/>
  <c r="T72" i="6"/>
  <c r="K74" i="6"/>
  <c r="Y73" i="6"/>
  <c r="H73" i="6"/>
  <c r="V72" i="6"/>
  <c r="C74" i="6"/>
  <c r="Q73" i="6"/>
  <c r="L74" i="6"/>
  <c r="Z73" i="6"/>
  <c r="D74" i="6"/>
  <c r="R73" i="6"/>
  <c r="L75" i="6" l="1"/>
  <c r="Z74" i="6"/>
  <c r="H74" i="6"/>
  <c r="V73" i="6"/>
  <c r="F74" i="6"/>
  <c r="T73" i="6"/>
  <c r="E74" i="6"/>
  <c r="S73" i="6"/>
  <c r="J75" i="6"/>
  <c r="X74" i="6"/>
  <c r="D75" i="6"/>
  <c r="R74" i="6"/>
  <c r="C75" i="6"/>
  <c r="Q74" i="6"/>
  <c r="K75" i="6"/>
  <c r="Y74" i="6"/>
  <c r="G75" i="6"/>
  <c r="U74" i="6"/>
  <c r="B75" i="6"/>
  <c r="P74" i="6"/>
  <c r="I75" i="6"/>
  <c r="W74" i="6"/>
  <c r="B76" i="6" l="1"/>
  <c r="P75" i="6"/>
  <c r="K76" i="6"/>
  <c r="Y75" i="6"/>
  <c r="D76" i="6"/>
  <c r="R75" i="6"/>
  <c r="E75" i="6"/>
  <c r="S74" i="6"/>
  <c r="H75" i="6"/>
  <c r="V74" i="6"/>
  <c r="I76" i="6"/>
  <c r="W75" i="6"/>
  <c r="G76" i="6"/>
  <c r="U75" i="6"/>
  <c r="C76" i="6"/>
  <c r="Q75" i="6"/>
  <c r="J76" i="6"/>
  <c r="X75" i="6"/>
  <c r="F75" i="6"/>
  <c r="T74" i="6"/>
  <c r="L76" i="6"/>
  <c r="Z75" i="6"/>
  <c r="F76" i="6" l="1"/>
  <c r="T75" i="6"/>
  <c r="C77" i="6"/>
  <c r="Q76" i="6"/>
  <c r="I77" i="6"/>
  <c r="W76" i="6"/>
  <c r="E76" i="6"/>
  <c r="S75" i="6"/>
  <c r="K77" i="6"/>
  <c r="Y76" i="6"/>
  <c r="L77" i="6"/>
  <c r="Z76" i="6"/>
  <c r="J77" i="6"/>
  <c r="X76" i="6"/>
  <c r="G77" i="6"/>
  <c r="U76" i="6"/>
  <c r="H76" i="6"/>
  <c r="V75" i="6"/>
  <c r="D77" i="6"/>
  <c r="R76" i="6"/>
  <c r="B77" i="6"/>
  <c r="P76" i="6"/>
  <c r="D78" i="6" l="1"/>
  <c r="R77" i="6"/>
  <c r="G78" i="6"/>
  <c r="U77" i="6"/>
  <c r="L78" i="6"/>
  <c r="Z77" i="6"/>
  <c r="E77" i="6"/>
  <c r="S76" i="6"/>
  <c r="C78" i="6"/>
  <c r="Q77" i="6"/>
  <c r="B78" i="6"/>
  <c r="P77" i="6"/>
  <c r="H77" i="6"/>
  <c r="V76" i="6"/>
  <c r="J78" i="6"/>
  <c r="X77" i="6"/>
  <c r="K78" i="6"/>
  <c r="Y77" i="6"/>
  <c r="I78" i="6"/>
  <c r="W77" i="6"/>
  <c r="F77" i="6"/>
  <c r="T76" i="6"/>
  <c r="F78" i="6" l="1"/>
  <c r="T77" i="6"/>
  <c r="I79" i="6"/>
  <c r="W78" i="6"/>
  <c r="J79" i="6"/>
  <c r="X78" i="6"/>
  <c r="B79" i="6"/>
  <c r="P78" i="6"/>
  <c r="E78" i="6"/>
  <c r="S77" i="6"/>
  <c r="G79" i="6"/>
  <c r="U78" i="6"/>
  <c r="K79" i="6"/>
  <c r="Y78" i="6"/>
  <c r="H78" i="6"/>
  <c r="V77" i="6"/>
  <c r="C79" i="6"/>
  <c r="Q78" i="6"/>
  <c r="L79" i="6"/>
  <c r="Z78" i="6"/>
  <c r="D79" i="6"/>
  <c r="R78" i="6"/>
  <c r="L80" i="6" l="1"/>
  <c r="Z79" i="6"/>
  <c r="H79" i="6"/>
  <c r="V78" i="6"/>
  <c r="G80" i="6"/>
  <c r="U79" i="6"/>
  <c r="B80" i="6"/>
  <c r="P79" i="6"/>
  <c r="I80" i="6"/>
  <c r="W79" i="6"/>
  <c r="D80" i="6"/>
  <c r="R79" i="6"/>
  <c r="C80" i="6"/>
  <c r="Q79" i="6"/>
  <c r="K80" i="6"/>
  <c r="Y79" i="6"/>
  <c r="E79" i="6"/>
  <c r="S78" i="6"/>
  <c r="J80" i="6"/>
  <c r="X79" i="6"/>
  <c r="F79" i="6"/>
  <c r="T78" i="6"/>
  <c r="F80" i="6" l="1"/>
  <c r="T79" i="6"/>
  <c r="J81" i="6"/>
  <c r="X80" i="6"/>
  <c r="K81" i="6"/>
  <c r="Y80" i="6"/>
  <c r="D81" i="6"/>
  <c r="R80" i="6"/>
  <c r="B81" i="6"/>
  <c r="P80" i="6"/>
  <c r="H80" i="6"/>
  <c r="V79" i="6"/>
  <c r="E80" i="6"/>
  <c r="S79" i="6"/>
  <c r="C81" i="6"/>
  <c r="Q80" i="6"/>
  <c r="I81" i="6"/>
  <c r="W80" i="6"/>
  <c r="G81" i="6"/>
  <c r="U80" i="6"/>
  <c r="L81" i="6"/>
  <c r="Z80" i="6"/>
  <c r="G82" i="6" l="1"/>
  <c r="U81" i="6"/>
  <c r="C82" i="6"/>
  <c r="Q81" i="6"/>
  <c r="H81" i="6"/>
  <c r="V80" i="6"/>
  <c r="D82" i="6"/>
  <c r="R81" i="6"/>
  <c r="J82" i="6"/>
  <c r="X81" i="6"/>
  <c r="L82" i="6"/>
  <c r="Z81" i="6"/>
  <c r="I82" i="6"/>
  <c r="W81" i="6"/>
  <c r="E81" i="6"/>
  <c r="S80" i="6"/>
  <c r="B82" i="6"/>
  <c r="P81" i="6"/>
  <c r="K82" i="6"/>
  <c r="Y81" i="6"/>
  <c r="F81" i="6"/>
  <c r="T80" i="6"/>
  <c r="K83" i="6" l="1"/>
  <c r="Y82" i="6"/>
  <c r="E82" i="6"/>
  <c r="S81" i="6"/>
  <c r="L83" i="6"/>
  <c r="Z82" i="6"/>
  <c r="D83" i="6"/>
  <c r="R82" i="6"/>
  <c r="C83" i="6"/>
  <c r="Q82" i="6"/>
  <c r="F82" i="6"/>
  <c r="T81" i="6"/>
  <c r="B83" i="6"/>
  <c r="P82" i="6"/>
  <c r="I83" i="6"/>
  <c r="W82" i="6"/>
  <c r="J83" i="6"/>
  <c r="X82" i="6"/>
  <c r="H82" i="6"/>
  <c r="V81" i="6"/>
  <c r="G83" i="6"/>
  <c r="U82" i="6"/>
  <c r="H83" i="6" l="1"/>
  <c r="V82" i="6"/>
  <c r="I84" i="6"/>
  <c r="W83" i="6"/>
  <c r="F83" i="6"/>
  <c r="T82" i="6"/>
  <c r="D84" i="6"/>
  <c r="R83" i="6"/>
  <c r="E83" i="6"/>
  <c r="S82" i="6"/>
  <c r="G84" i="6"/>
  <c r="U83" i="6"/>
  <c r="J84" i="6"/>
  <c r="X83" i="6"/>
  <c r="B84" i="6"/>
  <c r="P83" i="6"/>
  <c r="C84" i="6"/>
  <c r="Q83" i="6"/>
  <c r="L84" i="6"/>
  <c r="Z83" i="6"/>
  <c r="K84" i="6"/>
  <c r="Y83" i="6"/>
  <c r="L85" i="6" l="1"/>
  <c r="Z84" i="6"/>
  <c r="B85" i="6"/>
  <c r="P84" i="6"/>
  <c r="G85" i="6"/>
  <c r="U84" i="6"/>
  <c r="D85" i="6"/>
  <c r="R84" i="6"/>
  <c r="I85" i="6"/>
  <c r="W84" i="6"/>
  <c r="K85" i="6"/>
  <c r="Y84" i="6"/>
  <c r="C85" i="6"/>
  <c r="Q84" i="6"/>
  <c r="J85" i="6"/>
  <c r="X84" i="6"/>
  <c r="E84" i="6"/>
  <c r="S83" i="6"/>
  <c r="F84" i="6"/>
  <c r="T83" i="6"/>
  <c r="H84" i="6"/>
  <c r="V83" i="6"/>
  <c r="F85" i="6" l="1"/>
  <c r="T84" i="6"/>
  <c r="J86" i="6"/>
  <c r="X85" i="6"/>
  <c r="K86" i="6"/>
  <c r="Y85" i="6"/>
  <c r="D86" i="6"/>
  <c r="R85" i="6"/>
  <c r="B86" i="6"/>
  <c r="P85" i="6"/>
  <c r="H85" i="6"/>
  <c r="V84" i="6"/>
  <c r="E85" i="6"/>
  <c r="S84" i="6"/>
  <c r="C86" i="6"/>
  <c r="Q85" i="6"/>
  <c r="I86" i="6"/>
  <c r="W85" i="6"/>
  <c r="G86" i="6"/>
  <c r="U85" i="6"/>
  <c r="L86" i="6"/>
  <c r="Z85" i="6"/>
  <c r="G87" i="6" l="1"/>
  <c r="U86" i="6"/>
  <c r="C87" i="6"/>
  <c r="Q86" i="6"/>
  <c r="H86" i="6"/>
  <c r="V85" i="6"/>
  <c r="D87" i="6"/>
  <c r="R86" i="6"/>
  <c r="J87" i="6"/>
  <c r="X86" i="6"/>
  <c r="L87" i="6"/>
  <c r="Z86" i="6"/>
  <c r="I87" i="6"/>
  <c r="W86" i="6"/>
  <c r="E86" i="6"/>
  <c r="S85" i="6"/>
  <c r="B87" i="6"/>
  <c r="P86" i="6"/>
  <c r="K87" i="6"/>
  <c r="Y86" i="6"/>
  <c r="F86" i="6"/>
  <c r="T85" i="6"/>
  <c r="K88" i="6" l="1"/>
  <c r="Y87" i="6"/>
  <c r="E87" i="6"/>
  <c r="S86" i="6"/>
  <c r="L88" i="6"/>
  <c r="Z87" i="6"/>
  <c r="D88" i="6"/>
  <c r="R87" i="6"/>
  <c r="C88" i="6"/>
  <c r="Q87" i="6"/>
  <c r="F87" i="6"/>
  <c r="T86" i="6"/>
  <c r="B88" i="6"/>
  <c r="P87" i="6"/>
  <c r="I88" i="6"/>
  <c r="W87" i="6"/>
  <c r="J88" i="6"/>
  <c r="X87" i="6"/>
  <c r="H87" i="6"/>
  <c r="V86" i="6"/>
  <c r="G88" i="6"/>
  <c r="U87" i="6"/>
  <c r="H88" i="6" l="1"/>
  <c r="V87" i="6"/>
  <c r="I89" i="6"/>
  <c r="W88" i="6"/>
  <c r="F88" i="6"/>
  <c r="T87" i="6"/>
  <c r="D89" i="6"/>
  <c r="R88" i="6"/>
  <c r="E88" i="6"/>
  <c r="S87" i="6"/>
  <c r="G89" i="6"/>
  <c r="U88" i="6"/>
  <c r="J89" i="6"/>
  <c r="X88" i="6"/>
  <c r="B89" i="6"/>
  <c r="P88" i="6"/>
  <c r="C89" i="6"/>
  <c r="Q88" i="6"/>
  <c r="L89" i="6"/>
  <c r="Z88" i="6"/>
  <c r="K89" i="6"/>
  <c r="Y88" i="6"/>
  <c r="B90" i="6" l="1"/>
  <c r="P89" i="6"/>
  <c r="G90" i="6"/>
  <c r="U89" i="6"/>
  <c r="D90" i="6"/>
  <c r="R89" i="6"/>
  <c r="I90" i="6"/>
  <c r="W89" i="6"/>
  <c r="L90" i="6"/>
  <c r="Z89" i="6"/>
  <c r="K90" i="6"/>
  <c r="Y89" i="6"/>
  <c r="C90" i="6"/>
  <c r="Q89" i="6"/>
  <c r="J90" i="6"/>
  <c r="X89" i="6"/>
  <c r="E89" i="6"/>
  <c r="S88" i="6"/>
  <c r="F89" i="6"/>
  <c r="T88" i="6"/>
  <c r="H89" i="6"/>
  <c r="V88" i="6"/>
  <c r="F90" i="6" l="1"/>
  <c r="T89" i="6"/>
  <c r="J91" i="6"/>
  <c r="X90" i="6"/>
  <c r="K91" i="6"/>
  <c r="Y90" i="6"/>
  <c r="I91" i="6"/>
  <c r="W90" i="6"/>
  <c r="G91" i="6"/>
  <c r="U90" i="6"/>
  <c r="H90" i="6"/>
  <c r="V89" i="6"/>
  <c r="E90" i="6"/>
  <c r="S89" i="6"/>
  <c r="C91" i="6"/>
  <c r="Q90" i="6"/>
  <c r="L91" i="6"/>
  <c r="Z90" i="6"/>
  <c r="D91" i="6"/>
  <c r="R90" i="6"/>
  <c r="B91" i="6"/>
  <c r="P90" i="6"/>
  <c r="D92" i="6" l="1"/>
  <c r="R91" i="6"/>
  <c r="C92" i="6"/>
  <c r="Q91" i="6"/>
  <c r="H91" i="6"/>
  <c r="V90" i="6"/>
  <c r="I92" i="6"/>
  <c r="W91" i="6"/>
  <c r="J92" i="6"/>
  <c r="X91" i="6"/>
  <c r="B92" i="6"/>
  <c r="P91" i="6"/>
  <c r="L92" i="6"/>
  <c r="Z91" i="6"/>
  <c r="E91" i="6"/>
  <c r="S90" i="6"/>
  <c r="G92" i="6"/>
  <c r="U91" i="6"/>
  <c r="K92" i="6"/>
  <c r="Y91" i="6"/>
  <c r="F91" i="6"/>
  <c r="T90" i="6"/>
  <c r="K93" i="6" l="1"/>
  <c r="Y92" i="6"/>
  <c r="E92" i="6"/>
  <c r="S91" i="6"/>
  <c r="B93" i="6"/>
  <c r="P92" i="6"/>
  <c r="I93" i="6"/>
  <c r="W92" i="6"/>
  <c r="C93" i="6"/>
  <c r="Q92" i="6"/>
  <c r="F92" i="6"/>
  <c r="T91" i="6"/>
  <c r="G93" i="6"/>
  <c r="U92" i="6"/>
  <c r="L93" i="6"/>
  <c r="Z92" i="6"/>
  <c r="J93" i="6"/>
  <c r="X92" i="6"/>
  <c r="H92" i="6"/>
  <c r="V91" i="6"/>
  <c r="D93" i="6"/>
  <c r="R92" i="6"/>
  <c r="H93" i="6" l="1"/>
  <c r="V92" i="6"/>
  <c r="L94" i="6"/>
  <c r="Z93" i="6"/>
  <c r="F93" i="6"/>
  <c r="T92" i="6"/>
  <c r="I94" i="6"/>
  <c r="W93" i="6"/>
  <c r="E93" i="6"/>
  <c r="S92" i="6"/>
  <c r="D94" i="6"/>
  <c r="R93" i="6"/>
  <c r="J94" i="6"/>
  <c r="X93" i="6"/>
  <c r="G94" i="6"/>
  <c r="U93" i="6"/>
  <c r="C94" i="6"/>
  <c r="Q93" i="6"/>
  <c r="B94" i="6"/>
  <c r="P93" i="6"/>
  <c r="K94" i="6"/>
  <c r="Y93" i="6"/>
  <c r="B95" i="6" l="1"/>
  <c r="P94" i="6"/>
  <c r="G95" i="6"/>
  <c r="U94" i="6"/>
  <c r="D95" i="6"/>
  <c r="R94" i="6"/>
  <c r="I95" i="6"/>
  <c r="W94" i="6"/>
  <c r="L95" i="6"/>
  <c r="Z94" i="6"/>
  <c r="K95" i="6"/>
  <c r="Y94" i="6"/>
  <c r="C95" i="6"/>
  <c r="Q94" i="6"/>
  <c r="J95" i="6"/>
  <c r="X94" i="6"/>
  <c r="E94" i="6"/>
  <c r="S93" i="6"/>
  <c r="F94" i="6"/>
  <c r="T93" i="6"/>
  <c r="H94" i="6"/>
  <c r="V93" i="6"/>
  <c r="H95" i="6" l="1"/>
  <c r="V94" i="6"/>
  <c r="F95" i="6"/>
  <c r="T94" i="6"/>
  <c r="J96" i="6"/>
  <c r="X95" i="6"/>
  <c r="K96" i="6"/>
  <c r="Y95" i="6"/>
  <c r="I96" i="6"/>
  <c r="W95" i="6"/>
  <c r="G96" i="6"/>
  <c r="U95" i="6"/>
  <c r="E95" i="6"/>
  <c r="S94" i="6"/>
  <c r="C96" i="6"/>
  <c r="Q95" i="6"/>
  <c r="L96" i="6"/>
  <c r="Z95" i="6"/>
  <c r="D96" i="6"/>
  <c r="R95" i="6"/>
  <c r="B96" i="6"/>
  <c r="P95" i="6"/>
  <c r="B97" i="6" l="1"/>
  <c r="P96" i="6"/>
  <c r="D97" i="6"/>
  <c r="R96" i="6"/>
  <c r="C97" i="6"/>
  <c r="Q96" i="6"/>
  <c r="G97" i="6"/>
  <c r="U96" i="6"/>
  <c r="K97" i="6"/>
  <c r="Y96" i="6"/>
  <c r="F96" i="6"/>
  <c r="T95" i="6"/>
  <c r="L97" i="6"/>
  <c r="Z96" i="6"/>
  <c r="E96" i="6"/>
  <c r="S95" i="6"/>
  <c r="I97" i="6"/>
  <c r="W96" i="6"/>
  <c r="J97" i="6"/>
  <c r="X96" i="6"/>
  <c r="H96" i="6"/>
  <c r="V95" i="6"/>
  <c r="H97" i="6" l="1"/>
  <c r="V96" i="6"/>
  <c r="J98" i="6"/>
  <c r="X97" i="6"/>
  <c r="E97" i="6"/>
  <c r="S96" i="6"/>
  <c r="F97" i="6"/>
  <c r="T96" i="6"/>
  <c r="G98" i="6"/>
  <c r="U97" i="6"/>
  <c r="D98" i="6"/>
  <c r="R97" i="6"/>
  <c r="I98" i="6"/>
  <c r="W97" i="6"/>
  <c r="L98" i="6"/>
  <c r="Z97" i="6"/>
  <c r="K98" i="6"/>
  <c r="Y97" i="6"/>
  <c r="C98" i="6"/>
  <c r="Q97" i="6"/>
  <c r="B98" i="6"/>
  <c r="P97" i="6"/>
  <c r="C99" i="6" l="1"/>
  <c r="Q98" i="6"/>
  <c r="L99" i="6"/>
  <c r="Z98" i="6"/>
  <c r="D99" i="6"/>
  <c r="R98" i="6"/>
  <c r="F98" i="6"/>
  <c r="T97" i="6"/>
  <c r="J99" i="6"/>
  <c r="X98" i="6"/>
  <c r="B99" i="6"/>
  <c r="P98" i="6"/>
  <c r="K99" i="6"/>
  <c r="Y98" i="6"/>
  <c r="I99" i="6"/>
  <c r="W98" i="6"/>
  <c r="G99" i="6"/>
  <c r="U98" i="6"/>
  <c r="E98" i="6"/>
  <c r="S97" i="6"/>
  <c r="H98" i="6"/>
  <c r="V97" i="6"/>
  <c r="E99" i="6" l="1"/>
  <c r="S98" i="6"/>
  <c r="I100" i="6"/>
  <c r="W99" i="6"/>
  <c r="B100" i="6"/>
  <c r="P99" i="6"/>
  <c r="F99" i="6"/>
  <c r="T98" i="6"/>
  <c r="L100" i="6"/>
  <c r="Z99" i="6"/>
  <c r="H99" i="6"/>
  <c r="V98" i="6"/>
  <c r="G100" i="6"/>
  <c r="U99" i="6"/>
  <c r="K100" i="6"/>
  <c r="Y99" i="6"/>
  <c r="J100" i="6"/>
  <c r="X99" i="6"/>
  <c r="D100" i="6"/>
  <c r="R99" i="6"/>
  <c r="C100" i="6"/>
  <c r="Q99" i="6"/>
  <c r="D101" i="6" l="1"/>
  <c r="R100" i="6"/>
  <c r="K101" i="6"/>
  <c r="Y100" i="6"/>
  <c r="H100" i="6"/>
  <c r="V99" i="6"/>
  <c r="F100" i="6"/>
  <c r="T99" i="6"/>
  <c r="I101" i="6"/>
  <c r="W100" i="6"/>
  <c r="C101" i="6"/>
  <c r="Q100" i="6"/>
  <c r="J101" i="6"/>
  <c r="X100" i="6"/>
  <c r="G101" i="6"/>
  <c r="U100" i="6"/>
  <c r="L101" i="6"/>
  <c r="Z100" i="6"/>
  <c r="B101" i="6"/>
  <c r="P100" i="6"/>
  <c r="E100" i="6"/>
  <c r="S99" i="6"/>
  <c r="E101" i="6" l="1"/>
  <c r="S100" i="6"/>
  <c r="J102" i="6"/>
  <c r="X101" i="6"/>
  <c r="D102" i="6"/>
  <c r="R101" i="6"/>
  <c r="L102" i="6"/>
  <c r="Z101" i="6"/>
  <c r="I102" i="6"/>
  <c r="W101" i="6"/>
  <c r="H101" i="6"/>
  <c r="V100" i="6"/>
  <c r="B102" i="6"/>
  <c r="P101" i="6"/>
  <c r="G102" i="6"/>
  <c r="U101" i="6"/>
  <c r="C102" i="6"/>
  <c r="Q101" i="6"/>
  <c r="F101" i="6"/>
  <c r="T100" i="6"/>
  <c r="K102" i="6"/>
  <c r="Y101" i="6"/>
  <c r="K103" i="6" l="1"/>
  <c r="Y102" i="6"/>
  <c r="F102" i="6"/>
  <c r="T101" i="6"/>
  <c r="G103" i="6"/>
  <c r="U102" i="6"/>
  <c r="H102" i="6"/>
  <c r="V101" i="6"/>
  <c r="L103" i="6"/>
  <c r="Z102" i="6"/>
  <c r="J103" i="6"/>
  <c r="X102" i="6"/>
  <c r="C103" i="6"/>
  <c r="Q102" i="6"/>
  <c r="B103" i="6"/>
  <c r="P102" i="6"/>
  <c r="I103" i="6"/>
  <c r="W102" i="6"/>
  <c r="D103" i="6"/>
  <c r="R102" i="6"/>
  <c r="E102" i="6"/>
  <c r="S101" i="6"/>
  <c r="E103" i="6" l="1"/>
  <c r="S102" i="6"/>
  <c r="D104" i="6"/>
  <c r="R103" i="6"/>
  <c r="B104" i="6"/>
  <c r="P103" i="6"/>
  <c r="J104" i="6"/>
  <c r="X103" i="6"/>
  <c r="H103" i="6"/>
  <c r="V102" i="6"/>
  <c r="F103" i="6"/>
  <c r="T102" i="6"/>
  <c r="I104" i="6"/>
  <c r="W103" i="6"/>
  <c r="C104" i="6"/>
  <c r="Q103" i="6"/>
  <c r="L104" i="6"/>
  <c r="Z103" i="6"/>
  <c r="G104" i="6"/>
  <c r="U103" i="6"/>
  <c r="K104" i="6"/>
  <c r="Y103" i="6"/>
  <c r="G105" i="6" l="1"/>
  <c r="U104" i="6"/>
  <c r="C105" i="6"/>
  <c r="Q104" i="6"/>
  <c r="F104" i="6"/>
  <c r="T103" i="6"/>
  <c r="J105" i="6"/>
  <c r="X104" i="6"/>
  <c r="D105" i="6"/>
  <c r="R104" i="6"/>
  <c r="K105" i="6"/>
  <c r="Y104" i="6"/>
  <c r="L105" i="6"/>
  <c r="Z104" i="6"/>
  <c r="I105" i="6"/>
  <c r="W104" i="6"/>
  <c r="H104" i="6"/>
  <c r="V103" i="6"/>
  <c r="B105" i="6"/>
  <c r="P104" i="6"/>
  <c r="E104" i="6"/>
  <c r="S103" i="6"/>
  <c r="E105" i="6" l="1"/>
  <c r="S104" i="6"/>
  <c r="B106" i="6"/>
  <c r="P105" i="6"/>
  <c r="I106" i="6"/>
  <c r="W105" i="6"/>
  <c r="K106" i="6"/>
  <c r="Y105" i="6"/>
  <c r="J106" i="6"/>
  <c r="X105" i="6"/>
  <c r="C106" i="6"/>
  <c r="Q105" i="6"/>
  <c r="H105" i="6"/>
  <c r="V104" i="6"/>
  <c r="L106" i="6"/>
  <c r="Z105" i="6"/>
  <c r="D106" i="6"/>
  <c r="R105" i="6"/>
  <c r="F105" i="6"/>
  <c r="T104" i="6"/>
  <c r="G106" i="6"/>
  <c r="U105" i="6"/>
  <c r="F106" i="6" l="1"/>
  <c r="T105" i="6"/>
  <c r="L107" i="6"/>
  <c r="Z106" i="6"/>
  <c r="C107" i="6"/>
  <c r="Q106" i="6"/>
  <c r="K107" i="6"/>
  <c r="Y106" i="6"/>
  <c r="B107" i="6"/>
  <c r="P106" i="6"/>
  <c r="G107" i="6"/>
  <c r="U106" i="6"/>
  <c r="D107" i="6"/>
  <c r="R106" i="6"/>
  <c r="H106" i="6"/>
  <c r="V105" i="6"/>
  <c r="J107" i="6"/>
  <c r="X106" i="6"/>
  <c r="I107" i="6"/>
  <c r="W106" i="6"/>
  <c r="E106" i="6"/>
  <c r="S105" i="6"/>
  <c r="I108" i="6" l="1"/>
  <c r="W107" i="6"/>
  <c r="H107" i="6"/>
  <c r="V106" i="6"/>
  <c r="G108" i="6"/>
  <c r="U107" i="6"/>
  <c r="K108" i="6"/>
  <c r="Y107" i="6"/>
  <c r="L108" i="6"/>
  <c r="Z107" i="6"/>
  <c r="E107" i="6"/>
  <c r="S106" i="6"/>
  <c r="J108" i="6"/>
  <c r="X107" i="6"/>
  <c r="D108" i="6"/>
  <c r="R107" i="6"/>
  <c r="B108" i="6"/>
  <c r="P107" i="6"/>
  <c r="C108" i="6"/>
  <c r="Q107" i="6"/>
  <c r="F107" i="6"/>
  <c r="T106" i="6"/>
  <c r="F108" i="6" l="1"/>
  <c r="T107" i="6"/>
  <c r="C109" i="6"/>
  <c r="Q108" i="6"/>
  <c r="D109" i="6"/>
  <c r="R108" i="6"/>
  <c r="E108" i="6"/>
  <c r="S107" i="6"/>
  <c r="K109" i="6"/>
  <c r="Y108" i="6"/>
  <c r="H108" i="6"/>
  <c r="V107" i="6"/>
  <c r="B109" i="6"/>
  <c r="P108" i="6"/>
  <c r="J109" i="6"/>
  <c r="X108" i="6"/>
  <c r="L109" i="6"/>
  <c r="Z108" i="6"/>
  <c r="G109" i="6"/>
  <c r="U108" i="6"/>
  <c r="I109" i="6"/>
  <c r="W108" i="6"/>
  <c r="I110" i="6" l="1"/>
  <c r="W109" i="6"/>
  <c r="G110" i="6"/>
  <c r="U109" i="6"/>
  <c r="J110" i="6"/>
  <c r="X109" i="6"/>
  <c r="H109" i="6"/>
  <c r="V108" i="6"/>
  <c r="E109" i="6"/>
  <c r="S108" i="6"/>
  <c r="C110" i="6"/>
  <c r="Q109" i="6"/>
  <c r="L110" i="6"/>
  <c r="Z109" i="6"/>
  <c r="B110" i="6"/>
  <c r="P109" i="6"/>
  <c r="K110" i="6"/>
  <c r="Y109" i="6"/>
  <c r="D110" i="6"/>
  <c r="R109" i="6"/>
  <c r="F109" i="6"/>
  <c r="T108" i="6"/>
  <c r="D111" i="6" l="1"/>
  <c r="R110" i="6"/>
  <c r="B111" i="6"/>
  <c r="P110" i="6"/>
  <c r="C111" i="6"/>
  <c r="Q110" i="6"/>
  <c r="H110" i="6"/>
  <c r="V109" i="6"/>
  <c r="G111" i="6"/>
  <c r="U110" i="6"/>
  <c r="F110" i="6"/>
  <c r="T109" i="6"/>
  <c r="K111" i="6"/>
  <c r="Y110" i="6"/>
  <c r="L111" i="6"/>
  <c r="Z110" i="6"/>
  <c r="E110" i="6"/>
  <c r="S109" i="6"/>
  <c r="J111" i="6"/>
  <c r="X110" i="6"/>
  <c r="I111" i="6"/>
  <c r="W110" i="6"/>
  <c r="J112" i="6" l="1"/>
  <c r="X111" i="6"/>
  <c r="L112" i="6"/>
  <c r="Z111" i="6"/>
  <c r="F111" i="6"/>
  <c r="T110" i="6"/>
  <c r="H111" i="6"/>
  <c r="V110" i="6"/>
  <c r="B112" i="6"/>
  <c r="P111" i="6"/>
  <c r="I112" i="6"/>
  <c r="W111" i="6"/>
  <c r="E111" i="6"/>
  <c r="S110" i="6"/>
  <c r="K112" i="6"/>
  <c r="Y111" i="6"/>
  <c r="G112" i="6"/>
  <c r="U111" i="6"/>
  <c r="C112" i="6"/>
  <c r="Q111" i="6"/>
  <c r="D112" i="6"/>
  <c r="R111" i="6"/>
  <c r="C113" i="6" l="1"/>
  <c r="Q112" i="6"/>
  <c r="K113" i="6"/>
  <c r="Y112" i="6"/>
  <c r="I113" i="6"/>
  <c r="W112" i="6"/>
  <c r="H112" i="6"/>
  <c r="V111" i="6"/>
  <c r="L113" i="6"/>
  <c r="Z112" i="6"/>
  <c r="D113" i="6"/>
  <c r="R112" i="6"/>
  <c r="G113" i="6"/>
  <c r="U112" i="6"/>
  <c r="E112" i="6"/>
  <c r="S111" i="6"/>
  <c r="B113" i="6"/>
  <c r="P112" i="6"/>
  <c r="F112" i="6"/>
  <c r="T111" i="6"/>
  <c r="J113" i="6"/>
  <c r="X112" i="6"/>
  <c r="J114" i="6" l="1"/>
  <c r="X113" i="6"/>
  <c r="L114" i="6"/>
  <c r="Z113" i="6"/>
  <c r="C114" i="6"/>
  <c r="Q113" i="6"/>
  <c r="B114" i="6"/>
  <c r="P113" i="6"/>
  <c r="G114" i="6"/>
  <c r="U113" i="6"/>
  <c r="I114" i="6"/>
  <c r="W113" i="6"/>
  <c r="F113" i="6"/>
  <c r="T112" i="6"/>
  <c r="E113" i="6"/>
  <c r="S112" i="6"/>
  <c r="D114" i="6"/>
  <c r="R113" i="6"/>
  <c r="H113" i="6"/>
  <c r="V112" i="6"/>
  <c r="K114" i="6"/>
  <c r="Y113" i="6"/>
  <c r="H114" i="6" l="1"/>
  <c r="V113" i="6"/>
  <c r="E114" i="6"/>
  <c r="S113" i="6"/>
  <c r="I115" i="6"/>
  <c r="W114" i="6"/>
  <c r="B115" i="6"/>
  <c r="P114" i="6"/>
  <c r="L115" i="6"/>
  <c r="Z114" i="6"/>
  <c r="K115" i="6"/>
  <c r="Y114" i="6"/>
  <c r="D115" i="6"/>
  <c r="R114" i="6"/>
  <c r="F114" i="6"/>
  <c r="T113" i="6"/>
  <c r="G115" i="6"/>
  <c r="U114" i="6"/>
  <c r="C115" i="6"/>
  <c r="Q114" i="6"/>
  <c r="J115" i="6"/>
  <c r="X114" i="6"/>
  <c r="J116" i="6" l="1"/>
  <c r="X115" i="6"/>
  <c r="I116" i="6"/>
  <c r="W115" i="6"/>
  <c r="G116" i="6"/>
  <c r="U115" i="6"/>
  <c r="L116" i="6"/>
  <c r="Z115" i="6"/>
  <c r="C116" i="6"/>
  <c r="Q115" i="6"/>
  <c r="F115" i="6"/>
  <c r="T114" i="6"/>
  <c r="K116" i="6"/>
  <c r="Y115" i="6"/>
  <c r="B116" i="6"/>
  <c r="P115" i="6"/>
  <c r="E115" i="6"/>
  <c r="S114" i="6"/>
  <c r="D116" i="6"/>
  <c r="R115" i="6"/>
  <c r="H115" i="6"/>
  <c r="V114" i="6"/>
  <c r="D117" i="6" l="1"/>
  <c r="R116" i="6"/>
  <c r="B117" i="6"/>
  <c r="P116" i="6"/>
  <c r="F116" i="6"/>
  <c r="T115" i="6"/>
  <c r="L117" i="6"/>
  <c r="Z116" i="6"/>
  <c r="I117" i="6"/>
  <c r="W116" i="6"/>
  <c r="H116" i="6"/>
  <c r="V115" i="6"/>
  <c r="E116" i="6"/>
  <c r="S115" i="6"/>
  <c r="K117" i="6"/>
  <c r="Y116" i="6"/>
  <c r="C117" i="6"/>
  <c r="Q116" i="6"/>
  <c r="G117" i="6"/>
  <c r="U116" i="6"/>
  <c r="J117" i="6"/>
  <c r="X116" i="6"/>
  <c r="G118" i="6" l="1"/>
  <c r="U117" i="6"/>
  <c r="K118" i="6"/>
  <c r="Y117" i="6"/>
  <c r="H117" i="6"/>
  <c r="V116" i="6"/>
  <c r="L118" i="6"/>
  <c r="Z117" i="6"/>
  <c r="B118" i="6"/>
  <c r="P117" i="6"/>
  <c r="J118" i="6"/>
  <c r="X117" i="6"/>
  <c r="C118" i="6"/>
  <c r="Q117" i="6"/>
  <c r="E117" i="6"/>
  <c r="S116" i="6"/>
  <c r="I118" i="6"/>
  <c r="W117" i="6"/>
  <c r="F117" i="6"/>
  <c r="T116" i="6"/>
  <c r="D118" i="6"/>
  <c r="R117" i="6"/>
  <c r="D119" i="6" l="1"/>
  <c r="R118" i="6"/>
  <c r="F118" i="6"/>
  <c r="T117" i="6"/>
  <c r="E118" i="6"/>
  <c r="S117" i="6"/>
  <c r="J119" i="6"/>
  <c r="X118" i="6"/>
  <c r="L119" i="6"/>
  <c r="Z118" i="6"/>
  <c r="K119" i="6"/>
  <c r="Y118" i="6"/>
  <c r="I119" i="6"/>
  <c r="W118" i="6"/>
  <c r="C119" i="6"/>
  <c r="Q118" i="6"/>
  <c r="B119" i="6"/>
  <c r="P118" i="6"/>
  <c r="H118" i="6"/>
  <c r="V117" i="6"/>
  <c r="G119" i="6"/>
  <c r="U118" i="6"/>
  <c r="C120" i="6" l="1"/>
  <c r="Q119" i="6"/>
  <c r="K120" i="6"/>
  <c r="Y119" i="6"/>
  <c r="J120" i="6"/>
  <c r="X119" i="6"/>
  <c r="F119" i="6"/>
  <c r="T118" i="6"/>
  <c r="H119" i="6"/>
  <c r="V118" i="6"/>
  <c r="G120" i="6"/>
  <c r="U119" i="6"/>
  <c r="B120" i="6"/>
  <c r="P119" i="6"/>
  <c r="I120" i="6"/>
  <c r="W119" i="6"/>
  <c r="L120" i="6"/>
  <c r="Z119" i="6"/>
  <c r="E119" i="6"/>
  <c r="S118" i="6"/>
  <c r="D120" i="6"/>
  <c r="R119" i="6"/>
  <c r="E120" i="6" l="1"/>
  <c r="S119" i="6"/>
  <c r="I121" i="6"/>
  <c r="W120" i="6"/>
  <c r="G121" i="6"/>
  <c r="U120" i="6"/>
  <c r="F120" i="6"/>
  <c r="T119" i="6"/>
  <c r="K121" i="6"/>
  <c r="Y120" i="6"/>
  <c r="D121" i="6"/>
  <c r="R120" i="6"/>
  <c r="L121" i="6"/>
  <c r="Z120" i="6"/>
  <c r="B121" i="6"/>
  <c r="P120" i="6"/>
  <c r="H120" i="6"/>
  <c r="V119" i="6"/>
  <c r="J121" i="6"/>
  <c r="X120" i="6"/>
  <c r="C121" i="6"/>
  <c r="Q120" i="6"/>
  <c r="J122" i="6" l="1"/>
  <c r="X121" i="6"/>
  <c r="B122" i="6"/>
  <c r="P121" i="6"/>
  <c r="D122" i="6"/>
  <c r="R121" i="6"/>
  <c r="F121" i="6"/>
  <c r="T120" i="6"/>
  <c r="I122" i="6"/>
  <c r="W121" i="6"/>
  <c r="C122" i="6"/>
  <c r="Q121" i="6"/>
  <c r="H121" i="6"/>
  <c r="V120" i="6"/>
  <c r="L122" i="6"/>
  <c r="Z121" i="6"/>
  <c r="K122" i="6"/>
  <c r="Y121" i="6"/>
  <c r="G122" i="6"/>
  <c r="U121" i="6"/>
  <c r="E121" i="6"/>
  <c r="S120" i="6"/>
  <c r="G123" i="6" l="1"/>
  <c r="U122" i="6"/>
  <c r="L123" i="6"/>
  <c r="Z122" i="6"/>
  <c r="C123" i="6"/>
  <c r="Q122" i="6"/>
  <c r="F122" i="6"/>
  <c r="T121" i="6"/>
  <c r="B123" i="6"/>
  <c r="P122" i="6"/>
  <c r="E122" i="6"/>
  <c r="S121" i="6"/>
  <c r="K123" i="6"/>
  <c r="Y122" i="6"/>
  <c r="H122" i="6"/>
  <c r="V121" i="6"/>
  <c r="I123" i="6"/>
  <c r="W122" i="6"/>
  <c r="D123" i="6"/>
  <c r="R122" i="6"/>
  <c r="J123" i="6"/>
  <c r="X122" i="6"/>
  <c r="J124" i="6" l="1"/>
  <c r="X123" i="6"/>
  <c r="D124" i="6"/>
  <c r="R123" i="6"/>
  <c r="H123" i="6"/>
  <c r="V122" i="6"/>
  <c r="E123" i="6"/>
  <c r="S122" i="6"/>
  <c r="F123" i="6"/>
  <c r="T122" i="6"/>
  <c r="L124" i="6"/>
  <c r="Z123" i="6"/>
  <c r="I124" i="6"/>
  <c r="W123" i="6"/>
  <c r="K124" i="6"/>
  <c r="Y123" i="6"/>
  <c r="B124" i="6"/>
  <c r="P123" i="6"/>
  <c r="C124" i="6"/>
  <c r="Q123" i="6"/>
  <c r="G124" i="6"/>
  <c r="U123" i="6"/>
  <c r="C125" i="6" l="1"/>
  <c r="Q124" i="6"/>
  <c r="K125" i="6"/>
  <c r="Y124" i="6"/>
  <c r="L125" i="6"/>
  <c r="Z124" i="6"/>
  <c r="E124" i="6"/>
  <c r="S123" i="6"/>
  <c r="D125" i="6"/>
  <c r="R124" i="6"/>
  <c r="G125" i="6"/>
  <c r="U124" i="6"/>
  <c r="B125" i="6"/>
  <c r="P124" i="6"/>
  <c r="I125" i="6"/>
  <c r="W124" i="6"/>
  <c r="F124" i="6"/>
  <c r="T123" i="6"/>
  <c r="H124" i="6"/>
  <c r="V123" i="6"/>
  <c r="J125" i="6"/>
  <c r="X124" i="6"/>
  <c r="H125" i="6" l="1"/>
  <c r="V124" i="6"/>
  <c r="I126" i="6"/>
  <c r="W125" i="6"/>
  <c r="G126" i="6"/>
  <c r="U125" i="6"/>
  <c r="E125" i="6"/>
  <c r="S124" i="6"/>
  <c r="K126" i="6"/>
  <c r="Y125" i="6"/>
  <c r="J126" i="6"/>
  <c r="X125" i="6"/>
  <c r="F125" i="6"/>
  <c r="T124" i="6"/>
  <c r="B126" i="6"/>
  <c r="P125" i="6"/>
  <c r="D126" i="6"/>
  <c r="R125" i="6"/>
  <c r="L126" i="6"/>
  <c r="Z125" i="6"/>
  <c r="C126" i="6"/>
  <c r="Q125" i="6"/>
  <c r="L127" i="6" l="1"/>
  <c r="Z126" i="6"/>
  <c r="B127" i="6"/>
  <c r="P126" i="6"/>
  <c r="J127" i="6"/>
  <c r="X126" i="6"/>
  <c r="E126" i="6"/>
  <c r="S125" i="6"/>
  <c r="I127" i="6"/>
  <c r="W126" i="6"/>
  <c r="C127" i="6"/>
  <c r="Q126" i="6"/>
  <c r="D127" i="6"/>
  <c r="R126" i="6"/>
  <c r="F126" i="6"/>
  <c r="T125" i="6"/>
  <c r="K127" i="6"/>
  <c r="Y126" i="6"/>
  <c r="G127" i="6"/>
  <c r="U126" i="6"/>
  <c r="H126" i="6"/>
  <c r="V125" i="6"/>
  <c r="G128" i="6" l="1"/>
  <c r="U127" i="6"/>
  <c r="F127" i="6"/>
  <c r="T126" i="6"/>
  <c r="C128" i="6"/>
  <c r="Q127" i="6"/>
  <c r="E127" i="6"/>
  <c r="S126" i="6"/>
  <c r="B128" i="6"/>
  <c r="P127" i="6"/>
  <c r="H127" i="6"/>
  <c r="V126" i="6"/>
  <c r="K128" i="6"/>
  <c r="Y127" i="6"/>
  <c r="D128" i="6"/>
  <c r="R127" i="6"/>
  <c r="I128" i="6"/>
  <c r="W127" i="6"/>
  <c r="J128" i="6"/>
  <c r="X127" i="6"/>
  <c r="L128" i="6"/>
  <c r="Z127" i="6"/>
  <c r="J129" i="6" l="1"/>
  <c r="X128" i="6"/>
  <c r="D129" i="6"/>
  <c r="R128" i="6"/>
  <c r="H128" i="6"/>
  <c r="V127" i="6"/>
  <c r="E128" i="6"/>
  <c r="S127" i="6"/>
  <c r="F128" i="6"/>
  <c r="T127" i="6"/>
  <c r="L129" i="6"/>
  <c r="Z128" i="6"/>
  <c r="I129" i="6"/>
  <c r="W128" i="6"/>
  <c r="K129" i="6"/>
  <c r="Y128" i="6"/>
  <c r="B129" i="6"/>
  <c r="P128" i="6"/>
  <c r="C129" i="6"/>
  <c r="Q128" i="6"/>
  <c r="G129" i="6"/>
  <c r="U128" i="6"/>
  <c r="C130" i="6" l="1"/>
  <c r="Q129" i="6"/>
  <c r="K130" i="6"/>
  <c r="Y129" i="6"/>
  <c r="L130" i="6"/>
  <c r="Z129" i="6"/>
  <c r="E129" i="6"/>
  <c r="S128" i="6"/>
  <c r="D130" i="6"/>
  <c r="R129" i="6"/>
  <c r="G130" i="6"/>
  <c r="U129" i="6"/>
  <c r="B130" i="6"/>
  <c r="P129" i="6"/>
  <c r="I130" i="6"/>
  <c r="W129" i="6"/>
  <c r="F129" i="6"/>
  <c r="T128" i="6"/>
  <c r="H129" i="6"/>
  <c r="V128" i="6"/>
  <c r="J130" i="6"/>
  <c r="X129" i="6"/>
  <c r="J131" i="6" l="1"/>
  <c r="X130" i="6"/>
  <c r="H130" i="6"/>
  <c r="V129" i="6"/>
  <c r="I131" i="6"/>
  <c r="W130" i="6"/>
  <c r="G131" i="6"/>
  <c r="U130" i="6"/>
  <c r="E130" i="6"/>
  <c r="S129" i="6"/>
  <c r="K131" i="6"/>
  <c r="Y130" i="6"/>
  <c r="F130" i="6"/>
  <c r="T129" i="6"/>
  <c r="B131" i="6"/>
  <c r="P130" i="6"/>
  <c r="D131" i="6"/>
  <c r="R130" i="6"/>
  <c r="L131" i="6"/>
  <c r="Z130" i="6"/>
  <c r="C131" i="6"/>
  <c r="Q130" i="6"/>
  <c r="C132" i="6" l="1"/>
  <c r="C133" i="6" s="1"/>
  <c r="Q131" i="6"/>
  <c r="L132" i="6"/>
  <c r="L133" i="6" s="1"/>
  <c r="Z131" i="6"/>
  <c r="B132" i="6"/>
  <c r="B133" i="6" s="1"/>
  <c r="P131" i="6"/>
  <c r="K132" i="6"/>
  <c r="K133" i="6" s="1"/>
  <c r="Y131" i="6"/>
  <c r="G132" i="6"/>
  <c r="G133" i="6" s="1"/>
  <c r="U131" i="6"/>
  <c r="H131" i="6"/>
  <c r="V130" i="6"/>
  <c r="D132" i="6"/>
  <c r="D133" i="6" s="1"/>
  <c r="R131" i="6"/>
  <c r="F131" i="6"/>
  <c r="T130" i="6"/>
  <c r="E131" i="6"/>
  <c r="S130" i="6"/>
  <c r="I132" i="6"/>
  <c r="I133" i="6" s="1"/>
  <c r="W131" i="6"/>
  <c r="J132" i="6"/>
  <c r="J133" i="6" s="1"/>
  <c r="X131" i="6"/>
  <c r="D134" i="6" l="1"/>
  <c r="R133" i="6"/>
  <c r="I134" i="6"/>
  <c r="W133" i="6"/>
  <c r="Y133" i="6"/>
  <c r="K134" i="6"/>
  <c r="Z133" i="6"/>
  <c r="L134" i="6"/>
  <c r="J134" i="6"/>
  <c r="X133" i="6"/>
  <c r="U133" i="6"/>
  <c r="G134" i="6"/>
  <c r="B134" i="6"/>
  <c r="P133" i="6"/>
  <c r="Q133" i="6"/>
  <c r="C134" i="6"/>
  <c r="W132" i="6"/>
  <c r="F132" i="6"/>
  <c r="F133" i="6" s="1"/>
  <c r="T131" i="6"/>
  <c r="H132" i="6"/>
  <c r="H133" i="6" s="1"/>
  <c r="V131" i="6"/>
  <c r="Y132" i="6"/>
  <c r="Z132" i="6"/>
  <c r="X132" i="6"/>
  <c r="E132" i="6"/>
  <c r="E133" i="6" s="1"/>
  <c r="S131" i="6"/>
  <c r="R132" i="6"/>
  <c r="U132" i="6"/>
  <c r="P132" i="6"/>
  <c r="Q132" i="6"/>
  <c r="H134" i="6" l="1"/>
  <c r="V133" i="6"/>
  <c r="C135" i="6"/>
  <c r="Q134" i="6"/>
  <c r="G135" i="6"/>
  <c r="U134" i="6"/>
  <c r="L135" i="6"/>
  <c r="Z134" i="6"/>
  <c r="I135" i="6"/>
  <c r="W134" i="6"/>
  <c r="F134" i="6"/>
  <c r="T133" i="6"/>
  <c r="K135" i="6"/>
  <c r="Y134" i="6"/>
  <c r="E134" i="6"/>
  <c r="S133" i="6"/>
  <c r="B135" i="6"/>
  <c r="P134" i="6"/>
  <c r="X134" i="6"/>
  <c r="J135" i="6"/>
  <c r="D135" i="6"/>
  <c r="R134" i="6"/>
  <c r="T132" i="6"/>
  <c r="S132" i="6"/>
  <c r="V132" i="6"/>
  <c r="J136" i="6" l="1"/>
  <c r="X135" i="6"/>
  <c r="T134" i="6"/>
  <c r="F135" i="6"/>
  <c r="L136" i="6"/>
  <c r="Z135" i="6"/>
  <c r="C136" i="6"/>
  <c r="Q135" i="6"/>
  <c r="E135" i="6"/>
  <c r="S134" i="6"/>
  <c r="D136" i="6"/>
  <c r="R135" i="6"/>
  <c r="B136" i="6"/>
  <c r="P135" i="6"/>
  <c r="K136" i="6"/>
  <c r="Y135" i="6"/>
  <c r="I136" i="6"/>
  <c r="W135" i="6"/>
  <c r="G136" i="6"/>
  <c r="U135" i="6"/>
  <c r="H135" i="6"/>
  <c r="V134" i="6"/>
  <c r="F136" i="6" l="1"/>
  <c r="T135" i="6"/>
  <c r="R136" i="6"/>
  <c r="D137" i="6"/>
  <c r="C137" i="6"/>
  <c r="Q136" i="6"/>
  <c r="K137" i="6"/>
  <c r="Y136" i="6"/>
  <c r="G137" i="6"/>
  <c r="U136" i="6"/>
  <c r="H136" i="6"/>
  <c r="V135" i="6"/>
  <c r="I137" i="6"/>
  <c r="W136" i="6"/>
  <c r="B137" i="6"/>
  <c r="P136" i="6"/>
  <c r="E136" i="6"/>
  <c r="S135" i="6"/>
  <c r="L137" i="6"/>
  <c r="Z136" i="6"/>
  <c r="J137" i="6"/>
  <c r="X136" i="6"/>
  <c r="D138" i="6" l="1"/>
  <c r="R137" i="6"/>
  <c r="L138" i="6"/>
  <c r="Z137" i="6"/>
  <c r="V136" i="6"/>
  <c r="H137" i="6"/>
  <c r="K138" i="6"/>
  <c r="Y137" i="6"/>
  <c r="B138" i="6"/>
  <c r="P137" i="6"/>
  <c r="J138" i="6"/>
  <c r="X137" i="6"/>
  <c r="E137" i="6"/>
  <c r="S136" i="6"/>
  <c r="I138" i="6"/>
  <c r="W137" i="6"/>
  <c r="G138" i="6"/>
  <c r="U137" i="6"/>
  <c r="C138" i="6"/>
  <c r="Q137" i="6"/>
  <c r="F137" i="6"/>
  <c r="T136" i="6"/>
  <c r="I139" i="6" l="1"/>
  <c r="W138" i="6"/>
  <c r="J139" i="6"/>
  <c r="X138" i="6"/>
  <c r="K139" i="6"/>
  <c r="Y138" i="6"/>
  <c r="Z138" i="6"/>
  <c r="L139" i="6"/>
  <c r="H138" i="6"/>
  <c r="V137" i="6"/>
  <c r="C139" i="6"/>
  <c r="Q138" i="6"/>
  <c r="F138" i="6"/>
  <c r="T137" i="6"/>
  <c r="G139" i="6"/>
  <c r="U138" i="6"/>
  <c r="E138" i="6"/>
  <c r="S137" i="6"/>
  <c r="B139" i="6"/>
  <c r="P138" i="6"/>
  <c r="D139" i="6"/>
  <c r="R138" i="6"/>
  <c r="L140" i="6" l="1"/>
  <c r="Z139" i="6"/>
  <c r="B140" i="6"/>
  <c r="P139" i="6"/>
  <c r="C140" i="6"/>
  <c r="Q139" i="6"/>
  <c r="J140" i="6"/>
  <c r="X139" i="6"/>
  <c r="G140" i="6"/>
  <c r="U139" i="6"/>
  <c r="D140" i="6"/>
  <c r="R139" i="6"/>
  <c r="E139" i="6"/>
  <c r="S138" i="6"/>
  <c r="F139" i="6"/>
  <c r="T138" i="6"/>
  <c r="H139" i="6"/>
  <c r="V138" i="6"/>
  <c r="K140" i="6"/>
  <c r="Y139" i="6"/>
  <c r="I140" i="6"/>
  <c r="W139" i="6"/>
  <c r="F140" i="6" l="1"/>
  <c r="T139" i="6"/>
  <c r="D141" i="6"/>
  <c r="R140" i="6"/>
  <c r="J141" i="6"/>
  <c r="X140" i="6"/>
  <c r="B141" i="6"/>
  <c r="P140" i="6"/>
  <c r="K141" i="6"/>
  <c r="Y140" i="6"/>
  <c r="I141" i="6"/>
  <c r="W140" i="6"/>
  <c r="H140" i="6"/>
  <c r="V139" i="6"/>
  <c r="E140" i="6"/>
  <c r="S139" i="6"/>
  <c r="G141" i="6"/>
  <c r="U140" i="6"/>
  <c r="C141" i="6"/>
  <c r="Q140" i="6"/>
  <c r="L141" i="6"/>
  <c r="Z140" i="6"/>
  <c r="E141" i="6" l="1"/>
  <c r="S140" i="6"/>
  <c r="I142" i="6"/>
  <c r="W141" i="6"/>
  <c r="B142" i="6"/>
  <c r="P141" i="6"/>
  <c r="D142" i="6"/>
  <c r="R141" i="6"/>
  <c r="C142" i="6"/>
  <c r="Q141" i="6"/>
  <c r="L142" i="6"/>
  <c r="Z141" i="6"/>
  <c r="G142" i="6"/>
  <c r="U141" i="6"/>
  <c r="H141" i="6"/>
  <c r="V140" i="6"/>
  <c r="K142" i="6"/>
  <c r="Y141" i="6"/>
  <c r="J142" i="6"/>
  <c r="X141" i="6"/>
  <c r="F141" i="6"/>
  <c r="T140" i="6"/>
  <c r="H142" i="6" l="1"/>
  <c r="V141" i="6"/>
  <c r="D143" i="6"/>
  <c r="R142" i="6"/>
  <c r="I143" i="6"/>
  <c r="W142" i="6"/>
  <c r="J143" i="6"/>
  <c r="X142" i="6"/>
  <c r="L143" i="6"/>
  <c r="Z142" i="6"/>
  <c r="F142" i="6"/>
  <c r="T141" i="6"/>
  <c r="K143" i="6"/>
  <c r="Y142" i="6"/>
  <c r="G143" i="6"/>
  <c r="U142" i="6"/>
  <c r="C143" i="6"/>
  <c r="Q142" i="6"/>
  <c r="B143" i="6"/>
  <c r="P142" i="6"/>
  <c r="E142" i="6"/>
  <c r="S141" i="6"/>
  <c r="F143" i="6" l="1"/>
  <c r="T142" i="6"/>
  <c r="X143" i="6"/>
  <c r="R143" i="6"/>
  <c r="U143" i="6"/>
  <c r="P143" i="6"/>
  <c r="S142" i="6"/>
  <c r="E143" i="6"/>
  <c r="Q143" i="6"/>
  <c r="Y143" i="6"/>
  <c r="Z143" i="6"/>
  <c r="W143" i="6"/>
  <c r="H143" i="6"/>
  <c r="V142" i="6"/>
  <c r="B37" i="7"/>
  <c r="B46" i="7"/>
  <c r="B38" i="7"/>
  <c r="B44" i="7"/>
  <c r="B39" i="7"/>
  <c r="B45" i="7"/>
  <c r="B47" i="7"/>
  <c r="B42" i="7"/>
  <c r="V143" i="6" l="1"/>
  <c r="S143" i="6"/>
  <c r="T143" i="6"/>
  <c r="B41" i="7"/>
  <c r="B40" i="7"/>
  <c r="B43" i="7"/>
  <c r="I37" i="7" l="1"/>
  <c r="I39"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ASUS</author>
  </authors>
  <commentList>
    <comment ref="H8" authorId="0" shapeId="0" xr:uid="{BE25042D-24E3-4A11-9390-D7382F609C73}">
      <text>
        <r>
          <rPr>
            <sz val="9"/>
            <color indexed="81"/>
            <rFont val="Tahoma"/>
            <family val="2"/>
          </rPr>
          <t>basée sur des données hebdomadaires : Il s'agit de la déviation HEBDOMADAIRE moyenne</t>
        </r>
      </text>
    </comment>
    <comment ref="M8" authorId="0" shapeId="0" xr:uid="{5830C5F9-DD03-4975-B58B-4FE2E1EC2BD6}">
      <text>
        <r>
          <rPr>
            <sz val="9"/>
            <color indexed="81"/>
            <rFont val="Tahoma"/>
            <family val="2"/>
          </rPr>
          <t xml:space="preserve">basée sur des données hebdomadaires . Dans 95% des cas , la perte HEBDOMADAIRE n'a historiquement pas excédé la valeur affichée dans la bulle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BFB12FD-779E-4CB8-BC4E-1799A6679B13}" keepAlive="1" name="Query - Allemagne" description="Connection to the 'Allemagne' query in the workbook." type="5" refreshedVersion="0" background="1">
    <dbPr connection="Provider=Microsoft.Mashup.OleDb.1;Data Source=$Workbook$;Location=Allemagne;Extended Properties=&quot;&quot;" command="SELECT * FROM [Allemagne]"/>
  </connection>
  <connection id="2" xr16:uid="{C9E4C454-8640-4BF7-9278-8C15DA349805}" keepAlive="1" name="Query - Automatic Append" description="Connection to the 'Automatic Append' query in the workbook." type="5" refreshedVersion="8" background="1" saveData="1">
    <dbPr connection="Provider=Microsoft.Mashup.OleDb.1;Data Source=$Workbook$;Location=&quot;Automatic Append&quot;;Extended Properties=&quot;&quot;" command="SELECT * FROM [Automatic Append]"/>
  </connection>
  <connection id="3" xr16:uid="{83074F04-66CC-4D76-8888-17927AFC154E}" keepAlive="1" name="Query - Automatic Merge" description="Connection to the 'Automatic Merge' query in the workbook." type="5" refreshedVersion="8" background="1" saveData="1">
    <dbPr connection="Provider=Microsoft.Mashup.OleDb.1;Data Source=$Workbook$;Location=&quot;Automatic Merge&quot;;Extended Properties=&quot;&quot;" command="SELECT * FROM [Automatic Merge]"/>
  </connection>
  <connection id="4" xr16:uid="{AF4B5D54-BA7C-4158-B24B-A5A8397F9016}" keepAlive="1" name="Query - Europe" description="Connection to the 'Europe' query in the workbook." type="5" refreshedVersion="0" background="1">
    <dbPr connection="Provider=Microsoft.Mashup.OleDb.1;Data Source=$Workbook$;Location=Europe;Extended Properties=&quot;&quot;" command="SELECT * FROM [Europe]"/>
  </connection>
  <connection id="5" xr16:uid="{F28F7CD2-3C4E-4720-9147-F1318EDF964A}" keepAlive="1" name="Query - France" description="Connection to the 'France' query in the workbook." type="5" refreshedVersion="0" background="1">
    <dbPr connection="Provider=Microsoft.Mashup.OleDb.1;Data Source=$Workbook$;Location=France;Extended Properties=&quot;&quot;" command="SELECT * FROM [France]"/>
  </connection>
  <connection id="6" xr16:uid="{E6FAFA0B-9C7D-4177-ABC0-08A8AC9326CF}"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7" xr16:uid="{89D68007-C712-420E-BFB5-B52C18A97250}" keepAlive="1" name="Query - Parameter2" description="Connection to the 'Parameter2' query in the workbook." type="5" refreshedVersion="0" background="1">
    <dbPr connection="Provider=Microsoft.Mashup.OleDb.1;Data Source=$Workbook$;Location=Parameter2;Extended Properties=&quot;&quot;" command="SELECT * FROM [Parameter2]"/>
  </connection>
  <connection id="8" xr16:uid="{AC0EE5DA-1514-4D85-A844-6E7020D6A0B1}"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9" xr16:uid="{93AADBED-5B67-4278-92E9-BEC36E6A0EF0}"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0" xr16:uid="{D13A2331-8623-431A-8C05-25849D6049DD}" keepAlive="1" name="Query - Sample File (3)" description="Connection to the 'Sample File (3)' query in the workbook." type="5" refreshedVersion="0" background="1">
    <dbPr connection="Provider=Microsoft.Mashup.OleDb.1;Data Source=$Workbook$;Location=&quot;Sample File (3)&quot;;Extended Properties=&quot;&quot;" command="SELECT * FROM [Sample File (3)]"/>
  </connection>
  <connection id="11" xr16:uid="{FF429FED-78F1-4B25-9011-8FEC00601FA6}"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D18C8D9A-D8A6-48D9-8700-EAB7A637B7A2}"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13" xr16:uid="{0CA56DD6-F739-4502-AA4D-2D86A47AB28B}" keepAlive="1" name="Query - Transform File (3)" description="Connection to the 'Transform File (3)' query in the workbook." type="5" refreshedVersion="0" background="1">
    <dbPr connection="Provider=Microsoft.Mashup.OleDb.1;Data Source=$Workbook$;Location=&quot;Transform File (3)&quot;;Extended Properties=&quot;&quot;" command="SELECT * FROM [Transform File (3)]"/>
  </connection>
  <connection id="14" xr16:uid="{1A6F54E6-F69A-4798-A165-F3B141B00068}" keepAlive="1" name="Query - Transform Sample File" description="Connection to the 'Transform Sample File' query in the workbook." type="5" refreshedVersion="0" background="1">
    <dbPr connection="Provider=Microsoft.Mashup.OleDb.1;Data Source=$Workbook$;Location=&quot;Transform Sample File&quot;;Extended Properties=&quot;&quot;" command="SELECT * FROM [Transform Sample File]"/>
  </connection>
  <connection id="15" xr16:uid="{5F35199C-33AA-46CD-8449-04F325915614}"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16" xr16:uid="{7637345D-AAEE-49BB-B7C3-CA3CD91A3133}" keepAlive="1" name="Query - US" description="Connection to the 'US' query in the workbook." type="5" refreshedVersion="0" background="1">
    <dbPr connection="Provider=Microsoft.Mashup.OleDb.1;Data Source=$Workbook$;Location=US;Extended Properties=&quot;&quot;" command="SELECT * FROM [U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<sst xmlns="http://schemas.openxmlformats.org/spreadsheetml/2006/main" count="308" uniqueCount="162">
  <si>
    <t>Date</t>
  </si>
  <si>
    <t>DM</t>
  </si>
  <si>
    <t>EM ex China</t>
  </si>
  <si>
    <t>EM</t>
  </si>
  <si>
    <t>Japon</t>
  </si>
  <si>
    <t>Monde</t>
  </si>
  <si>
    <t>RU</t>
  </si>
  <si>
    <t>US</t>
  </si>
  <si>
    <t>France</t>
  </si>
  <si>
    <t>Europe</t>
  </si>
  <si>
    <t>Allemagne</t>
  </si>
  <si>
    <t>Sources des indices</t>
  </si>
  <si>
    <t>MSCI WORLD</t>
  </si>
  <si>
    <t>MSCI CHINA All Shares</t>
  </si>
  <si>
    <t>MSCI Japan Index</t>
  </si>
  <si>
    <t>Chine</t>
  </si>
  <si>
    <t>MSCI ACWI</t>
  </si>
  <si>
    <t>MSCI UK index</t>
  </si>
  <si>
    <t xml:space="preserve">MSCI US Broad Market </t>
  </si>
  <si>
    <t xml:space="preserve">EM : Emerging Markets / DM : Developped Markets </t>
  </si>
  <si>
    <t xml:space="preserve">Données quotidiennes / Monnaie - EUR </t>
  </si>
  <si>
    <t>MSCI EM ex China</t>
  </si>
  <si>
    <t>MSCI EM</t>
  </si>
  <si>
    <t>helper columns</t>
  </si>
  <si>
    <t>Week</t>
  </si>
  <si>
    <t>Day</t>
  </si>
  <si>
    <t>Month</t>
  </si>
  <si>
    <t>Year</t>
  </si>
  <si>
    <t>Week,Year</t>
  </si>
  <si>
    <t>1,2021</t>
  </si>
  <si>
    <t>2,2021</t>
  </si>
  <si>
    <t>3,2021</t>
  </si>
  <si>
    <t>4,2021</t>
  </si>
  <si>
    <t>5,2021</t>
  </si>
  <si>
    <t>6,2021</t>
  </si>
  <si>
    <t>7,2021</t>
  </si>
  <si>
    <t>8,2021</t>
  </si>
  <si>
    <t>9,2021</t>
  </si>
  <si>
    <t>10,2021</t>
  </si>
  <si>
    <t>11,2021</t>
  </si>
  <si>
    <t>12,2021</t>
  </si>
  <si>
    <t>13,2021</t>
  </si>
  <si>
    <t>14,2021</t>
  </si>
  <si>
    <t>15,2021</t>
  </si>
  <si>
    <t>16,2021</t>
  </si>
  <si>
    <t>17,2021</t>
  </si>
  <si>
    <t>18,2021</t>
  </si>
  <si>
    <t>19,2021</t>
  </si>
  <si>
    <t>20,2021</t>
  </si>
  <si>
    <t>21,2021</t>
  </si>
  <si>
    <t>22,2021</t>
  </si>
  <si>
    <t>23,2021</t>
  </si>
  <si>
    <t>24,2021</t>
  </si>
  <si>
    <t>25,2021</t>
  </si>
  <si>
    <t>26,2021</t>
  </si>
  <si>
    <t>27,2021</t>
  </si>
  <si>
    <t>28,2021</t>
  </si>
  <si>
    <t>29,2021</t>
  </si>
  <si>
    <t>30,2021</t>
  </si>
  <si>
    <t>31,2021</t>
  </si>
  <si>
    <t>32,2021</t>
  </si>
  <si>
    <t>33,2021</t>
  </si>
  <si>
    <t>34,2021</t>
  </si>
  <si>
    <t>35,2021</t>
  </si>
  <si>
    <t>36,2021</t>
  </si>
  <si>
    <t>37,2021</t>
  </si>
  <si>
    <t>38,2021</t>
  </si>
  <si>
    <t>39,2021</t>
  </si>
  <si>
    <t>40,2021</t>
  </si>
  <si>
    <t>41,2021</t>
  </si>
  <si>
    <t>42,2021</t>
  </si>
  <si>
    <t>43,2021</t>
  </si>
  <si>
    <t>44,2021</t>
  </si>
  <si>
    <t>45,2021</t>
  </si>
  <si>
    <t>46,2021</t>
  </si>
  <si>
    <t>47,2021</t>
  </si>
  <si>
    <t>48,2021</t>
  </si>
  <si>
    <t>49,2021</t>
  </si>
  <si>
    <t>50,2021</t>
  </si>
  <si>
    <t>51,2021</t>
  </si>
  <si>
    <t>52,2021</t>
  </si>
  <si>
    <t>1,2022</t>
  </si>
  <si>
    <t>2,2022</t>
  </si>
  <si>
    <t>3,2022</t>
  </si>
  <si>
    <t>4,2022</t>
  </si>
  <si>
    <t>5,2022</t>
  </si>
  <si>
    <t>6,2022</t>
  </si>
  <si>
    <t>7,2022</t>
  </si>
  <si>
    <t>8,2022</t>
  </si>
  <si>
    <t>9,2022</t>
  </si>
  <si>
    <t>10,2022</t>
  </si>
  <si>
    <t>11,2022</t>
  </si>
  <si>
    <t>12,2022</t>
  </si>
  <si>
    <t>13,2022</t>
  </si>
  <si>
    <t>14,2022</t>
  </si>
  <si>
    <t>15,2022</t>
  </si>
  <si>
    <t>16,2022</t>
  </si>
  <si>
    <t>17,2022</t>
  </si>
  <si>
    <t>18,2022</t>
  </si>
  <si>
    <t>19,2022</t>
  </si>
  <si>
    <t>20,2022</t>
  </si>
  <si>
    <t>21,2022</t>
  </si>
  <si>
    <t>22,2022</t>
  </si>
  <si>
    <t>23,2022</t>
  </si>
  <si>
    <t>24,2022</t>
  </si>
  <si>
    <t>25,2022</t>
  </si>
  <si>
    <t>26,2022</t>
  </si>
  <si>
    <t>Month,Year</t>
  </si>
  <si>
    <t>Previous Peak Series</t>
  </si>
  <si>
    <t>Drawdown Series</t>
  </si>
  <si>
    <t>Année</t>
  </si>
  <si>
    <t>Rendement total ( sur l'année pour 2021 et YTD pour 2022 )</t>
  </si>
  <si>
    <t>2021-même date</t>
  </si>
  <si>
    <t xml:space="preserve">Même date année précedente </t>
  </si>
  <si>
    <t xml:space="preserve">Volatilité ( basée sur les données hebdomadaires ) </t>
  </si>
  <si>
    <t>Même semaine année précédente</t>
  </si>
  <si>
    <t xml:space="preserve">5% Historic VaR ( basée sur les données hebdomadaires ) </t>
  </si>
  <si>
    <t xml:space="preserve">5% Historic VaR ( basée sur les données journalières ) </t>
  </si>
  <si>
    <t xml:space="preserve">MDD ( depuis le début de l'année - basé sur les données journalières ) </t>
  </si>
  <si>
    <t xml:space="preserve">30 days Rolling correlation - Developped Markets DM &amp; Emerging Markets EM </t>
  </si>
  <si>
    <t>Date-2022</t>
  </si>
  <si>
    <t>Date-2021</t>
  </si>
  <si>
    <t>Corr-2022</t>
  </si>
  <si>
    <t>Corr-2021</t>
  </si>
  <si>
    <t>Data extraction for the chart</t>
  </si>
  <si>
    <t>Date chart</t>
  </si>
  <si>
    <t>Corr chart</t>
  </si>
  <si>
    <t>Line 0</t>
  </si>
  <si>
    <t>Selected year for the chart</t>
  </si>
  <si>
    <t>add an if inside the dashboard to make the cells blank if the sumifs return a 0</t>
  </si>
  <si>
    <t>add the w letter to reference the week</t>
  </si>
  <si>
    <t>Bear Market Threshold</t>
  </si>
  <si>
    <t>MDD</t>
  </si>
  <si>
    <t>Detail du rendement total YTD pour Actions Monde</t>
  </si>
  <si>
    <t>Détail du rendement total YTD pour Actions Europe</t>
  </si>
  <si>
    <t>Trend</t>
  </si>
  <si>
    <t>add start of the ukrainian crisis : color the week in red</t>
  </si>
  <si>
    <t>Dernière date cette année</t>
  </si>
  <si>
    <t>Shade ukraine crisis</t>
  </si>
  <si>
    <t>Comparison with 2021 for conditional formatting</t>
  </si>
  <si>
    <t>rend</t>
  </si>
  <si>
    <t>vol</t>
  </si>
  <si>
    <t>VaR</t>
  </si>
  <si>
    <t>copier ca</t>
  </si>
  <si>
    <t>Column Labels</t>
  </si>
  <si>
    <t>Grand Total</t>
  </si>
  <si>
    <t>Row Labels</t>
  </si>
  <si>
    <t>pays</t>
  </si>
  <si>
    <t>année</t>
  </si>
  <si>
    <t>Sum of rend</t>
  </si>
  <si>
    <t>Mois</t>
  </si>
  <si>
    <t>Selected country in Dash</t>
  </si>
  <si>
    <t xml:space="preserve">Invasion Ukraine cellule A68 </t>
  </si>
  <si>
    <t xml:space="preserve">To use a slicer ( The pivot table here doesn't make any sense , it's only a replication of the range( A3:C14 ) ) . The only reason to use it here is to be able to display a slicer . </t>
  </si>
  <si>
    <t>27,2022</t>
  </si>
  <si>
    <t>28,2022</t>
  </si>
  <si>
    <t>using an activeX scroll bar solves the problem of the dynamic maximum value but it's ugly and the black blinking cannot be eliminated</t>
  </si>
  <si>
    <t>29,2022</t>
  </si>
  <si>
    <t>30,2022</t>
  </si>
  <si>
    <t xml:space="preserve">CAC 40 (ticker-FCHI) </t>
  </si>
  <si>
    <t>STOXX 600 (ticker-STOXX )</t>
  </si>
  <si>
    <t>DAX                 (ticker -GDAXI)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</si>
</sst>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
    <numFmt numFmtId="165" formatCode="[$-40C]d\-mmm\-yy;@"/>
  </numFmts>
  <fonts count="13" x14ac:knownFonts="1">
    <font>
      <sz val="11"/>
      <color theme="1"/>
      <name val="Calibri"/>
      <family val="2"/>
      <scheme val="minor"/>
    </font>
    <font>
      <sz val="11"/>
      <color theme="1"/>
      <name val="Calibri"/>
      <family val="2"/>
      <scheme val="minor"/>
    </font>
    <font>
      <sz val="18"/>
      <color theme="3"/>
      <name val="Calibri Light"/>
      <family val="2"/>
      <scheme val="major"/>
    </font>
    <font>
      <b/>
      <sz val="11"/>
      <color theme="3"/>
      <name val="Calibri"/>
      <family val="2"/>
      <scheme val="minor"/>
    </font>
    <font>
      <b/>
      <sz val="11"/>
      <color theme="0"/>
      <name val="Calibri"/>
      <family val="2"/>
      <scheme val="minor"/>
    </font>
    <font>
      <sz val="11"/>
      <color theme="0"/>
      <name val="Calibri"/>
      <family val="2"/>
      <scheme val="minor"/>
    </font>
    <font>
      <b/>
      <sz val="11"/>
      <color theme="1" tint="0.34998626667073579"/>
      <name val="Calibri"/>
      <family val="2"/>
      <scheme val="minor"/>
    </font>
    <font>
      <sz val="11"/>
      <color theme="4" tint="-0.249977111117893"/>
      <name val="Calibri"/>
      <family val="2"/>
      <scheme val="minor"/>
    </font>
    <font>
      <sz val="10"/>
      <color theme="1"/>
      <name val="Segoe UI"/>
      <family val="2"/>
    </font>
    <font>
      <b/>
      <sz val="10"/>
      <color theme="1"/>
      <name val="Segoe UI"/>
      <family val="2"/>
    </font>
    <font>
      <b/>
      <sz val="11"/>
      <color rgb="FF233D6B"/>
      <name val="Calibri"/>
      <family val="2"/>
      <scheme val="minor"/>
    </font>
    <font>
      <sz val="8"/>
      <color rgb="FF000000"/>
      <name val="Segoe UI"/>
      <family val="2"/>
    </font>
    <font>
      <sz val="9"/>
      <color indexed="81"/>
      <name val="Tahoma"/>
      <family val="2"/>
    </font>
  </fonts>
  <fills count="12">
    <fill>
      <patternFill patternType="none"/>
    </fill>
    <fill>
      <patternFill patternType="gray125"/>
    </fill>
    <fill>
      <patternFill patternType="solid">
        <fgColor theme="6"/>
      </patternFill>
    </fill>
    <fill>
      <patternFill patternType="solid">
        <fgColor theme="6" tint="0.39997558519241921"/>
        <bgColor indexed="65"/>
      </patternFill>
    </fill>
    <fill>
      <patternFill patternType="solid">
        <fgColor theme="4"/>
        <bgColor theme="4"/>
      </patternFill>
    </fill>
    <fill>
      <patternFill patternType="solid">
        <fgColor theme="4" tint="0.79998168889431442"/>
        <bgColor theme="4" tint="0.79998168889431442"/>
      </patternFill>
    </fill>
    <fill>
      <patternFill patternType="solid">
        <fgColor theme="2" tint="-9.9978637043366805E-2"/>
        <bgColor indexed="64"/>
      </patternFill>
    </fill>
    <fill>
      <patternFill patternType="solid">
        <fgColor theme="2" tint="-0.249977111117893"/>
        <bgColor indexed="64"/>
      </patternFill>
    </fill>
    <fill>
      <patternFill patternType="solid">
        <fgColor rgb="FF002060"/>
        <bgColor indexed="64"/>
      </patternFill>
    </fill>
    <fill>
      <patternFill patternType="solid">
        <fgColor theme="2"/>
        <bgColor indexed="64"/>
      </patternFill>
    </fill>
    <fill>
      <patternFill patternType="solid">
        <fgColor theme="3" tint="0.39997558519241921"/>
        <bgColor indexed="64"/>
      </patternFill>
    </fill>
    <fill>
      <patternFill patternType="solid">
        <fgColor theme="3" tint="0.59999389629810485"/>
        <bgColor indexed="64"/>
      </patternFill>
    </fill>
  </fills>
  <borders count="9">
    <border>
      <left/>
      <right/>
      <top/>
      <bottom/>
      <diagonal/>
    </border>
    <border>
      <left/>
      <right/>
      <top/>
      <bottom style="medium">
        <color theme="4" tint="0.39997558519241921"/>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right/>
      <top style="thin">
        <color theme="4" tint="0.39997558519241921"/>
      </top>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s>
  <cellStyleXfs count="6">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5" fillId="2" borderId="0" applyNumberFormat="0" applyBorder="0" applyAlignment="0" applyProtection="0"/>
    <xf numFmtId="0" fontId="1" fillId="3" borderId="0" applyNumberFormat="0" applyBorder="0" applyAlignment="0" applyProtection="0"/>
  </cellStyleXfs>
  <cellXfs count="76">
    <xf numFmtId="0" fontId="0" fillId="0" borderId="0" xfId="0"/>
    <xf numFmtId="14" fontId="0" fillId="0" borderId="0" xfId="0" applyNumberFormat="1"/>
    <xf numFmtId="0" fontId="2" fillId="0" borderId="0" xfId="2" applyBorder="1" applyAlignment="1">
      <alignment horizontal="left"/>
    </xf>
    <xf numFmtId="0" fontId="6" fillId="0" borderId="0" xfId="0" applyFont="1"/>
    <xf numFmtId="0" fontId="4" fillId="2" borderId="1" xfId="4" applyFont="1" applyBorder="1" applyAlignment="1">
      <alignment wrapText="1"/>
    </xf>
    <xf numFmtId="14" fontId="7" fillId="0" borderId="0" xfId="0" applyNumberFormat="1" applyFont="1"/>
    <xf numFmtId="164" fontId="0" fillId="0" borderId="0" xfId="1" applyNumberFormat="1" applyFont="1"/>
    <xf numFmtId="0" fontId="0" fillId="0" borderId="0" xfId="1" applyNumberFormat="1" applyFont="1"/>
    <xf numFmtId="0" fontId="1" fillId="3" borderId="0" xfId="5"/>
    <xf numFmtId="1" fontId="0" fillId="0" borderId="0" xfId="0" applyNumberFormat="1"/>
    <xf numFmtId="1" fontId="0" fillId="0" borderId="0" xfId="1" applyNumberFormat="1" applyFont="1"/>
    <xf numFmtId="9" fontId="0" fillId="0" borderId="0" xfId="1" applyFont="1"/>
    <xf numFmtId="10" fontId="0" fillId="0" borderId="0" xfId="1" applyNumberFormat="1" applyFont="1"/>
    <xf numFmtId="9" fontId="4" fillId="4" borderId="3" xfId="1" applyFont="1" applyFill="1" applyBorder="1"/>
    <xf numFmtId="9" fontId="4" fillId="4" borderId="4" xfId="1" applyFont="1" applyFill="1" applyBorder="1"/>
    <xf numFmtId="164" fontId="4" fillId="4" borderId="3" xfId="1" applyNumberFormat="1" applyFont="1" applyFill="1" applyBorder="1"/>
    <xf numFmtId="164" fontId="4" fillId="4" borderId="4" xfId="1" applyNumberFormat="1" applyFont="1" applyFill="1" applyBorder="1"/>
    <xf numFmtId="164" fontId="0" fillId="0" borderId="5" xfId="1" applyNumberFormat="1" applyFont="1" applyBorder="1"/>
    <xf numFmtId="164" fontId="0" fillId="5" borderId="5" xfId="1" applyNumberFormat="1" applyFont="1" applyFill="1" applyBorder="1"/>
    <xf numFmtId="14" fontId="0" fillId="5" borderId="5" xfId="0" applyNumberFormat="1" applyFont="1" applyFill="1" applyBorder="1"/>
    <xf numFmtId="14" fontId="0" fillId="0" borderId="5" xfId="0" applyNumberFormat="1" applyFont="1" applyBorder="1"/>
    <xf numFmtId="14" fontId="4" fillId="4" borderId="0" xfId="0" applyNumberFormat="1" applyFont="1" applyFill="1" applyBorder="1"/>
    <xf numFmtId="164" fontId="4" fillId="4" borderId="0" xfId="1" applyNumberFormat="1" applyFont="1" applyFill="1" applyBorder="1"/>
    <xf numFmtId="9" fontId="0" fillId="0" borderId="0" xfId="0" applyNumberFormat="1"/>
    <xf numFmtId="1" fontId="4" fillId="4" borderId="3" xfId="1" applyNumberFormat="1" applyFont="1" applyFill="1" applyBorder="1"/>
    <xf numFmtId="1" fontId="0" fillId="6" borderId="0" xfId="0" applyNumberFormat="1" applyFill="1"/>
    <xf numFmtId="1" fontId="4" fillId="4" borderId="0" xfId="1" applyNumberFormat="1" applyFont="1" applyFill="1"/>
    <xf numFmtId="1" fontId="0" fillId="5" borderId="0" xfId="1" applyNumberFormat="1" applyFont="1" applyFill="1" applyBorder="1"/>
    <xf numFmtId="0" fontId="0" fillId="6" borderId="0" xfId="0" applyFill="1"/>
    <xf numFmtId="14" fontId="0" fillId="6" borderId="0" xfId="0" applyNumberFormat="1" applyFill="1"/>
    <xf numFmtId="0" fontId="0" fillId="0" borderId="0" xfId="0" applyFill="1"/>
    <xf numFmtId="10" fontId="0" fillId="0" borderId="0" xfId="0" applyNumberFormat="1"/>
    <xf numFmtId="165" fontId="0" fillId="0" borderId="0" xfId="0" applyNumberFormat="1"/>
    <xf numFmtId="0" fontId="0" fillId="8" borderId="0" xfId="0" applyFill="1"/>
    <xf numFmtId="0" fontId="0" fillId="9" borderId="0" xfId="0" applyFill="1"/>
    <xf numFmtId="9" fontId="0" fillId="0" borderId="0" xfId="1" applyNumberFormat="1" applyFont="1"/>
    <xf numFmtId="0" fontId="9" fillId="7" borderId="6" xfId="0" applyFont="1" applyFill="1" applyBorder="1" applyAlignment="1">
      <alignment horizontal="center"/>
    </xf>
    <xf numFmtId="0" fontId="9" fillId="10" borderId="7" xfId="0" applyFont="1" applyFill="1" applyBorder="1" applyAlignment="1">
      <alignment horizontal="center"/>
    </xf>
    <xf numFmtId="164" fontId="8" fillId="7" borderId="0" xfId="1" applyNumberFormat="1" applyFont="1" applyFill="1" applyBorder="1" applyAlignment="1">
      <alignment horizontal="center"/>
    </xf>
    <xf numFmtId="0" fontId="8" fillId="7" borderId="8" xfId="0" applyFont="1" applyFill="1" applyBorder="1" applyAlignment="1">
      <alignment horizontal="center"/>
    </xf>
    <xf numFmtId="0" fontId="0" fillId="9" borderId="0" xfId="0" applyFill="1" applyAlignment="1">
      <alignment horizontal="center"/>
    </xf>
    <xf numFmtId="0" fontId="0" fillId="9" borderId="0" xfId="0" applyFill="1" applyAlignment="1">
      <alignment horizontal="right"/>
    </xf>
    <xf numFmtId="1" fontId="0" fillId="9" borderId="0" xfId="0" applyNumberFormat="1" applyFill="1" applyAlignment="1">
      <alignment horizontal="right"/>
    </xf>
    <xf numFmtId="10" fontId="0" fillId="9" borderId="0" xfId="0" applyNumberFormat="1" applyFill="1" applyAlignment="1">
      <alignment horizontal="left"/>
    </xf>
    <xf numFmtId="0" fontId="0" fillId="0" borderId="0" xfId="0" pivotButton="1"/>
    <xf numFmtId="0" fontId="0" fillId="0" borderId="0" xfId="0" applyAlignment="1">
      <alignment horizontal="left"/>
    </xf>
    <xf numFmtId="0" fontId="0" fillId="11" borderId="0" xfId="0" applyFill="1"/>
    <xf numFmtId="0" fontId="10" fillId="11" borderId="0" xfId="0" applyFont="1" applyFill="1" applyAlignment="1">
      <alignment horizontal="center"/>
    </xf>
    <xf numFmtId="0" fontId="9" fillId="9" borderId="0" xfId="0" applyFont="1" applyFill="1"/>
    <xf numFmtId="164" fontId="8" fillId="9" borderId="0" xfId="1" applyNumberFormat="1" applyFont="1" applyFill="1"/>
    <xf numFmtId="0" fontId="9" fillId="9" borderId="6" xfId="0" applyFont="1" applyFill="1" applyBorder="1"/>
    <xf numFmtId="164" fontId="8" fillId="9" borderId="6" xfId="1" applyNumberFormat="1" applyFont="1" applyFill="1" applyBorder="1"/>
    <xf numFmtId="14" fontId="0" fillId="5" borderId="0" xfId="0" applyNumberFormat="1" applyFont="1" applyFill="1" applyBorder="1"/>
    <xf numFmtId="164" fontId="0" fillId="5" borderId="0" xfId="1" applyNumberFormat="1" applyFont="1" applyFill="1" applyBorder="1"/>
    <xf numFmtId="1" fontId="0" fillId="5" borderId="5" xfId="1" applyNumberFormat="1" applyFont="1" applyFill="1" applyBorder="1"/>
    <xf numFmtId="3" fontId="0" fillId="0" borderId="0" xfId="0" applyNumberFormat="1"/>
    <xf numFmtId="164" fontId="0" fillId="0" borderId="0" xfId="1" applyNumberFormat="1" applyFont="1" applyBorder="1"/>
    <xf numFmtId="1" fontId="0" fillId="0" borderId="0" xfId="1" applyNumberFormat="1" applyFont="1" applyBorder="1"/>
    <xf numFmtId="49" fontId="0" fillId="0" borderId="0" xfId="0" applyNumberFormat="1"/>
    <xf numFmtId="49" fontId="0" fillId="0" borderId="5" xfId="0" applyNumberFormat="1" applyFont="1" applyBorder="1"/>
    <xf numFmtId="49" fontId="4" fillId="4" borderId="3" xfId="0" applyNumberFormat="1" applyFont="1" applyFill="1" applyBorder="1"/>
    <xf numFmtId="49" fontId="0" fillId="5" borderId="2" xfId="0" applyNumberFormat="1" applyFont="1" applyFill="1" applyBorder="1"/>
    <xf numFmtId="49" fontId="0" fillId="0" borderId="2" xfId="0" applyNumberFormat="1" applyFont="1" applyBorder="1"/>
    <xf numFmtId="49" fontId="0" fillId="0" borderId="0" xfId="1" applyNumberFormat="1" applyFont="1"/>
    <xf numFmtId="49" fontId="4" fillId="4" borderId="3" xfId="1" applyNumberFormat="1" applyFont="1" applyFill="1" applyBorder="1"/>
    <xf numFmtId="49" fontId="0" fillId="5" borderId="2" xfId="1" applyNumberFormat="1" applyFont="1" applyFill="1" applyBorder="1"/>
    <xf numFmtId="49" fontId="0" fillId="0" borderId="2" xfId="1" applyNumberFormat="1" applyFont="1" applyBorder="1"/>
    <xf numFmtId="49" fontId="0" fillId="0" borderId="5" xfId="1" applyNumberFormat="1" applyFont="1" applyBorder="1"/>
    <xf numFmtId="3" fontId="0" fillId="0" borderId="0" xfId="1" applyNumberFormat="1" applyFont="1"/>
    <xf numFmtId="0" fontId="3" fillId="0" borderId="1" xfId="3" applyAlignment="1">
      <alignment vertical="center" wrapText="1"/>
    </xf>
    <xf numFmtId="0" fontId="0" fillId="5" borderId="5" xfId="0" applyFont="1" applyFill="1" applyBorder="1"/>
    <xf numFmtId="0" fontId="0" fillId="5" borderId="5" xfId="0" applyNumberFormat="1" applyFont="1" applyFill="1" applyBorder="1"/>
    <xf numFmtId="0" fontId="0" fillId="0" borderId="5" xfId="0" applyFont="1" applyBorder="1"/>
    <xf numFmtId="0" fontId="0" fillId="0" borderId="5" xfId="0" applyNumberFormat="1" applyFont="1" applyBorder="1"/>
    <xf numFmtId="0" fontId="4" fillId="4" borderId="0" xfId="0" applyFont="1" applyFill="1" applyBorder="1"/>
    <xf numFmtId="2" fontId="4" fillId="4" borderId="0" xfId="0" applyNumberFormat="1" applyFont="1" applyFill="1" applyBorder="1"/>
  </cellXfs>
  <cellStyles count="6">
    <cellStyle name="60% - Accent3" xfId="5" builtinId="40"/>
    <cellStyle name="Accent3" xfId="4" builtinId="37"/>
    <cellStyle name="Heading 3" xfId="3" builtinId="18"/>
    <cellStyle name="Normal" xfId="0" builtinId="0"/>
    <cellStyle name="Percent" xfId="1" builtinId="5"/>
    <cellStyle name="Title" xfId="2" builtinId="15"/>
  </cellStyles>
  <dxfs count="90">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bgColor rgb="FFCC0000"/>
        </patternFill>
      </fill>
    </dxf>
    <dxf>
      <fill>
        <patternFill>
          <bgColor rgb="FF8EC16B"/>
        </patternFill>
      </fill>
    </dxf>
    <dxf>
      <fill>
        <patternFill>
          <bgColor theme="2" tint="-0.24994659260841701"/>
        </patternFill>
      </fill>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family val="2"/>
        <scheme val="minor"/>
      </font>
      <numFmt numFmtId="1" formatCode="0"/>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4" formatCode="0.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numFmt numFmtId="164" formatCode="0.000%"/>
      <fill>
        <patternFill patternType="solid">
          <fgColor theme="4"/>
          <bgColor theme="4"/>
        </patternFill>
      </fill>
    </dxf>
    <dxf>
      <numFmt numFmtId="19" formatCode="m/d/yyyy"/>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30" formatCode="@"/>
      <border diagonalUp="0" diagonalDown="0">
        <left/>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numFmt numFmtId="164" formatCode="0.000%"/>
      <fill>
        <patternFill patternType="solid">
          <fgColor theme="4"/>
          <bgColor theme="4"/>
        </patternFill>
      </fill>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numFmt numFmtId="1" formatCode="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164" formatCode="0.000%"/>
    </dxf>
    <dxf>
      <font>
        <b val="0"/>
        <i val="0"/>
        <strike val="0"/>
        <condense val="0"/>
        <extend val="0"/>
        <outline val="0"/>
        <shadow val="0"/>
        <u val="none"/>
        <vertAlign val="baseline"/>
        <sz val="11"/>
        <color theme="1"/>
        <name val="Calibri"/>
        <family val="2"/>
        <scheme val="minor"/>
      </font>
      <numFmt numFmtId="30" formatCode="@"/>
      <border diagonalUp="0" diagonalDown="0">
        <left/>
        <right/>
        <top style="thin">
          <color theme="4" tint="0.39997558519241921"/>
        </top>
        <bottom style="thin">
          <color theme="4" tint="0.39997558519241921"/>
        </bottom>
        <vertical/>
        <horizontal/>
      </border>
    </dxf>
    <dxf>
      <border outline="0">
        <left style="thin">
          <color theme="4" tint="0.39997558519241921"/>
        </left>
        <top style="thin">
          <color theme="4" tint="0.39997558519241921"/>
        </top>
      </border>
    </dxf>
    <dxf>
      <font>
        <b val="0"/>
        <i val="0"/>
        <strike val="0"/>
        <condense val="0"/>
        <extend val="0"/>
        <outline val="0"/>
        <shadow val="0"/>
        <u val="none"/>
        <vertAlign val="baseline"/>
        <sz val="11"/>
        <color theme="1"/>
        <name val="Calibri"/>
        <family val="2"/>
        <scheme val="minor"/>
      </font>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0" formatCode="General"/>
    </dxf>
    <dxf>
      <numFmt numFmtId="1" formatCode="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64" formatCode="0.000%"/>
    </dxf>
    <dxf>
      <numFmt numFmtId="19" formatCode="m/d/yyyy"/>
    </dxf>
    <dxf>
      <numFmt numFmtId="19" formatCode="m/d/yyyy"/>
    </dxf>
    <dxf>
      <fill>
        <patternFill>
          <bgColor theme="4" tint="0.79998168889431442"/>
        </patternFill>
      </fill>
    </dxf>
    <dxf>
      <border diagonalUp="0" diagonalDown="0">
        <left/>
        <right/>
        <top/>
        <bottom/>
        <vertical/>
        <horizontal/>
      </border>
    </dxf>
    <dxf>
      <fill>
        <patternFill patternType="none">
          <bgColor auto="1"/>
        </patternFill>
      </fill>
      <border diagonalUp="0" diagonalDown="0">
        <left/>
        <right/>
        <top/>
        <bottom/>
        <vertical/>
        <horizontal/>
      </border>
    </dxf>
    <dxf>
      <border diagonalUp="0" diagonalDown="0">
        <left/>
        <right/>
        <top/>
        <bottom/>
        <vertical/>
        <horizontal/>
      </border>
    </dxf>
  </dxfs>
  <tableStyles count="6" defaultTableStyle="TableStyleMedium2" defaultPivotStyle="PivotStyleLight16">
    <tableStyle name="Slicer Style 1" pivot="0" table="0" count="1" xr9:uid="{8E00D2CD-D912-4207-BDC0-3E218C8C22CF}">
      <tableStyleElement type="wholeTable" dxfId="89"/>
    </tableStyle>
    <tableStyle name="Slicer Style 2" pivot="0" table="0" count="1" xr9:uid="{8CB8D453-79A1-49F5-889B-CEBE7179BA8A}"/>
    <tableStyle name="Slicer Style 3" pivot="0" table="0" count="1" xr9:uid="{91A949B0-4726-48C7-9126-054CD7B8D852}">
      <tableStyleElement type="wholeTable" dxfId="88"/>
    </tableStyle>
    <tableStyle name="Slicer Style 4" pivot="0" table="0" count="1" xr9:uid="{B930A11D-8747-4981-B611-C2544157C958}">
      <tableStyleElement type="wholeTable" dxfId="87"/>
    </tableStyle>
    <tableStyle name="Slicer Style 5" pivot="0" table="0" count="3" xr9:uid="{EEC8D42A-5499-4FA1-933B-E6BF30764A16}">
      <tableStyleElement type="wholeTable" dxfId="86"/>
    </tableStyle>
    <tableStyle name="Slicer Style 6" pivot="0" table="0" count="4" xr9:uid="{5F17333C-F59A-4720-A675-2942365CBDC6}"/>
  </tableStyles>
  <colors>
    <mruColors>
      <color rgb="FF276399"/>
      <color rgb="FF8DBAE3"/>
      <color rgb="FFA2CDF4"/>
      <color rgb="FF2A4B86"/>
      <color rgb="FF327EC4"/>
      <color rgb="FF5D9CD5"/>
      <color rgb="FF8EBAE2"/>
      <color rgb="FFFB2525"/>
      <color rgb="FFCC0000"/>
      <color rgb="FF8EC16B"/>
    </mruColors>
  </colors>
  <extLst>
    <ext xmlns:x14="http://schemas.microsoft.com/office/spreadsheetml/2009/9/main" uri="{46F421CA-312F-682f-3DD2-61675219B42D}">
      <x14:dxfs count="7">
        <dxf>
          <fill>
            <patternFill>
              <bgColor theme="6" tint="0.59996337778862885"/>
            </patternFill>
          </fill>
        </dxf>
        <dxf>
          <fill>
            <patternFill>
              <bgColor theme="4" tint="-0.24994659260841701"/>
            </patternFill>
          </fill>
        </dxf>
        <dxf>
          <fill>
            <patternFill>
              <bgColor theme="3" tint="0.79998168889431442"/>
            </patternFill>
          </fill>
        </dxf>
        <dxf>
          <fill>
            <patternFill>
              <bgColor rgb="FF0070C0"/>
            </patternFill>
          </fill>
        </dxf>
        <dxf>
          <fill>
            <patternFill>
              <bgColor theme="0" tint="-0.14996795556505021"/>
            </patternFill>
          </fill>
        </dxf>
        <dxf>
          <fill>
            <patternFill>
              <bgColor theme="4" tint="-0.24994659260841701"/>
            </patternFill>
          </fill>
        </dxf>
        <dxf>
          <fill>
            <patternFill>
              <bgColor theme="4"/>
            </patternFill>
          </fill>
        </dxf>
      </x14:dxfs>
    </ext>
    <ext xmlns:x14="http://schemas.microsoft.com/office/spreadsheetml/2009/9/main" uri="{EB79DEF2-80B8-43e5-95BD-54CBDDF9020C}">
      <x14:slicerStyles defaultSlicerStyle="SlicerStyleLight1">
        <x14:slicerStyle name="Slicer Style 1"/>
        <x14:slicerStyle name="Slicer Style 2">
          <x14:slicerStyleElements>
            <x14:slicerStyleElement type="selectedItemWithData" dxfId="6"/>
          </x14:slicerStyleElements>
        </x14:slicerStyle>
        <x14:slicerStyle name="Slicer Style 3"/>
        <x14:slicerStyle name="Slicer Style 4"/>
        <x14:slicerStyle name="Slicer Style 5">
          <x14:slicerStyleElements>
            <x14:slicerStyleElement type="selectedItemWithData" dxfId="5"/>
            <x14:slicerStyleElement type="selectedItemWithNoData" dxfId="4"/>
          </x14:slicerStyleElements>
        </x14:slicerStyle>
        <x14:slicerStyle name="Slicer Style 6">
          <x14:slicerStyleElements>
            <x14:slicerStyleElement type="unselectedItemWithData" dxfId="3"/>
            <x14:slicerStyleElement type="unselectedItemWithNo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onnections" Target="connection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900" b="1" i="0" u="none" strike="noStrike" kern="1200" cap="none" spc="0" normalizeH="0" baseline="0">
                <a:solidFill>
                  <a:schemeClr val="tx1"/>
                </a:solidFill>
                <a:effectLst/>
                <a:latin typeface="Segoe UI" panose="020B0502040204020203" pitchFamily="34" charset="0"/>
                <a:ea typeface="+mj-ea"/>
                <a:cs typeface="Segoe UI" panose="020B0502040204020203" pitchFamily="34" charset="0"/>
              </a:defRPr>
            </a:pPr>
            <a:r>
              <a:rPr lang="en-US" sz="900" b="1" i="0" u="none" strike="noStrike" kern="1200" cap="none" spc="0" normalizeH="0" baseline="0">
                <a:solidFill>
                  <a:schemeClr val="tx1"/>
                </a:solidFill>
                <a:effectLst/>
                <a:latin typeface="Segoe UI" panose="020B0502040204020203" pitchFamily="34" charset="0"/>
                <a:ea typeface="+mj-ea"/>
                <a:cs typeface="Segoe UI" panose="020B0502040204020203" pitchFamily="34" charset="0"/>
              </a:rPr>
              <a:t>Performance Chine et EM ex Chine </a:t>
            </a:r>
          </a:p>
        </c:rich>
      </c:tx>
      <c:layout>
        <c:manualLayout>
          <c:xMode val="edge"/>
          <c:yMode val="edge"/>
          <c:x val="0.15475905511811022"/>
          <c:y val="1.9138755980861243E-2"/>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lang="en-US" sz="900" b="1" i="0" u="none" strike="noStrike" kern="1200" cap="none" spc="0" normalizeH="0" baseline="0">
              <a:solidFill>
                <a:schemeClr val="tx1"/>
              </a:solidFill>
              <a:effectLst/>
              <a:latin typeface="Segoe UI" panose="020B0502040204020203" pitchFamily="34" charset="0"/>
              <a:ea typeface="+mj-ea"/>
              <a:cs typeface="Segoe UI" panose="020B0502040204020203" pitchFamily="34" charset="0"/>
            </a:defRPr>
          </a:pPr>
          <a:endParaRPr lang="en-US"/>
        </a:p>
      </c:txPr>
    </c:title>
    <c:autoTitleDeleted val="0"/>
    <c:view3D>
      <c:rotX val="0"/>
      <c:rotY val="0"/>
      <c:depthPercent val="60"/>
      <c:rAngAx val="0"/>
      <c:perspective val="100"/>
    </c:view3D>
    <c:floor>
      <c:thickness val="0"/>
      <c:spPr>
        <a:solidFill>
          <a:schemeClr val="lt1">
            <a:lumMod val="95000"/>
          </a:schemeClr>
        </a:solid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8276600040379573"/>
          <c:y val="0.15502392344497606"/>
          <c:w val="0.77210579446799921"/>
          <c:h val="0.67990355272576564"/>
        </c:manualLayout>
      </c:layout>
      <c:bar3DChart>
        <c:barDir val="col"/>
        <c:grouping val="clustered"/>
        <c:varyColors val="0"/>
        <c:ser>
          <c:idx val="1"/>
          <c:order val="0"/>
          <c:tx>
            <c:strRef>
              <c:f>Indicateurs!$A$4</c:f>
              <c:strCache>
                <c:ptCount val="1"/>
                <c:pt idx="0">
                  <c:v>Chine</c:v>
                </c:pt>
              </c:strCache>
            </c:strRef>
          </c:tx>
          <c:spPr>
            <a:solidFill>
              <a:srgbClr val="150B93">
                <a:alpha val="69000"/>
              </a:srgbClr>
            </a:solidFill>
            <a:ln w="9525" cap="flat" cmpd="sng" algn="ctr">
              <a:noFill/>
              <a:round/>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Indicateurs!$B$4:$C$4</c:f>
              <c:numCache>
                <c:formatCode>0.00%</c:formatCode>
                <c:ptCount val="2"/>
                <c:pt idx="0">
                  <c:v>-0.1100571883870044</c:v>
                </c:pt>
                <c:pt idx="1">
                  <c:v>-7.5817885402380658E-2</c:v>
                </c:pt>
              </c:numCache>
            </c:numRef>
          </c:val>
          <c:extLst>
            <c:ext xmlns:c16="http://schemas.microsoft.com/office/drawing/2014/chart" uri="{C3380CC4-5D6E-409C-BE32-E72D297353CC}">
              <c16:uniqueId val="{0000000B-C327-4621-992F-F1C6EB7D69B0}"/>
            </c:ext>
          </c:extLst>
        </c:ser>
        <c:ser>
          <c:idx val="0"/>
          <c:order val="1"/>
          <c:tx>
            <c:strRef>
              <c:f>Indicateurs!$A$6</c:f>
              <c:strCache>
                <c:ptCount val="1"/>
                <c:pt idx="0">
                  <c:v>EM ex China</c:v>
                </c:pt>
              </c:strCache>
            </c:strRef>
          </c:tx>
          <c:spPr>
            <a:solidFill>
              <a:schemeClr val="accent1">
                <a:lumMod val="60000"/>
                <a:lumOff val="40000"/>
                <a:alpha val="85000"/>
              </a:schemeClr>
            </a:solidFill>
            <a:ln w="9525" cap="flat" cmpd="sng" algn="ctr">
              <a:solidFill>
                <a:schemeClr val="accent1">
                  <a:lumMod val="75000"/>
                </a:schemeClr>
              </a:solidFill>
              <a:round/>
            </a:ln>
            <a:effectLst/>
            <a:sp3d contourW="9525">
              <a:contourClr>
                <a:schemeClr val="accent1">
                  <a:lumMod val="75000"/>
                </a:schemeClr>
              </a:contourClr>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Indicateurs!$B$6:$C$6</c:f>
              <c:numCache>
                <c:formatCode>0.00%</c:formatCode>
                <c:ptCount val="2"/>
                <c:pt idx="0">
                  <c:v>-9.1397130013344485E-2</c:v>
                </c:pt>
                <c:pt idx="1">
                  <c:v>0.15362252898592055</c:v>
                </c:pt>
              </c:numCache>
            </c:numRef>
          </c:val>
          <c:extLst>
            <c:ext xmlns:c16="http://schemas.microsoft.com/office/drawing/2014/chart" uri="{C3380CC4-5D6E-409C-BE32-E72D297353CC}">
              <c16:uniqueId val="{0000000D-C327-4621-992F-F1C6EB7D69B0}"/>
            </c:ext>
          </c:extLst>
        </c:ser>
        <c:dLbls>
          <c:showLegendKey val="0"/>
          <c:showVal val="1"/>
          <c:showCatName val="0"/>
          <c:showSerName val="0"/>
          <c:showPercent val="0"/>
          <c:showBubbleSize val="0"/>
        </c:dLbls>
        <c:gapWidth val="65"/>
        <c:shape val="box"/>
        <c:axId val="1072815552"/>
        <c:axId val="1072813912"/>
        <c:axId val="0"/>
      </c:bar3DChart>
      <c:catAx>
        <c:axId val="1072815552"/>
        <c:scaling>
          <c:orientation val="minMax"/>
        </c:scaling>
        <c:delete val="1"/>
        <c:axPos val="b"/>
        <c:numFmt formatCode="General" sourceLinked="1"/>
        <c:majorTickMark val="none"/>
        <c:minorTickMark val="none"/>
        <c:tickLblPos val="nextTo"/>
        <c:crossAx val="1072813912"/>
        <c:crosses val="autoZero"/>
        <c:auto val="1"/>
        <c:lblAlgn val="ctr"/>
        <c:lblOffset val="100"/>
        <c:noMultiLvlLbl val="0"/>
      </c:catAx>
      <c:valAx>
        <c:axId val="1072813912"/>
        <c:scaling>
          <c:orientation val="minMax"/>
        </c:scaling>
        <c:delete val="0"/>
        <c:axPos val="l"/>
        <c:majorGridlines>
          <c:spPr>
            <a:ln w="9525" cap="flat" cmpd="sng" algn="ctr">
              <a:solidFill>
                <a:schemeClr val="dk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1072815552"/>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b" anchorCtr="0"/>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none" spc="0" normalizeH="0" baseline="0">
                <a:solidFill>
                  <a:schemeClr val="tx1"/>
                </a:solidFill>
                <a:latin typeface="Segoe UI" panose="020B0502040204020203" pitchFamily="34" charset="0"/>
                <a:ea typeface="+mj-ea"/>
                <a:cs typeface="Segoe UI" panose="020B0502040204020203" pitchFamily="34" charset="0"/>
              </a:defRPr>
            </a:pPr>
            <a:r>
              <a:rPr lang="en-US" sz="900" b="1">
                <a:solidFill>
                  <a:schemeClr val="tx1"/>
                </a:solidFill>
                <a:effectLst/>
                <a:latin typeface="Segoe UI" panose="020B0502040204020203" pitchFamily="34" charset="0"/>
                <a:cs typeface="Segoe UI" panose="020B0502040204020203" pitchFamily="34" charset="0"/>
              </a:rPr>
              <a:t>Performance de 3 pays développés</a:t>
            </a:r>
            <a:endParaRPr lang="en-US" sz="900">
              <a:solidFill>
                <a:schemeClr val="tx1"/>
              </a:solidFill>
              <a:effectLst/>
              <a:latin typeface="Segoe UI" panose="020B0502040204020203" pitchFamily="34" charset="0"/>
              <a:cs typeface="Segoe UI" panose="020B0502040204020203" pitchFamily="34" charset="0"/>
            </a:endParaRPr>
          </a:p>
        </c:rich>
      </c:tx>
      <c:layout>
        <c:manualLayout>
          <c:xMode val="edge"/>
          <c:yMode val="edge"/>
          <c:x val="0.13973529553244401"/>
          <c:y val="2.5518341307814992E-2"/>
        </c:manualLayout>
      </c:layout>
      <c:overlay val="0"/>
      <c:spPr>
        <a:noFill/>
        <a:ln>
          <a:noFill/>
        </a:ln>
        <a:effectLst/>
      </c:spPr>
      <c:txPr>
        <a:bodyPr rot="0" spcFirstLastPara="1" vertOverflow="ellipsis" vert="horz" wrap="square" anchor="b" anchorCtr="0"/>
        <a:lstStyle/>
        <a:p>
          <a:pPr marL="0" marR="0" lvl="0" indent="0" algn="ctr" defTabSz="914400" rtl="0" eaLnBrk="1" fontAlgn="auto" latinLnBrk="0" hangingPunct="1">
            <a:lnSpc>
              <a:spcPct val="100000"/>
            </a:lnSpc>
            <a:spcBef>
              <a:spcPts val="0"/>
            </a:spcBef>
            <a:spcAft>
              <a:spcPts val="0"/>
            </a:spcAft>
            <a:buClrTx/>
            <a:buSzTx/>
            <a:buFontTx/>
            <a:buNone/>
            <a:tabLst/>
            <a:defRPr sz="900" b="0" i="0" u="none" strike="noStrike" kern="1200" cap="none" spc="0" normalizeH="0" baseline="0">
              <a:solidFill>
                <a:schemeClr val="tx1"/>
              </a:solidFill>
              <a:latin typeface="Segoe UI" panose="020B0502040204020203" pitchFamily="34" charset="0"/>
              <a:ea typeface="+mj-ea"/>
              <a:cs typeface="Segoe UI" panose="020B0502040204020203" pitchFamily="34" charset="0"/>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088300220750554"/>
          <c:y val="0.23356889434046874"/>
          <c:w val="0.81509324468677891"/>
          <c:h val="0.61099882615175616"/>
        </c:manualLayout>
      </c:layout>
      <c:bar3DChart>
        <c:barDir val="bar"/>
        <c:grouping val="clustered"/>
        <c:varyColors val="0"/>
        <c:ser>
          <c:idx val="0"/>
          <c:order val="0"/>
          <c:tx>
            <c:strRef>
              <c:f>Indicateurs!$A$8</c:f>
              <c:strCache>
                <c:ptCount val="1"/>
                <c:pt idx="0">
                  <c:v>Japon</c:v>
                </c:pt>
              </c:strCache>
            </c:strRef>
          </c:tx>
          <c:spPr>
            <a:solidFill>
              <a:schemeClr val="tx2">
                <a:lumMod val="75000"/>
              </a:schemeClr>
            </a:solidFill>
            <a:ln>
              <a:noFill/>
            </a:ln>
            <a:effectLst/>
            <a:sp3d/>
          </c:spPr>
          <c:invertIfNegative val="0"/>
          <c:dLbls>
            <c:dLbl>
              <c:idx val="0"/>
              <c:layout>
                <c:manualLayout>
                  <c:x val="0"/>
                  <c:y val="2.127659574468085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667B-43C8-9808-8D10AD2A4AD1}"/>
                </c:ext>
              </c:extLst>
            </c:dLbl>
            <c:dLbl>
              <c:idx val="1"/>
              <c:layout>
                <c:manualLayout>
                  <c:x val="7.2750459599865654E-17"/>
                  <c:y val="1.418439716312056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667B-43C8-9808-8D10AD2A4A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Indicateurs!$B$8:$C$8</c:f>
              <c:numCache>
                <c:formatCode>0.00%</c:formatCode>
                <c:ptCount val="2"/>
                <c:pt idx="0">
                  <c:v>-7.0926824903246755E-2</c:v>
                </c:pt>
                <c:pt idx="1">
                  <c:v>7.4950251597660333E-2</c:v>
                </c:pt>
              </c:numCache>
            </c:numRef>
          </c:val>
          <c:extLst>
            <c:ext xmlns:c16="http://schemas.microsoft.com/office/drawing/2014/chart" uri="{C3380CC4-5D6E-409C-BE32-E72D297353CC}">
              <c16:uniqueId val="{00000000-667B-43C8-9808-8D10AD2A4AD1}"/>
            </c:ext>
          </c:extLst>
        </c:ser>
        <c:ser>
          <c:idx val="1"/>
          <c:order val="1"/>
          <c:tx>
            <c:strRef>
              <c:f>Indicateurs!$A$11</c:f>
              <c:strCache>
                <c:ptCount val="1"/>
                <c:pt idx="0">
                  <c:v>US</c:v>
                </c:pt>
              </c:strCache>
            </c:strRef>
          </c:tx>
          <c:spPr>
            <a:solidFill>
              <a:schemeClr val="accent5">
                <a:lumMod val="40000"/>
                <a:lumOff val="60000"/>
              </a:schemeClr>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Indicateurs!$B$11:$C$11</c:f>
              <c:numCache>
                <c:formatCode>0.00%</c:formatCode>
                <c:ptCount val="2"/>
                <c:pt idx="0">
                  <c:v>-0.1442912231632214</c:v>
                </c:pt>
                <c:pt idx="1">
                  <c:v>0.24416195380498973</c:v>
                </c:pt>
              </c:numCache>
            </c:numRef>
          </c:val>
          <c:extLst>
            <c:ext xmlns:c16="http://schemas.microsoft.com/office/drawing/2014/chart" uri="{C3380CC4-5D6E-409C-BE32-E72D297353CC}">
              <c16:uniqueId val="{00000001-667B-43C8-9808-8D10AD2A4AD1}"/>
            </c:ext>
          </c:extLst>
        </c:ser>
        <c:ser>
          <c:idx val="2"/>
          <c:order val="2"/>
          <c:tx>
            <c:strRef>
              <c:f>Indicateurs!$A$13</c:f>
              <c:strCache>
                <c:ptCount val="1"/>
                <c:pt idx="0">
                  <c:v>Europe</c:v>
                </c:pt>
              </c:strCache>
            </c:strRef>
          </c:tx>
          <c:spPr>
            <a:solidFill>
              <a:schemeClr val="accent5">
                <a:lumMod val="60000"/>
                <a:lumOff val="40000"/>
              </a:schemeClr>
            </a:solidFill>
            <a:ln>
              <a:noFill/>
            </a:ln>
            <a:effectLst/>
            <a:sp3d/>
          </c:spPr>
          <c:invertIfNegative val="0"/>
          <c:dLbls>
            <c:dLbl>
              <c:idx val="0"/>
              <c:layout>
                <c:manualLayout>
                  <c:x val="0"/>
                  <c:y val="-2.127659574468091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67B-43C8-9808-8D10AD2A4AD1}"/>
                </c:ext>
              </c:extLst>
            </c:dLbl>
            <c:dLbl>
              <c:idx val="1"/>
              <c:layout>
                <c:manualLayout>
                  <c:x val="0"/>
                  <c:y val="-2.127659574468088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67B-43C8-9808-8D10AD2A4A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Indicateurs!$B$13:$C$13</c:f>
              <c:numCache>
                <c:formatCode>0.00%</c:formatCode>
                <c:ptCount val="2"/>
                <c:pt idx="0">
                  <c:v>-0.10316953393326478</c:v>
                </c:pt>
                <c:pt idx="1">
                  <c:v>0.2210118450968146</c:v>
                </c:pt>
              </c:numCache>
            </c:numRef>
          </c:val>
          <c:extLst>
            <c:ext xmlns:c16="http://schemas.microsoft.com/office/drawing/2014/chart" uri="{C3380CC4-5D6E-409C-BE32-E72D297353CC}">
              <c16:uniqueId val="{00000002-667B-43C8-9808-8D10AD2A4AD1}"/>
            </c:ext>
          </c:extLst>
        </c:ser>
        <c:dLbls>
          <c:showLegendKey val="0"/>
          <c:showVal val="1"/>
          <c:showCatName val="0"/>
          <c:showSerName val="0"/>
          <c:showPercent val="0"/>
          <c:showBubbleSize val="0"/>
        </c:dLbls>
        <c:gapWidth val="150"/>
        <c:shape val="box"/>
        <c:axId val="1085950464"/>
        <c:axId val="1085952104"/>
        <c:axId val="0"/>
      </c:bar3DChart>
      <c:catAx>
        <c:axId val="1085950464"/>
        <c:scaling>
          <c:orientation val="minMax"/>
        </c:scaling>
        <c:delete val="1"/>
        <c:axPos val="l"/>
        <c:numFmt formatCode="General" sourceLinked="1"/>
        <c:majorTickMark val="none"/>
        <c:minorTickMark val="none"/>
        <c:tickLblPos val="nextTo"/>
        <c:crossAx val="1085952104"/>
        <c:crosses val="autoZero"/>
        <c:auto val="1"/>
        <c:lblAlgn val="ctr"/>
        <c:lblOffset val="100"/>
        <c:noMultiLvlLbl val="0"/>
      </c:catAx>
      <c:valAx>
        <c:axId val="1085952104"/>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950464"/>
        <c:crosses val="autoZero"/>
        <c:crossBetween val="between"/>
        <c:majorUnit val="0.2"/>
      </c:valAx>
      <c:spPr>
        <a:noFill/>
        <a:ln>
          <a:noFill/>
        </a:ln>
        <a:effectLst/>
      </c:spPr>
    </c:plotArea>
    <c:legend>
      <c:legendPos val="t"/>
      <c:layout>
        <c:manualLayout>
          <c:xMode val="edge"/>
          <c:yMode val="edge"/>
          <c:x val="0.26907336914011576"/>
          <c:y val="0.14730344636568671"/>
          <c:w val="0.43451601065698214"/>
          <c:h val="0.1076562558866744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2"/>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BM seuil</c:v>
          </c:tx>
          <c:spPr>
            <a:ln>
              <a:noFill/>
            </a:ln>
          </c:spPr>
          <c:dPt>
            <c:idx val="0"/>
            <c:bubble3D val="0"/>
            <c:spPr>
              <a:solidFill>
                <a:srgbClr val="8DBAE3"/>
              </a:solidFill>
              <a:ln w="19050">
                <a:noFill/>
              </a:ln>
              <a:effectLst/>
            </c:spPr>
            <c:extLst>
              <c:ext xmlns:c16="http://schemas.microsoft.com/office/drawing/2014/chart" uri="{C3380CC4-5D6E-409C-BE32-E72D297353CC}">
                <c16:uniqueId val="{00000001-5FE2-4C41-B4B3-F27C33E05F2D}"/>
              </c:ext>
            </c:extLst>
          </c:dPt>
          <c:dPt>
            <c:idx val="1"/>
            <c:bubble3D val="0"/>
            <c:spPr>
              <a:solidFill>
                <a:srgbClr val="5D9CD5"/>
              </a:solidFill>
              <a:ln w="19050">
                <a:noFill/>
              </a:ln>
              <a:effectLst/>
            </c:spPr>
            <c:extLst>
              <c:ext xmlns:c16="http://schemas.microsoft.com/office/drawing/2014/chart" uri="{C3380CC4-5D6E-409C-BE32-E72D297353CC}">
                <c16:uniqueId val="{00000003-5FE2-4C41-B4B3-F27C33E05F2D}"/>
              </c:ext>
            </c:extLst>
          </c:dPt>
          <c:dPt>
            <c:idx val="2"/>
            <c:bubble3D val="0"/>
            <c:spPr>
              <a:solidFill>
                <a:srgbClr val="327EC4"/>
              </a:solidFill>
              <a:ln w="19050">
                <a:noFill/>
              </a:ln>
              <a:effectLst/>
            </c:spPr>
            <c:extLst>
              <c:ext xmlns:c16="http://schemas.microsoft.com/office/drawing/2014/chart" uri="{C3380CC4-5D6E-409C-BE32-E72D297353CC}">
                <c16:uniqueId val="{00000005-5FE2-4C41-B4B3-F27C33E05F2D}"/>
              </c:ext>
            </c:extLst>
          </c:dPt>
          <c:dPt>
            <c:idx val="3"/>
            <c:bubble3D val="0"/>
            <c:spPr>
              <a:solidFill>
                <a:srgbClr val="276399"/>
              </a:solidFill>
              <a:ln w="19050">
                <a:noFill/>
              </a:ln>
              <a:effectLst/>
            </c:spPr>
            <c:extLst>
              <c:ext xmlns:c16="http://schemas.microsoft.com/office/drawing/2014/chart" uri="{C3380CC4-5D6E-409C-BE32-E72D297353CC}">
                <c16:uniqueId val="{00000007-5FE2-4C41-B4B3-F27C33E05F2D}"/>
              </c:ext>
            </c:extLst>
          </c:dPt>
          <c:dPt>
            <c:idx val="4"/>
            <c:bubble3D val="0"/>
            <c:spPr>
              <a:solidFill>
                <a:srgbClr val="2A4B86"/>
              </a:solidFill>
              <a:ln w="19050">
                <a:noFill/>
              </a:ln>
              <a:effectLst/>
            </c:spPr>
            <c:extLst>
              <c:ext xmlns:c16="http://schemas.microsoft.com/office/drawing/2014/chart" uri="{C3380CC4-5D6E-409C-BE32-E72D297353CC}">
                <c16:uniqueId val="{00000009-5FE2-4C41-B4B3-F27C33E05F2D}"/>
              </c:ext>
            </c:extLst>
          </c:dPt>
          <c:dPt>
            <c:idx val="5"/>
            <c:bubble3D val="0"/>
            <c:spPr>
              <a:solidFill>
                <a:srgbClr val="002060"/>
              </a:solidFill>
              <a:ln w="19050">
                <a:noFill/>
              </a:ln>
              <a:effectLst/>
            </c:spPr>
            <c:extLst>
              <c:ext xmlns:c16="http://schemas.microsoft.com/office/drawing/2014/chart" uri="{C3380CC4-5D6E-409C-BE32-E72D297353CC}">
                <c16:uniqueId val="{0000000B-5FE2-4C41-B4B3-F27C33E05F2D}"/>
              </c:ext>
            </c:extLst>
          </c:dPt>
          <c:dPt>
            <c:idx val="6"/>
            <c:bubble3D val="0"/>
            <c:spPr>
              <a:noFill/>
              <a:ln w="19050">
                <a:noFill/>
              </a:ln>
              <a:effectLst/>
            </c:spPr>
            <c:extLst>
              <c:ext xmlns:c16="http://schemas.microsoft.com/office/drawing/2014/chart" uri="{C3380CC4-5D6E-409C-BE32-E72D297353CC}">
                <c16:uniqueId val="{0000000D-5FE2-4C41-B4B3-F27C33E05F2D}"/>
              </c:ext>
            </c:extLst>
          </c:dPt>
          <c:val>
            <c:numRef>
              <c:f>Indicateurs!$H$37:$H$43</c:f>
              <c:numCache>
                <c:formatCode>0.00%</c:formatCode>
                <c:ptCount val="7"/>
                <c:pt idx="0">
                  <c:v>3.3300000000000003E-2</c:v>
                </c:pt>
                <c:pt idx="1">
                  <c:v>3.3300000000000003E-2</c:v>
                </c:pt>
                <c:pt idx="2">
                  <c:v>3.3300000000000003E-2</c:v>
                </c:pt>
                <c:pt idx="3">
                  <c:v>3.3300000000000003E-2</c:v>
                </c:pt>
                <c:pt idx="4">
                  <c:v>3.3300000000000003E-2</c:v>
                </c:pt>
                <c:pt idx="5">
                  <c:v>3.3300000000000003E-2</c:v>
                </c:pt>
                <c:pt idx="6">
                  <c:v>0.2</c:v>
                </c:pt>
              </c:numCache>
            </c:numRef>
          </c:val>
          <c:extLst>
            <c:ext xmlns:c16="http://schemas.microsoft.com/office/drawing/2014/chart" uri="{C3380CC4-5D6E-409C-BE32-E72D297353CC}">
              <c16:uniqueId val="{0000000E-5FE2-4C41-B4B3-F27C33E05F2D}"/>
            </c:ext>
          </c:extLst>
        </c:ser>
        <c:dLbls>
          <c:showLegendKey val="0"/>
          <c:showVal val="0"/>
          <c:showCatName val="0"/>
          <c:showSerName val="0"/>
          <c:showPercent val="0"/>
          <c:showBubbleSize val="0"/>
          <c:showLeaderLines val="1"/>
        </c:dLbls>
        <c:firstSliceAng val="270"/>
        <c:holeSize val="40"/>
      </c:doughnutChart>
      <c:pieChart>
        <c:varyColors val="1"/>
        <c:ser>
          <c:idx val="1"/>
          <c:order val="1"/>
          <c:tx>
            <c:v>MDD</c:v>
          </c:tx>
          <c:dPt>
            <c:idx val="0"/>
            <c:bubble3D val="0"/>
            <c:spPr>
              <a:noFill/>
              <a:ln w="19050">
                <a:noFill/>
              </a:ln>
              <a:effectLst/>
            </c:spPr>
            <c:extLst>
              <c:ext xmlns:c16="http://schemas.microsoft.com/office/drawing/2014/chart" uri="{C3380CC4-5D6E-409C-BE32-E72D297353CC}">
                <c16:uniqueId val="{00000010-5FE2-4C41-B4B3-F27C33E05F2D}"/>
              </c:ext>
            </c:extLst>
          </c:dPt>
          <c:dPt>
            <c:idx val="1"/>
            <c:bubble3D val="0"/>
            <c:spPr>
              <a:solidFill>
                <a:schemeClr val="tx1"/>
              </a:solidFill>
              <a:ln w="19050">
                <a:noFill/>
              </a:ln>
              <a:effectLst/>
            </c:spPr>
            <c:extLst>
              <c:ext xmlns:c16="http://schemas.microsoft.com/office/drawing/2014/chart" uri="{C3380CC4-5D6E-409C-BE32-E72D297353CC}">
                <c16:uniqueId val="{00000012-5FE2-4C41-B4B3-F27C33E05F2D}"/>
              </c:ext>
            </c:extLst>
          </c:dPt>
          <c:dPt>
            <c:idx val="2"/>
            <c:bubble3D val="0"/>
            <c:spPr>
              <a:noFill/>
              <a:ln w="19050">
                <a:noFill/>
              </a:ln>
              <a:effectLst/>
            </c:spPr>
            <c:extLst>
              <c:ext xmlns:c16="http://schemas.microsoft.com/office/drawing/2014/chart" uri="{C3380CC4-5D6E-409C-BE32-E72D297353CC}">
                <c16:uniqueId val="{00000011-5FE2-4C41-B4B3-F27C33E05F2D}"/>
              </c:ext>
            </c:extLst>
          </c:dPt>
          <c:val>
            <c:numRef>
              <c:f>Indicateurs!$I$37:$I$39</c:f>
              <c:numCache>
                <c:formatCode>0.00%</c:formatCode>
                <c:ptCount val="3"/>
                <c:pt idx="0">
                  <c:v>0.10985660743254584</c:v>
                </c:pt>
                <c:pt idx="1">
                  <c:v>2.5000000000000001E-3</c:v>
                </c:pt>
                <c:pt idx="2">
                  <c:v>0.28764339256745419</c:v>
                </c:pt>
              </c:numCache>
            </c:numRef>
          </c:val>
          <c:extLst>
            <c:ext xmlns:c16="http://schemas.microsoft.com/office/drawing/2014/chart" uri="{C3380CC4-5D6E-409C-BE32-E72D297353CC}">
              <c16:uniqueId val="{0000000F-5FE2-4C41-B4B3-F27C33E05F2D}"/>
            </c:ext>
          </c:extLst>
        </c:ser>
        <c:dLbls>
          <c:showLegendKey val="0"/>
          <c:showVal val="0"/>
          <c:showCatName val="0"/>
          <c:showSerName val="0"/>
          <c:showPercent val="0"/>
          <c:showBubbleSize val="0"/>
          <c:showLeaderLines val="1"/>
        </c:dLbls>
        <c:firstSliceAng val="27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0"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000" b="1" i="0" u="none" strike="noStrike" kern="1200" cap="none" baseline="0">
                <a:solidFill>
                  <a:schemeClr val="lt1">
                    <a:lumMod val="85000"/>
                  </a:schemeClr>
                </a:solidFill>
                <a:latin typeface="+mn-lt"/>
                <a:ea typeface="+mn-ea"/>
                <a:cs typeface="+mn-cs"/>
              </a:defRPr>
            </a:pPr>
            <a:r>
              <a:rPr lang="en-US" sz="1000"/>
              <a:t>Corrélation roulante (30 j) - Marchés développés et émergeants </a:t>
            </a:r>
          </a:p>
        </c:rich>
      </c:tx>
      <c:overlay val="0"/>
      <c:spPr>
        <a:noFill/>
        <a:ln>
          <a:noFill/>
        </a:ln>
        <a:effectLst/>
      </c:spPr>
      <c:txPr>
        <a:bodyPr rot="0" spcFirstLastPara="1" vertOverflow="ellipsis" vert="horz" wrap="square" anchor="ctr" anchorCtr="1"/>
        <a:lstStyle/>
        <a:p>
          <a:pPr>
            <a:defRPr sz="1000" b="1" i="0" u="none" strike="noStrike" kern="1200" cap="none" baseline="0">
              <a:solidFill>
                <a:schemeClr val="lt1">
                  <a:lumMod val="85000"/>
                </a:schemeClr>
              </a:solidFill>
              <a:latin typeface="+mn-lt"/>
              <a:ea typeface="+mn-ea"/>
              <a:cs typeface="+mn-cs"/>
            </a:defRPr>
          </a:pPr>
          <a:endParaRPr lang="en-US"/>
        </a:p>
      </c:txPr>
    </c:title>
    <c:autoTitleDeleted val="0"/>
    <c:plotArea>
      <c:layout/>
      <c:areaChart>
        <c:grouping val="percentStacked"/>
        <c:varyColors val="0"/>
        <c:ser>
          <c:idx val="2"/>
          <c:order val="2"/>
          <c:tx>
            <c:v>Sem Invasion Ukraine</c:v>
          </c:tx>
          <c:spPr>
            <a:solidFill>
              <a:schemeClr val="accent1">
                <a:lumMod val="40000"/>
                <a:lumOff val="60000"/>
                <a:alpha val="32000"/>
              </a:schemeClr>
            </a:solidFill>
            <a:ln w="9525" cap="flat" cmpd="sng" algn="ctr">
              <a:noFill/>
              <a:miter lim="800000"/>
            </a:ln>
            <a:effectLst/>
          </c:spPr>
          <c:cat>
            <c:numRef>
              <c:f>'Corrélation roulante'!$E$5:$E$123</c:f>
              <c:numCache>
                <c:formatCode>m/d/yyyy</c:formatCode>
                <c:ptCount val="119"/>
                <c:pt idx="0">
                  <c:v>44607</c:v>
                </c:pt>
                <c:pt idx="1">
                  <c:v>44608</c:v>
                </c:pt>
                <c:pt idx="2">
                  <c:v>44609</c:v>
                </c:pt>
                <c:pt idx="3">
                  <c:v>44610</c:v>
                </c:pt>
                <c:pt idx="4">
                  <c:v>44613</c:v>
                </c:pt>
                <c:pt idx="5">
                  <c:v>44614</c:v>
                </c:pt>
                <c:pt idx="6">
                  <c:v>44615</c:v>
                </c:pt>
                <c:pt idx="7">
                  <c:v>44616</c:v>
                </c:pt>
                <c:pt idx="8">
                  <c:v>44617</c:v>
                </c:pt>
                <c:pt idx="9">
                  <c:v>44620</c:v>
                </c:pt>
                <c:pt idx="10">
                  <c:v>44621</c:v>
                </c:pt>
                <c:pt idx="11">
                  <c:v>44622</c:v>
                </c:pt>
                <c:pt idx="12">
                  <c:v>44623</c:v>
                </c:pt>
                <c:pt idx="13">
                  <c:v>44624</c:v>
                </c:pt>
                <c:pt idx="14">
                  <c:v>44627</c:v>
                </c:pt>
                <c:pt idx="15">
                  <c:v>44628</c:v>
                </c:pt>
                <c:pt idx="16">
                  <c:v>44629</c:v>
                </c:pt>
                <c:pt idx="17">
                  <c:v>44630</c:v>
                </c:pt>
                <c:pt idx="18">
                  <c:v>44631</c:v>
                </c:pt>
                <c:pt idx="19">
                  <c:v>44634</c:v>
                </c:pt>
                <c:pt idx="20">
                  <c:v>44635</c:v>
                </c:pt>
                <c:pt idx="21">
                  <c:v>44636</c:v>
                </c:pt>
                <c:pt idx="22">
                  <c:v>44637</c:v>
                </c:pt>
                <c:pt idx="23">
                  <c:v>44638</c:v>
                </c:pt>
                <c:pt idx="24">
                  <c:v>44641</c:v>
                </c:pt>
                <c:pt idx="25">
                  <c:v>44642</c:v>
                </c:pt>
                <c:pt idx="26">
                  <c:v>44643</c:v>
                </c:pt>
                <c:pt idx="27">
                  <c:v>44644</c:v>
                </c:pt>
                <c:pt idx="28">
                  <c:v>44645</c:v>
                </c:pt>
                <c:pt idx="29">
                  <c:v>44648</c:v>
                </c:pt>
                <c:pt idx="30">
                  <c:v>44649</c:v>
                </c:pt>
                <c:pt idx="31">
                  <c:v>44650</c:v>
                </c:pt>
                <c:pt idx="32">
                  <c:v>44651</c:v>
                </c:pt>
                <c:pt idx="33">
                  <c:v>44652</c:v>
                </c:pt>
                <c:pt idx="34">
                  <c:v>44655</c:v>
                </c:pt>
                <c:pt idx="35">
                  <c:v>44656</c:v>
                </c:pt>
                <c:pt idx="36">
                  <c:v>44657</c:v>
                </c:pt>
                <c:pt idx="37">
                  <c:v>44658</c:v>
                </c:pt>
                <c:pt idx="38">
                  <c:v>44659</c:v>
                </c:pt>
                <c:pt idx="39">
                  <c:v>44662</c:v>
                </c:pt>
                <c:pt idx="40">
                  <c:v>44663</c:v>
                </c:pt>
                <c:pt idx="41">
                  <c:v>44664</c:v>
                </c:pt>
                <c:pt idx="42">
                  <c:v>44665</c:v>
                </c:pt>
                <c:pt idx="43">
                  <c:v>44666</c:v>
                </c:pt>
                <c:pt idx="44">
                  <c:v>44669</c:v>
                </c:pt>
                <c:pt idx="45">
                  <c:v>44670</c:v>
                </c:pt>
                <c:pt idx="46">
                  <c:v>44671</c:v>
                </c:pt>
                <c:pt idx="47">
                  <c:v>44672</c:v>
                </c:pt>
                <c:pt idx="48">
                  <c:v>44673</c:v>
                </c:pt>
                <c:pt idx="49">
                  <c:v>44676</c:v>
                </c:pt>
                <c:pt idx="50">
                  <c:v>44677</c:v>
                </c:pt>
                <c:pt idx="51">
                  <c:v>44678</c:v>
                </c:pt>
                <c:pt idx="52">
                  <c:v>44679</c:v>
                </c:pt>
                <c:pt idx="53">
                  <c:v>44680</c:v>
                </c:pt>
                <c:pt idx="54">
                  <c:v>44683</c:v>
                </c:pt>
                <c:pt idx="55">
                  <c:v>44684</c:v>
                </c:pt>
                <c:pt idx="56">
                  <c:v>44685</c:v>
                </c:pt>
                <c:pt idx="57">
                  <c:v>44686</c:v>
                </c:pt>
                <c:pt idx="58">
                  <c:v>44687</c:v>
                </c:pt>
                <c:pt idx="59">
                  <c:v>44690</c:v>
                </c:pt>
                <c:pt idx="60">
                  <c:v>44691</c:v>
                </c:pt>
                <c:pt idx="61">
                  <c:v>44692</c:v>
                </c:pt>
                <c:pt idx="62">
                  <c:v>44693</c:v>
                </c:pt>
                <c:pt idx="63">
                  <c:v>44694</c:v>
                </c:pt>
                <c:pt idx="64">
                  <c:v>44697</c:v>
                </c:pt>
                <c:pt idx="65">
                  <c:v>44698</c:v>
                </c:pt>
                <c:pt idx="66">
                  <c:v>44699</c:v>
                </c:pt>
                <c:pt idx="67">
                  <c:v>44700</c:v>
                </c:pt>
                <c:pt idx="68">
                  <c:v>44701</c:v>
                </c:pt>
                <c:pt idx="69">
                  <c:v>44704</c:v>
                </c:pt>
                <c:pt idx="70">
                  <c:v>44705</c:v>
                </c:pt>
                <c:pt idx="71">
                  <c:v>44706</c:v>
                </c:pt>
                <c:pt idx="72">
                  <c:v>44707</c:v>
                </c:pt>
                <c:pt idx="73">
                  <c:v>44708</c:v>
                </c:pt>
                <c:pt idx="74">
                  <c:v>44711</c:v>
                </c:pt>
                <c:pt idx="75">
                  <c:v>44712</c:v>
                </c:pt>
                <c:pt idx="76">
                  <c:v>44713</c:v>
                </c:pt>
                <c:pt idx="77">
                  <c:v>44714</c:v>
                </c:pt>
                <c:pt idx="78">
                  <c:v>44715</c:v>
                </c:pt>
                <c:pt idx="79">
                  <c:v>44718</c:v>
                </c:pt>
                <c:pt idx="80">
                  <c:v>44719</c:v>
                </c:pt>
                <c:pt idx="81">
                  <c:v>44720</c:v>
                </c:pt>
                <c:pt idx="82">
                  <c:v>44721</c:v>
                </c:pt>
                <c:pt idx="83">
                  <c:v>44722</c:v>
                </c:pt>
                <c:pt idx="84">
                  <c:v>44725</c:v>
                </c:pt>
                <c:pt idx="85">
                  <c:v>44726</c:v>
                </c:pt>
                <c:pt idx="86">
                  <c:v>44727</c:v>
                </c:pt>
                <c:pt idx="87">
                  <c:v>44728</c:v>
                </c:pt>
                <c:pt idx="88">
                  <c:v>44729</c:v>
                </c:pt>
                <c:pt idx="89">
                  <c:v>44732</c:v>
                </c:pt>
                <c:pt idx="90">
                  <c:v>44733</c:v>
                </c:pt>
                <c:pt idx="91">
                  <c:v>44734</c:v>
                </c:pt>
                <c:pt idx="92">
                  <c:v>44735</c:v>
                </c:pt>
                <c:pt idx="93">
                  <c:v>44736</c:v>
                </c:pt>
                <c:pt idx="94">
                  <c:v>44739</c:v>
                </c:pt>
                <c:pt idx="95">
                  <c:v>44740</c:v>
                </c:pt>
                <c:pt idx="96">
                  <c:v>44741</c:v>
                </c:pt>
                <c:pt idx="97">
                  <c:v>44742</c:v>
                </c:pt>
                <c:pt idx="98">
                  <c:v>44743</c:v>
                </c:pt>
                <c:pt idx="99">
                  <c:v>44746</c:v>
                </c:pt>
                <c:pt idx="100">
                  <c:v>44747</c:v>
                </c:pt>
                <c:pt idx="101">
                  <c:v>44748</c:v>
                </c:pt>
                <c:pt idx="102">
                  <c:v>44749</c:v>
                </c:pt>
                <c:pt idx="103">
                  <c:v>44750</c:v>
                </c:pt>
                <c:pt idx="104">
                  <c:v>44753</c:v>
                </c:pt>
                <c:pt idx="105">
                  <c:v>44754</c:v>
                </c:pt>
                <c:pt idx="106">
                  <c:v>44755</c:v>
                </c:pt>
                <c:pt idx="107">
                  <c:v>44756</c:v>
                </c:pt>
                <c:pt idx="108">
                  <c:v>44757</c:v>
                </c:pt>
                <c:pt idx="109">
                  <c:v>44760</c:v>
                </c:pt>
                <c:pt idx="110">
                  <c:v>44761</c:v>
                </c:pt>
                <c:pt idx="111">
                  <c:v>44762</c:v>
                </c:pt>
                <c:pt idx="112">
                  <c:v>44763</c:v>
                </c:pt>
                <c:pt idx="113">
                  <c:v>44764</c:v>
                </c:pt>
                <c:pt idx="114">
                  <c:v>44767</c:v>
                </c:pt>
                <c:pt idx="115">
                  <c:v>44768</c:v>
                </c:pt>
                <c:pt idx="116">
                  <c:v>44769</c:v>
                </c:pt>
                <c:pt idx="117">
                  <c:v>44770</c:v>
                </c:pt>
                <c:pt idx="118">
                  <c:v>44771</c:v>
                </c:pt>
              </c:numCache>
            </c:numRef>
          </c:cat>
          <c:val>
            <c:numRef>
              <c:f>'Corrélation roulante'!$H$5:$H$123</c:f>
              <c:numCache>
                <c:formatCode>General</c:formatCode>
                <c:ptCount val="119"/>
                <c:pt idx="0">
                  <c:v>0</c:v>
                </c:pt>
                <c:pt idx="1">
                  <c:v>0</c:v>
                </c:pt>
                <c:pt idx="2">
                  <c:v>0</c:v>
                </c:pt>
                <c:pt idx="3">
                  <c:v>0</c:v>
                </c:pt>
                <c:pt idx="4">
                  <c:v>0.8</c:v>
                </c:pt>
                <c:pt idx="5">
                  <c:v>0.8</c:v>
                </c:pt>
                <c:pt idx="6">
                  <c:v>0.8</c:v>
                </c:pt>
                <c:pt idx="7">
                  <c:v>0.8</c:v>
                </c:pt>
                <c:pt idx="8">
                  <c:v>0.8</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numCache>
            </c:numRef>
          </c:val>
          <c:extLst>
            <c:ext xmlns:c16="http://schemas.microsoft.com/office/drawing/2014/chart" uri="{C3380CC4-5D6E-409C-BE32-E72D297353CC}">
              <c16:uniqueId val="{00000000-7F7F-450F-958C-0AE2602A4C8C}"/>
            </c:ext>
          </c:extLst>
        </c:ser>
        <c:dLbls>
          <c:showLegendKey val="0"/>
          <c:showVal val="0"/>
          <c:showCatName val="0"/>
          <c:showSerName val="0"/>
          <c:showPercent val="0"/>
          <c:showBubbleSize val="0"/>
        </c:dLbls>
        <c:axId val="1530499808"/>
        <c:axId val="1530499152"/>
      </c:areaChart>
      <c:lineChart>
        <c:grouping val="standard"/>
        <c:varyColors val="0"/>
        <c:ser>
          <c:idx val="0"/>
          <c:order val="0"/>
          <c:tx>
            <c:v>Corrélation roulante</c:v>
          </c:tx>
          <c:spPr>
            <a:ln w="22225" cap="rnd">
              <a:solidFill>
                <a:schemeClr val="accent1">
                  <a:shade val="65000"/>
                </a:schemeClr>
              </a:solidFill>
            </a:ln>
            <a:effectLst>
              <a:glow rad="139700">
                <a:schemeClr val="accent1">
                  <a:shade val="65000"/>
                  <a:satMod val="175000"/>
                  <a:alpha val="14000"/>
                </a:schemeClr>
              </a:glow>
            </a:effectLst>
          </c:spPr>
          <c:marker>
            <c:symbol val="none"/>
          </c:marker>
          <c:cat>
            <c:numRef>
              <c:f>'Corrélation roulante'!$E$5:$E$153</c:f>
              <c:numCache>
                <c:formatCode>m/d/yyyy</c:formatCode>
                <c:ptCount val="149"/>
                <c:pt idx="0">
                  <c:v>44607</c:v>
                </c:pt>
                <c:pt idx="1">
                  <c:v>44608</c:v>
                </c:pt>
                <c:pt idx="2">
                  <c:v>44609</c:v>
                </c:pt>
                <c:pt idx="3">
                  <c:v>44610</c:v>
                </c:pt>
                <c:pt idx="4">
                  <c:v>44613</c:v>
                </c:pt>
                <c:pt idx="5">
                  <c:v>44614</c:v>
                </c:pt>
                <c:pt idx="6">
                  <c:v>44615</c:v>
                </c:pt>
                <c:pt idx="7">
                  <c:v>44616</c:v>
                </c:pt>
                <c:pt idx="8">
                  <c:v>44617</c:v>
                </c:pt>
                <c:pt idx="9">
                  <c:v>44620</c:v>
                </c:pt>
                <c:pt idx="10">
                  <c:v>44621</c:v>
                </c:pt>
                <c:pt idx="11">
                  <c:v>44622</c:v>
                </c:pt>
                <c:pt idx="12">
                  <c:v>44623</c:v>
                </c:pt>
                <c:pt idx="13">
                  <c:v>44624</c:v>
                </c:pt>
                <c:pt idx="14">
                  <c:v>44627</c:v>
                </c:pt>
                <c:pt idx="15">
                  <c:v>44628</c:v>
                </c:pt>
                <c:pt idx="16">
                  <c:v>44629</c:v>
                </c:pt>
                <c:pt idx="17">
                  <c:v>44630</c:v>
                </c:pt>
                <c:pt idx="18">
                  <c:v>44631</c:v>
                </c:pt>
                <c:pt idx="19">
                  <c:v>44634</c:v>
                </c:pt>
                <c:pt idx="20">
                  <c:v>44635</c:v>
                </c:pt>
                <c:pt idx="21">
                  <c:v>44636</c:v>
                </c:pt>
                <c:pt idx="22">
                  <c:v>44637</c:v>
                </c:pt>
                <c:pt idx="23">
                  <c:v>44638</c:v>
                </c:pt>
                <c:pt idx="24">
                  <c:v>44641</c:v>
                </c:pt>
                <c:pt idx="25">
                  <c:v>44642</c:v>
                </c:pt>
                <c:pt idx="26">
                  <c:v>44643</c:v>
                </c:pt>
                <c:pt idx="27">
                  <c:v>44644</c:v>
                </c:pt>
                <c:pt idx="28">
                  <c:v>44645</c:v>
                </c:pt>
                <c:pt idx="29">
                  <c:v>44648</c:v>
                </c:pt>
                <c:pt idx="30">
                  <c:v>44649</c:v>
                </c:pt>
                <c:pt idx="31">
                  <c:v>44650</c:v>
                </c:pt>
                <c:pt idx="32">
                  <c:v>44651</c:v>
                </c:pt>
                <c:pt idx="33">
                  <c:v>44652</c:v>
                </c:pt>
                <c:pt idx="34">
                  <c:v>44655</c:v>
                </c:pt>
                <c:pt idx="35">
                  <c:v>44656</c:v>
                </c:pt>
                <c:pt idx="36">
                  <c:v>44657</c:v>
                </c:pt>
                <c:pt idx="37">
                  <c:v>44658</c:v>
                </c:pt>
                <c:pt idx="38">
                  <c:v>44659</c:v>
                </c:pt>
                <c:pt idx="39">
                  <c:v>44662</c:v>
                </c:pt>
                <c:pt idx="40">
                  <c:v>44663</c:v>
                </c:pt>
                <c:pt idx="41">
                  <c:v>44664</c:v>
                </c:pt>
                <c:pt idx="42">
                  <c:v>44665</c:v>
                </c:pt>
                <c:pt idx="43">
                  <c:v>44666</c:v>
                </c:pt>
                <c:pt idx="44">
                  <c:v>44669</c:v>
                </c:pt>
                <c:pt idx="45">
                  <c:v>44670</c:v>
                </c:pt>
                <c:pt idx="46">
                  <c:v>44671</c:v>
                </c:pt>
                <c:pt idx="47">
                  <c:v>44672</c:v>
                </c:pt>
                <c:pt idx="48">
                  <c:v>44673</c:v>
                </c:pt>
                <c:pt idx="49">
                  <c:v>44676</c:v>
                </c:pt>
                <c:pt idx="50">
                  <c:v>44677</c:v>
                </c:pt>
                <c:pt idx="51">
                  <c:v>44678</c:v>
                </c:pt>
                <c:pt idx="52">
                  <c:v>44679</c:v>
                </c:pt>
                <c:pt idx="53">
                  <c:v>44680</c:v>
                </c:pt>
                <c:pt idx="54">
                  <c:v>44683</c:v>
                </c:pt>
                <c:pt idx="55">
                  <c:v>44684</c:v>
                </c:pt>
                <c:pt idx="56">
                  <c:v>44685</c:v>
                </c:pt>
                <c:pt idx="57">
                  <c:v>44686</c:v>
                </c:pt>
                <c:pt idx="58">
                  <c:v>44687</c:v>
                </c:pt>
                <c:pt idx="59">
                  <c:v>44690</c:v>
                </c:pt>
                <c:pt idx="60">
                  <c:v>44691</c:v>
                </c:pt>
                <c:pt idx="61">
                  <c:v>44692</c:v>
                </c:pt>
                <c:pt idx="62">
                  <c:v>44693</c:v>
                </c:pt>
                <c:pt idx="63">
                  <c:v>44694</c:v>
                </c:pt>
                <c:pt idx="64">
                  <c:v>44697</c:v>
                </c:pt>
                <c:pt idx="65">
                  <c:v>44698</c:v>
                </c:pt>
                <c:pt idx="66">
                  <c:v>44699</c:v>
                </c:pt>
                <c:pt idx="67">
                  <c:v>44700</c:v>
                </c:pt>
                <c:pt idx="68">
                  <c:v>44701</c:v>
                </c:pt>
                <c:pt idx="69">
                  <c:v>44704</c:v>
                </c:pt>
                <c:pt idx="70">
                  <c:v>44705</c:v>
                </c:pt>
                <c:pt idx="71">
                  <c:v>44706</c:v>
                </c:pt>
                <c:pt idx="72">
                  <c:v>44707</c:v>
                </c:pt>
                <c:pt idx="73">
                  <c:v>44708</c:v>
                </c:pt>
                <c:pt idx="74">
                  <c:v>44711</c:v>
                </c:pt>
                <c:pt idx="75">
                  <c:v>44712</c:v>
                </c:pt>
                <c:pt idx="76">
                  <c:v>44713</c:v>
                </c:pt>
                <c:pt idx="77">
                  <c:v>44714</c:v>
                </c:pt>
                <c:pt idx="78">
                  <c:v>44715</c:v>
                </c:pt>
                <c:pt idx="79">
                  <c:v>44718</c:v>
                </c:pt>
                <c:pt idx="80">
                  <c:v>44719</c:v>
                </c:pt>
                <c:pt idx="81">
                  <c:v>44720</c:v>
                </c:pt>
                <c:pt idx="82">
                  <c:v>44721</c:v>
                </c:pt>
                <c:pt idx="83">
                  <c:v>44722</c:v>
                </c:pt>
                <c:pt idx="84">
                  <c:v>44725</c:v>
                </c:pt>
                <c:pt idx="85">
                  <c:v>44726</c:v>
                </c:pt>
                <c:pt idx="86">
                  <c:v>44727</c:v>
                </c:pt>
                <c:pt idx="87">
                  <c:v>44728</c:v>
                </c:pt>
                <c:pt idx="88">
                  <c:v>44729</c:v>
                </c:pt>
                <c:pt idx="89">
                  <c:v>44732</c:v>
                </c:pt>
                <c:pt idx="90">
                  <c:v>44733</c:v>
                </c:pt>
                <c:pt idx="91">
                  <c:v>44734</c:v>
                </c:pt>
                <c:pt idx="92">
                  <c:v>44735</c:v>
                </c:pt>
                <c:pt idx="93">
                  <c:v>44736</c:v>
                </c:pt>
                <c:pt idx="94">
                  <c:v>44739</c:v>
                </c:pt>
                <c:pt idx="95">
                  <c:v>44740</c:v>
                </c:pt>
                <c:pt idx="96">
                  <c:v>44741</c:v>
                </c:pt>
                <c:pt idx="97">
                  <c:v>44742</c:v>
                </c:pt>
                <c:pt idx="98">
                  <c:v>44743</c:v>
                </c:pt>
                <c:pt idx="99">
                  <c:v>44746</c:v>
                </c:pt>
                <c:pt idx="100">
                  <c:v>44747</c:v>
                </c:pt>
                <c:pt idx="101">
                  <c:v>44748</c:v>
                </c:pt>
                <c:pt idx="102">
                  <c:v>44749</c:v>
                </c:pt>
                <c:pt idx="103">
                  <c:v>44750</c:v>
                </c:pt>
                <c:pt idx="104">
                  <c:v>44753</c:v>
                </c:pt>
                <c:pt idx="105">
                  <c:v>44754</c:v>
                </c:pt>
                <c:pt idx="106">
                  <c:v>44755</c:v>
                </c:pt>
                <c:pt idx="107">
                  <c:v>44756</c:v>
                </c:pt>
                <c:pt idx="108">
                  <c:v>44757</c:v>
                </c:pt>
                <c:pt idx="109">
                  <c:v>44760</c:v>
                </c:pt>
                <c:pt idx="110">
                  <c:v>44761</c:v>
                </c:pt>
                <c:pt idx="111">
                  <c:v>44762</c:v>
                </c:pt>
                <c:pt idx="112">
                  <c:v>44763</c:v>
                </c:pt>
                <c:pt idx="113">
                  <c:v>44764</c:v>
                </c:pt>
                <c:pt idx="114">
                  <c:v>44767</c:v>
                </c:pt>
                <c:pt idx="115">
                  <c:v>44768</c:v>
                </c:pt>
                <c:pt idx="116">
                  <c:v>44769</c:v>
                </c:pt>
                <c:pt idx="117">
                  <c:v>44770</c:v>
                </c:pt>
                <c:pt idx="118">
                  <c:v>44771</c:v>
                </c:pt>
              </c:numCache>
            </c:numRef>
          </c:cat>
          <c:val>
            <c:numRef>
              <c:f>'Corrélation roulante'!$F$5:$F$123</c:f>
              <c:numCache>
                <c:formatCode>General</c:formatCode>
                <c:ptCount val="119"/>
                <c:pt idx="0">
                  <c:v>0.53229842029529184</c:v>
                </c:pt>
                <c:pt idx="1">
                  <c:v>0.53528548261987785</c:v>
                </c:pt>
                <c:pt idx="2">
                  <c:v>0.49282956142917694</c:v>
                </c:pt>
                <c:pt idx="3">
                  <c:v>0.48651595304743206</c:v>
                </c:pt>
                <c:pt idx="4">
                  <c:v>0.49797179172218187</c:v>
                </c:pt>
                <c:pt idx="5">
                  <c:v>0.49082749423110295</c:v>
                </c:pt>
                <c:pt idx="6">
                  <c:v>0.48626031374883311</c:v>
                </c:pt>
                <c:pt idx="7">
                  <c:v>0.48182116575902573</c:v>
                </c:pt>
                <c:pt idx="8">
                  <c:v>0.21090378527887305</c:v>
                </c:pt>
                <c:pt idx="9">
                  <c:v>0.229077741610517</c:v>
                </c:pt>
                <c:pt idx="10">
                  <c:v>0.22773357726753404</c:v>
                </c:pt>
                <c:pt idx="11">
                  <c:v>0.17873981820058424</c:v>
                </c:pt>
                <c:pt idx="12">
                  <c:v>0.17643958692703265</c:v>
                </c:pt>
                <c:pt idx="13">
                  <c:v>0.19433472281725911</c:v>
                </c:pt>
                <c:pt idx="14">
                  <c:v>0.16102592571324478</c:v>
                </c:pt>
                <c:pt idx="15">
                  <c:v>0.30142094493687333</c:v>
                </c:pt>
                <c:pt idx="16">
                  <c:v>0.30757432257466349</c:v>
                </c:pt>
                <c:pt idx="17">
                  <c:v>0.21351444788993315</c:v>
                </c:pt>
                <c:pt idx="18">
                  <c:v>0.20484206798512289</c:v>
                </c:pt>
                <c:pt idx="19">
                  <c:v>0.22040306429703577</c:v>
                </c:pt>
                <c:pt idx="20">
                  <c:v>0.18912630637195468</c:v>
                </c:pt>
                <c:pt idx="21">
                  <c:v>8.2270610359216054E-2</c:v>
                </c:pt>
                <c:pt idx="22">
                  <c:v>0.28262295682968891</c:v>
                </c:pt>
                <c:pt idx="23">
                  <c:v>0.26725787836927539</c:v>
                </c:pt>
                <c:pt idx="24">
                  <c:v>0.28228713095611047</c:v>
                </c:pt>
                <c:pt idx="25">
                  <c:v>0.2826996756473536</c:v>
                </c:pt>
                <c:pt idx="26">
                  <c:v>0.30605635660485969</c:v>
                </c:pt>
                <c:pt idx="27">
                  <c:v>0.25744741673637817</c:v>
                </c:pt>
                <c:pt idx="28">
                  <c:v>0.28062001271914705</c:v>
                </c:pt>
                <c:pt idx="29">
                  <c:v>0.27793717971364179</c:v>
                </c:pt>
                <c:pt idx="30">
                  <c:v>0.27753714345738206</c:v>
                </c:pt>
                <c:pt idx="31">
                  <c:v>0.27346764886439351</c:v>
                </c:pt>
                <c:pt idx="32">
                  <c:v>0.25547909581314349</c:v>
                </c:pt>
                <c:pt idx="33">
                  <c:v>0.26673574691962437</c:v>
                </c:pt>
                <c:pt idx="34">
                  <c:v>0.27664972459944798</c:v>
                </c:pt>
                <c:pt idx="35">
                  <c:v>0.29473667401855957</c:v>
                </c:pt>
                <c:pt idx="36">
                  <c:v>0.27725144888091546</c:v>
                </c:pt>
                <c:pt idx="37">
                  <c:v>0.30587011435822897</c:v>
                </c:pt>
                <c:pt idx="38">
                  <c:v>0.40143609417940007</c:v>
                </c:pt>
                <c:pt idx="39">
                  <c:v>0.40385283620525625</c:v>
                </c:pt>
                <c:pt idx="40">
                  <c:v>0.43132047569930232</c:v>
                </c:pt>
                <c:pt idx="41">
                  <c:v>0.46190447304326226</c:v>
                </c:pt>
                <c:pt idx="42">
                  <c:v>0.49176286124162333</c:v>
                </c:pt>
                <c:pt idx="43">
                  <c:v>0.50021234940730408</c:v>
                </c:pt>
                <c:pt idx="44">
                  <c:v>0.4972189540383195</c:v>
                </c:pt>
                <c:pt idx="45">
                  <c:v>0.42532216698601871</c:v>
                </c:pt>
                <c:pt idx="46">
                  <c:v>0.38410745157824883</c:v>
                </c:pt>
                <c:pt idx="47">
                  <c:v>0.47568525943633783</c:v>
                </c:pt>
                <c:pt idx="48">
                  <c:v>0.49479501865273778</c:v>
                </c:pt>
                <c:pt idx="49">
                  <c:v>0.46554517704127635</c:v>
                </c:pt>
                <c:pt idx="50">
                  <c:v>0.41618676323720083</c:v>
                </c:pt>
                <c:pt idx="51">
                  <c:v>0.48393245166990817</c:v>
                </c:pt>
                <c:pt idx="52">
                  <c:v>0.32861948441170485</c:v>
                </c:pt>
                <c:pt idx="53">
                  <c:v>0.36461062400542349</c:v>
                </c:pt>
                <c:pt idx="54">
                  <c:v>0.14463513955213878</c:v>
                </c:pt>
                <c:pt idx="55">
                  <c:v>0.14557946543367239</c:v>
                </c:pt>
                <c:pt idx="56">
                  <c:v>7.2764663788090489E-2</c:v>
                </c:pt>
                <c:pt idx="57">
                  <c:v>6.0038837050800077E-2</c:v>
                </c:pt>
                <c:pt idx="58">
                  <c:v>8.2182114926849931E-2</c:v>
                </c:pt>
                <c:pt idx="59">
                  <c:v>0.16837133822892766</c:v>
                </c:pt>
                <c:pt idx="60">
                  <c:v>0.20916500277652283</c:v>
                </c:pt>
                <c:pt idx="61">
                  <c:v>0.20187324441862256</c:v>
                </c:pt>
                <c:pt idx="62">
                  <c:v>0.20707243608677328</c:v>
                </c:pt>
                <c:pt idx="63">
                  <c:v>0.1814492726460297</c:v>
                </c:pt>
                <c:pt idx="64">
                  <c:v>0.25553647088763837</c:v>
                </c:pt>
                <c:pt idx="65">
                  <c:v>0.20714338202947452</c:v>
                </c:pt>
                <c:pt idx="66">
                  <c:v>0.23102183847104241</c:v>
                </c:pt>
                <c:pt idx="67">
                  <c:v>0.1686531874173135</c:v>
                </c:pt>
                <c:pt idx="68">
                  <c:v>0.21305303392629449</c:v>
                </c:pt>
                <c:pt idx="69">
                  <c:v>0.22764279320874309</c:v>
                </c:pt>
                <c:pt idx="70">
                  <c:v>0.17816255180189516</c:v>
                </c:pt>
                <c:pt idx="71">
                  <c:v>0.20942197749503474</c:v>
                </c:pt>
                <c:pt idx="72">
                  <c:v>0.20328691906366966</c:v>
                </c:pt>
                <c:pt idx="73">
                  <c:v>0.20600976379797842</c:v>
                </c:pt>
                <c:pt idx="74">
                  <c:v>0.2787828037519901</c:v>
                </c:pt>
                <c:pt idx="75">
                  <c:v>0.26952260068441514</c:v>
                </c:pt>
                <c:pt idx="76">
                  <c:v>0.28110566433902412</c:v>
                </c:pt>
                <c:pt idx="77">
                  <c:v>0.28046340523389762</c:v>
                </c:pt>
                <c:pt idx="78">
                  <c:v>0.24836820548116015</c:v>
                </c:pt>
                <c:pt idx="79">
                  <c:v>0.24268267831219939</c:v>
                </c:pt>
                <c:pt idx="80">
                  <c:v>0.27985127276192739</c:v>
                </c:pt>
                <c:pt idx="81">
                  <c:v>0.29742297583395938</c:v>
                </c:pt>
                <c:pt idx="82">
                  <c:v>0.26805501383053654</c:v>
                </c:pt>
                <c:pt idx="83">
                  <c:v>0.2382931253006623</c:v>
                </c:pt>
                <c:pt idx="84">
                  <c:v>0.33637751273782984</c:v>
                </c:pt>
                <c:pt idx="85">
                  <c:v>0.40553035656272596</c:v>
                </c:pt>
                <c:pt idx="86">
                  <c:v>0.40745414755548504</c:v>
                </c:pt>
                <c:pt idx="87">
                  <c:v>0.44266619188879336</c:v>
                </c:pt>
                <c:pt idx="88">
                  <c:v>0.50062519310790277</c:v>
                </c:pt>
                <c:pt idx="89">
                  <c:v>0.49626055987193018</c:v>
                </c:pt>
                <c:pt idx="90">
                  <c:v>0.47399940216920139</c:v>
                </c:pt>
                <c:pt idx="91">
                  <c:v>0.50540192184839361</c:v>
                </c:pt>
                <c:pt idx="92">
                  <c:v>0.49993549364964851</c:v>
                </c:pt>
                <c:pt idx="93">
                  <c:v>0.5327705358530066</c:v>
                </c:pt>
                <c:pt idx="94">
                  <c:v>0.52023618359481916</c:v>
                </c:pt>
                <c:pt idx="95">
                  <c:v>0.51156262969578203</c:v>
                </c:pt>
                <c:pt idx="96">
                  <c:v>0.48935454088042724</c:v>
                </c:pt>
                <c:pt idx="97">
                  <c:v>0.53220742002670962</c:v>
                </c:pt>
                <c:pt idx="98">
                  <c:v>0.52241037167880933</c:v>
                </c:pt>
                <c:pt idx="99">
                  <c:v>0.51726937324325017</c:v>
                </c:pt>
                <c:pt idx="100">
                  <c:v>0.54098984931490401</c:v>
                </c:pt>
                <c:pt idx="101">
                  <c:v>0.53812796964351006</c:v>
                </c:pt>
                <c:pt idx="102">
                  <c:v>0.5168170346121792</c:v>
                </c:pt>
                <c:pt idx="103">
                  <c:v>0.55310970569240514</c:v>
                </c:pt>
                <c:pt idx="104">
                  <c:v>0.51021882769620808</c:v>
                </c:pt>
                <c:pt idx="105">
                  <c:v>0.5267031030512741</c:v>
                </c:pt>
                <c:pt idx="106">
                  <c:v>0.55646926416090792</c:v>
                </c:pt>
                <c:pt idx="107">
                  <c:v>0.55403013956562419</c:v>
                </c:pt>
                <c:pt idx="108">
                  <c:v>0.59557019544112588</c:v>
                </c:pt>
                <c:pt idx="109">
                  <c:v>0.55914884398582798</c:v>
                </c:pt>
                <c:pt idx="110">
                  <c:v>0.52318439050369359</c:v>
                </c:pt>
                <c:pt idx="111">
                  <c:v>0.50305299680773219</c:v>
                </c:pt>
                <c:pt idx="112">
                  <c:v>0.54893375499509212</c:v>
                </c:pt>
                <c:pt idx="113">
                  <c:v>0.57567063010451325</c:v>
                </c:pt>
                <c:pt idx="114">
                  <c:v>0.60035480701529376</c:v>
                </c:pt>
                <c:pt idx="115">
                  <c:v>0.52344859768011764</c:v>
                </c:pt>
                <c:pt idx="116">
                  <c:v>0.51197744587467009</c:v>
                </c:pt>
                <c:pt idx="117">
                  <c:v>0.49825095606097086</c:v>
                </c:pt>
                <c:pt idx="118">
                  <c:v>0.39942370942518984</c:v>
                </c:pt>
              </c:numCache>
            </c:numRef>
          </c:val>
          <c:smooth val="0"/>
          <c:extLst>
            <c:ext xmlns:c16="http://schemas.microsoft.com/office/drawing/2014/chart" uri="{C3380CC4-5D6E-409C-BE32-E72D297353CC}">
              <c16:uniqueId val="{00000001-7F7F-450F-958C-0AE2602A4C8C}"/>
            </c:ext>
          </c:extLst>
        </c:ser>
        <c:ser>
          <c:idx val="1"/>
          <c:order val="1"/>
          <c:tx>
            <c:v>Line 0</c:v>
          </c:tx>
          <c:spPr>
            <a:ln w="22225" cap="rnd">
              <a:solidFill>
                <a:schemeClr val="accent1"/>
              </a:solidFill>
              <a:prstDash val="sysDash"/>
            </a:ln>
            <a:effectLst>
              <a:glow rad="139700">
                <a:schemeClr val="accent1">
                  <a:satMod val="175000"/>
                  <a:alpha val="14000"/>
                </a:schemeClr>
              </a:glow>
            </a:effectLst>
          </c:spPr>
          <c:marker>
            <c:symbol val="none"/>
          </c:marker>
          <c:cat>
            <c:numRef>
              <c:f>'Corrélation roulante'!$E$5:$E$153</c:f>
              <c:numCache>
                <c:formatCode>m/d/yyyy</c:formatCode>
                <c:ptCount val="149"/>
                <c:pt idx="0">
                  <c:v>44607</c:v>
                </c:pt>
                <c:pt idx="1">
                  <c:v>44608</c:v>
                </c:pt>
                <c:pt idx="2">
                  <c:v>44609</c:v>
                </c:pt>
                <c:pt idx="3">
                  <c:v>44610</c:v>
                </c:pt>
                <c:pt idx="4">
                  <c:v>44613</c:v>
                </c:pt>
                <c:pt idx="5">
                  <c:v>44614</c:v>
                </c:pt>
                <c:pt idx="6">
                  <c:v>44615</c:v>
                </c:pt>
                <c:pt idx="7">
                  <c:v>44616</c:v>
                </c:pt>
                <c:pt idx="8">
                  <c:v>44617</c:v>
                </c:pt>
                <c:pt idx="9">
                  <c:v>44620</c:v>
                </c:pt>
                <c:pt idx="10">
                  <c:v>44621</c:v>
                </c:pt>
                <c:pt idx="11">
                  <c:v>44622</c:v>
                </c:pt>
                <c:pt idx="12">
                  <c:v>44623</c:v>
                </c:pt>
                <c:pt idx="13">
                  <c:v>44624</c:v>
                </c:pt>
                <c:pt idx="14">
                  <c:v>44627</c:v>
                </c:pt>
                <c:pt idx="15">
                  <c:v>44628</c:v>
                </c:pt>
                <c:pt idx="16">
                  <c:v>44629</c:v>
                </c:pt>
                <c:pt idx="17">
                  <c:v>44630</c:v>
                </c:pt>
                <c:pt idx="18">
                  <c:v>44631</c:v>
                </c:pt>
                <c:pt idx="19">
                  <c:v>44634</c:v>
                </c:pt>
                <c:pt idx="20">
                  <c:v>44635</c:v>
                </c:pt>
                <c:pt idx="21">
                  <c:v>44636</c:v>
                </c:pt>
                <c:pt idx="22">
                  <c:v>44637</c:v>
                </c:pt>
                <c:pt idx="23">
                  <c:v>44638</c:v>
                </c:pt>
                <c:pt idx="24">
                  <c:v>44641</c:v>
                </c:pt>
                <c:pt idx="25">
                  <c:v>44642</c:v>
                </c:pt>
                <c:pt idx="26">
                  <c:v>44643</c:v>
                </c:pt>
                <c:pt idx="27">
                  <c:v>44644</c:v>
                </c:pt>
                <c:pt idx="28">
                  <c:v>44645</c:v>
                </c:pt>
                <c:pt idx="29">
                  <c:v>44648</c:v>
                </c:pt>
                <c:pt idx="30">
                  <c:v>44649</c:v>
                </c:pt>
                <c:pt idx="31">
                  <c:v>44650</c:v>
                </c:pt>
                <c:pt idx="32">
                  <c:v>44651</c:v>
                </c:pt>
                <c:pt idx="33">
                  <c:v>44652</c:v>
                </c:pt>
                <c:pt idx="34">
                  <c:v>44655</c:v>
                </c:pt>
                <c:pt idx="35">
                  <c:v>44656</c:v>
                </c:pt>
                <c:pt idx="36">
                  <c:v>44657</c:v>
                </c:pt>
                <c:pt idx="37">
                  <c:v>44658</c:v>
                </c:pt>
                <c:pt idx="38">
                  <c:v>44659</c:v>
                </c:pt>
                <c:pt idx="39">
                  <c:v>44662</c:v>
                </c:pt>
                <c:pt idx="40">
                  <c:v>44663</c:v>
                </c:pt>
                <c:pt idx="41">
                  <c:v>44664</c:v>
                </c:pt>
                <c:pt idx="42">
                  <c:v>44665</c:v>
                </c:pt>
                <c:pt idx="43">
                  <c:v>44666</c:v>
                </c:pt>
                <c:pt idx="44">
                  <c:v>44669</c:v>
                </c:pt>
                <c:pt idx="45">
                  <c:v>44670</c:v>
                </c:pt>
                <c:pt idx="46">
                  <c:v>44671</c:v>
                </c:pt>
                <c:pt idx="47">
                  <c:v>44672</c:v>
                </c:pt>
                <c:pt idx="48">
                  <c:v>44673</c:v>
                </c:pt>
                <c:pt idx="49">
                  <c:v>44676</c:v>
                </c:pt>
                <c:pt idx="50">
                  <c:v>44677</c:v>
                </c:pt>
                <c:pt idx="51">
                  <c:v>44678</c:v>
                </c:pt>
                <c:pt idx="52">
                  <c:v>44679</c:v>
                </c:pt>
                <c:pt idx="53">
                  <c:v>44680</c:v>
                </c:pt>
                <c:pt idx="54">
                  <c:v>44683</c:v>
                </c:pt>
                <c:pt idx="55">
                  <c:v>44684</c:v>
                </c:pt>
                <c:pt idx="56">
                  <c:v>44685</c:v>
                </c:pt>
                <c:pt idx="57">
                  <c:v>44686</c:v>
                </c:pt>
                <c:pt idx="58">
                  <c:v>44687</c:v>
                </c:pt>
                <c:pt idx="59">
                  <c:v>44690</c:v>
                </c:pt>
                <c:pt idx="60">
                  <c:v>44691</c:v>
                </c:pt>
                <c:pt idx="61">
                  <c:v>44692</c:v>
                </c:pt>
                <c:pt idx="62">
                  <c:v>44693</c:v>
                </c:pt>
                <c:pt idx="63">
                  <c:v>44694</c:v>
                </c:pt>
                <c:pt idx="64">
                  <c:v>44697</c:v>
                </c:pt>
                <c:pt idx="65">
                  <c:v>44698</c:v>
                </c:pt>
                <c:pt idx="66">
                  <c:v>44699</c:v>
                </c:pt>
                <c:pt idx="67">
                  <c:v>44700</c:v>
                </c:pt>
                <c:pt idx="68">
                  <c:v>44701</c:v>
                </c:pt>
                <c:pt idx="69">
                  <c:v>44704</c:v>
                </c:pt>
                <c:pt idx="70">
                  <c:v>44705</c:v>
                </c:pt>
                <c:pt idx="71">
                  <c:v>44706</c:v>
                </c:pt>
                <c:pt idx="72">
                  <c:v>44707</c:v>
                </c:pt>
                <c:pt idx="73">
                  <c:v>44708</c:v>
                </c:pt>
                <c:pt idx="74">
                  <c:v>44711</c:v>
                </c:pt>
                <c:pt idx="75">
                  <c:v>44712</c:v>
                </c:pt>
                <c:pt idx="76">
                  <c:v>44713</c:v>
                </c:pt>
                <c:pt idx="77">
                  <c:v>44714</c:v>
                </c:pt>
                <c:pt idx="78">
                  <c:v>44715</c:v>
                </c:pt>
                <c:pt idx="79">
                  <c:v>44718</c:v>
                </c:pt>
                <c:pt idx="80">
                  <c:v>44719</c:v>
                </c:pt>
                <c:pt idx="81">
                  <c:v>44720</c:v>
                </c:pt>
                <c:pt idx="82">
                  <c:v>44721</c:v>
                </c:pt>
                <c:pt idx="83">
                  <c:v>44722</c:v>
                </c:pt>
                <c:pt idx="84">
                  <c:v>44725</c:v>
                </c:pt>
                <c:pt idx="85">
                  <c:v>44726</c:v>
                </c:pt>
                <c:pt idx="86">
                  <c:v>44727</c:v>
                </c:pt>
                <c:pt idx="87">
                  <c:v>44728</c:v>
                </c:pt>
                <c:pt idx="88">
                  <c:v>44729</c:v>
                </c:pt>
                <c:pt idx="89">
                  <c:v>44732</c:v>
                </c:pt>
                <c:pt idx="90">
                  <c:v>44733</c:v>
                </c:pt>
                <c:pt idx="91">
                  <c:v>44734</c:v>
                </c:pt>
                <c:pt idx="92">
                  <c:v>44735</c:v>
                </c:pt>
                <c:pt idx="93">
                  <c:v>44736</c:v>
                </c:pt>
                <c:pt idx="94">
                  <c:v>44739</c:v>
                </c:pt>
                <c:pt idx="95">
                  <c:v>44740</c:v>
                </c:pt>
                <c:pt idx="96">
                  <c:v>44741</c:v>
                </c:pt>
                <c:pt idx="97">
                  <c:v>44742</c:v>
                </c:pt>
                <c:pt idx="98">
                  <c:v>44743</c:v>
                </c:pt>
                <c:pt idx="99">
                  <c:v>44746</c:v>
                </c:pt>
                <c:pt idx="100">
                  <c:v>44747</c:v>
                </c:pt>
                <c:pt idx="101">
                  <c:v>44748</c:v>
                </c:pt>
                <c:pt idx="102">
                  <c:v>44749</c:v>
                </c:pt>
                <c:pt idx="103">
                  <c:v>44750</c:v>
                </c:pt>
                <c:pt idx="104">
                  <c:v>44753</c:v>
                </c:pt>
                <c:pt idx="105">
                  <c:v>44754</c:v>
                </c:pt>
                <c:pt idx="106">
                  <c:v>44755</c:v>
                </c:pt>
                <c:pt idx="107">
                  <c:v>44756</c:v>
                </c:pt>
                <c:pt idx="108">
                  <c:v>44757</c:v>
                </c:pt>
                <c:pt idx="109">
                  <c:v>44760</c:v>
                </c:pt>
                <c:pt idx="110">
                  <c:v>44761</c:v>
                </c:pt>
                <c:pt idx="111">
                  <c:v>44762</c:v>
                </c:pt>
                <c:pt idx="112">
                  <c:v>44763</c:v>
                </c:pt>
                <c:pt idx="113">
                  <c:v>44764</c:v>
                </c:pt>
                <c:pt idx="114">
                  <c:v>44767</c:v>
                </c:pt>
                <c:pt idx="115">
                  <c:v>44768</c:v>
                </c:pt>
                <c:pt idx="116">
                  <c:v>44769</c:v>
                </c:pt>
                <c:pt idx="117">
                  <c:v>44770</c:v>
                </c:pt>
                <c:pt idx="118">
                  <c:v>44771</c:v>
                </c:pt>
              </c:numCache>
            </c:numRef>
          </c:cat>
          <c:val>
            <c:numRef>
              <c:f>'Corrélation roulante'!$G$5:$G$123</c:f>
              <c:numCache>
                <c:formatCode>General</c:formatCode>
                <c:ptCount val="1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numCache>
            </c:numRef>
          </c:val>
          <c:smooth val="0"/>
          <c:extLst>
            <c:ext xmlns:c16="http://schemas.microsoft.com/office/drawing/2014/chart" uri="{C3380CC4-5D6E-409C-BE32-E72D297353CC}">
              <c16:uniqueId val="{00000002-7F7F-450F-958C-0AE2602A4C8C}"/>
            </c:ext>
          </c:extLst>
        </c:ser>
        <c:dLbls>
          <c:showLegendKey val="0"/>
          <c:showVal val="0"/>
          <c:showCatName val="0"/>
          <c:showSerName val="0"/>
          <c:showPercent val="0"/>
          <c:showBubbleSize val="0"/>
        </c:dLbls>
        <c:marker val="1"/>
        <c:smooth val="0"/>
        <c:axId val="723824984"/>
        <c:axId val="723826296"/>
      </c:lineChart>
      <c:dateAx>
        <c:axId val="723824984"/>
        <c:scaling>
          <c:orientation val="minMax"/>
        </c:scaling>
        <c:delete val="0"/>
        <c:axPos val="b"/>
        <c:numFmt formatCode="[$-40C]d\-mmm\-yy;@" sourceLinked="0"/>
        <c:majorTickMark val="none"/>
        <c:minorTickMark val="out"/>
        <c:tickLblPos val="nextTo"/>
        <c:spPr>
          <a:noFill/>
          <a:ln>
            <a:solidFill>
              <a:schemeClr val="bg1"/>
            </a:solidFill>
          </a:ln>
          <a:effectLst/>
        </c:spPr>
        <c:txPr>
          <a:bodyPr rot="-2700000" spcFirstLastPara="1" vertOverflow="ellipsis"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3826296"/>
        <c:crossesAt val="-0.45"/>
        <c:auto val="1"/>
        <c:lblOffset val="100"/>
        <c:baseTimeUnit val="days"/>
      </c:dateAx>
      <c:valAx>
        <c:axId val="723826296"/>
        <c:scaling>
          <c:orientation val="minMax"/>
          <c:max val="0.8"/>
          <c:min val="-0.2"/>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723824984"/>
        <c:crosses val="autoZero"/>
        <c:crossBetween val="between"/>
      </c:valAx>
      <c:valAx>
        <c:axId val="1530499152"/>
        <c:scaling>
          <c:orientation val="minMax"/>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1530499808"/>
        <c:crosses val="max"/>
        <c:crossBetween val="between"/>
      </c:valAx>
      <c:dateAx>
        <c:axId val="1530499808"/>
        <c:scaling>
          <c:orientation val="minMax"/>
        </c:scaling>
        <c:delete val="1"/>
        <c:axPos val="b"/>
        <c:numFmt formatCode="m/d/yyyy" sourceLinked="1"/>
        <c:majorTickMark val="out"/>
        <c:minorTickMark val="none"/>
        <c:tickLblPos val="nextTo"/>
        <c:crossAx val="1530499152"/>
        <c:crosses val="autoZero"/>
        <c:auto val="1"/>
        <c:lblOffset val="100"/>
        <c:baseTimeUnit val="days"/>
      </c:date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8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solidFill>
        <a:schemeClr val="phClr">
          <a:alpha val="85000"/>
        </a:schemeClr>
      </a:solidFill>
      <a:ln w="9525" cap="flat" cmpd="sng" algn="ctr">
        <a:solidFill>
          <a:schemeClr val="phClr">
            <a:lumMod val="75000"/>
          </a:schemeClr>
        </a:solidFill>
        <a:round/>
      </a:ln>
    </cs:spPr>
  </cs:dataPoint>
  <cs:dataPoint3D>
    <cs:lnRef idx="0">
      <cs:styleClr val="auto"/>
    </cs:lnRef>
    <cs:fillRef idx="0">
      <cs:styleClr val="auto"/>
    </cs:fillRef>
    <cs:effectRef idx="0">
      <cs:styleClr val="auto"/>
    </cs:effectRef>
    <cs:fontRef idx="minor">
      <a:schemeClr val="dk1"/>
    </cs:fontRef>
    <cs:spPr>
      <a:solidFill>
        <a:schemeClr val="phClr">
          <a:alpha val="85000"/>
        </a:schemeClr>
      </a:solidFill>
      <a:ln w="9525" cap="flat" cmpd="sng" algn="ctr">
        <a:solidFill>
          <a:schemeClr val="phClr">
            <a:lumMod val="75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spPr>
      <a:solidFill>
        <a:schemeClr val="lt1">
          <a:lumMod val="95000"/>
        </a:schemeClr>
      </a:solidFill>
      <a:sp3d/>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96">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Scroll" dx="22" fmlaLink="$A$50" horiz="1" inc="4" max="50" min="1" page="0" val="21"/>
</file>

<file path=xl/ctrlProps/ctrlProp2.xml><?xml version="1.0" encoding="utf-8"?>
<formControlPr xmlns="http://schemas.microsoft.com/office/spreadsheetml/2009/9/main" objectType="Scroll" dx="22" fmlaLink="$A$57" max="10" min="1" page="0"/>
</file>

<file path=xl/ctrlProps/ctrlProp3.xml><?xml version="1.0" encoding="utf-8"?>
<formControlPr xmlns="http://schemas.microsoft.com/office/spreadsheetml/2009/9/main" objectType="Spin" dx="22" fmlaLink="$A$57" inc="3" max="10" min="1" page="10"/>
</file>

<file path=xl/ctrlProps/ctrlProp4.xml><?xml version="1.0" encoding="utf-8"?>
<formControlPr xmlns="http://schemas.microsoft.com/office/spreadsheetml/2009/9/main" objectType="Spin" dx="22" fmlaLink="Indicateurs!$A$57" inc="3" max="10" min="1" page="10"/>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Radio" firstButton="1" fmlaLink="'Corrélation roulante'!$M$3" lockText="1" noThreeD="1"/>
</file>

<file path=xl/ctrlProps/ctrlProp7.xml><?xml version="1.0" encoding="utf-8"?>
<formControlPr xmlns="http://schemas.microsoft.com/office/spreadsheetml/2009/9/main" objectType="Radio" checked="Checked" lockText="1" noThreeD="1"/>
</file>

<file path=xl/ctrlProps/ctrlProp8.xml><?xml version="1.0" encoding="utf-8"?>
<formControlPr xmlns="http://schemas.microsoft.com/office/spreadsheetml/2009/9/main" objectType="Scroll" dx="22" fmlaLink="Indicateurs!$A$50" horiz="1" inc="4" max="50" min="1" page="4" val="21"/>
</file>

<file path=xl/drawings/_rels/drawing1.xml.rels><?xml version="1.0" encoding="UTF-8" standalone="yes"?>
<Relationships xmlns="http://schemas.openxmlformats.org/package/2006/relationships"><Relationship Id="rId1" Type="http://schemas.openxmlformats.org/officeDocument/2006/relationships/hyperlink" Target="#Dashboard!Y3"/></Relationships>
</file>

<file path=xl/drawings/_rels/drawing3.x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4.xml"/><Relationship Id="rId4" Type="http://schemas.openxmlformats.org/officeDocument/2006/relationships/chart" Target="../charts/chart3.xml"/></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12</xdr:col>
      <xdr:colOff>247650</xdr:colOff>
      <xdr:row>0</xdr:row>
      <xdr:rowOff>66675</xdr:rowOff>
    </xdr:from>
    <xdr:to>
      <xdr:col>14</xdr:col>
      <xdr:colOff>238125</xdr:colOff>
      <xdr:row>1</xdr:row>
      <xdr:rowOff>66675</xdr:rowOff>
    </xdr:to>
    <xdr:sp macro="[0]!_xludf.Activate" textlink="">
      <xdr:nvSpPr>
        <xdr:cNvPr id="2" name="Rectangle: Rounded Corners 1">
          <a:extLst>
            <a:ext uri="{FF2B5EF4-FFF2-40B4-BE49-F238E27FC236}">
              <a16:creationId xmlns:a16="http://schemas.microsoft.com/office/drawing/2014/main" id="{00000000-0008-0000-0000-000002000000}"/>
            </a:ext>
          </a:extLst>
        </xdr:cNvPr>
        <xdr:cNvSpPr/>
      </xdr:nvSpPr>
      <xdr:spPr>
        <a:xfrm>
          <a:off x="8505825" y="66675"/>
          <a:ext cx="1457325" cy="295275"/>
        </a:xfrm>
        <a:prstGeom prst="roundRect">
          <a:avLst/>
        </a:prstGeom>
        <a:solidFill>
          <a:schemeClr val="accent1">
            <a:lumMod val="50000"/>
          </a:schemeClr>
        </a:solidFill>
        <a:ln>
          <a:noFill/>
        </a:ln>
        <a:effectLst/>
        <a:scene3d>
          <a:camera prst="orthographicFront"/>
          <a:lightRig rig="threePt" dir="t"/>
        </a:scene3d>
        <a:sp3d>
          <a:bevelT/>
        </a:sp3d>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Activate</a:t>
          </a:r>
        </a:p>
      </xdr:txBody>
    </xdr:sp>
    <xdr:clientData/>
  </xdr:twoCellAnchor>
  <xdr:twoCellAnchor>
    <xdr:from>
      <xdr:col>12</xdr:col>
      <xdr:colOff>247650</xdr:colOff>
      <xdr:row>1</xdr:row>
      <xdr:rowOff>57149</xdr:rowOff>
    </xdr:from>
    <xdr:to>
      <xdr:col>14</xdr:col>
      <xdr:colOff>238125</xdr:colOff>
      <xdr:row>2</xdr:row>
      <xdr:rowOff>161924</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8505825" y="352424"/>
          <a:ext cx="1457325" cy="295275"/>
        </a:xfrm>
        <a:prstGeom prst="roundRect">
          <a:avLst/>
        </a:prstGeom>
        <a:solidFill>
          <a:schemeClr val="accent5">
            <a:lumMod val="20000"/>
            <a:lumOff val="80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baseline="0">
              <a:solidFill>
                <a:schemeClr val="tx2">
                  <a:lumMod val="75000"/>
                </a:schemeClr>
              </a:solidFill>
            </a:rPr>
            <a:t>Access Dashboard</a:t>
          </a:r>
          <a:endParaRPr lang="en-US" sz="1100" b="1">
            <a:solidFill>
              <a:schemeClr val="tx2">
                <a:lumMod val="7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52</xdr:row>
          <xdr:rowOff>38100</xdr:rowOff>
        </xdr:from>
        <xdr:to>
          <xdr:col>4</xdr:col>
          <xdr:colOff>390525</xdr:colOff>
          <xdr:row>53</xdr:row>
          <xdr:rowOff>38100</xdr:rowOff>
        </xdr:to>
        <xdr:sp macro="" textlink="">
          <xdr:nvSpPr>
            <xdr:cNvPr id="6164" name="Scroll Bar 20" hidden="1">
              <a:extLst>
                <a:ext uri="{63B3BB69-23CF-44E3-9099-C40C66FF867C}">
                  <a14:compatExt spid="_x0000_s6164"/>
                </a:ext>
                <a:ext uri="{FF2B5EF4-FFF2-40B4-BE49-F238E27FC236}">
                  <a16:creationId xmlns:a16="http://schemas.microsoft.com/office/drawing/2014/main" id="{00000000-0008-0000-0600-000014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285750</xdr:colOff>
          <xdr:row>56</xdr:row>
          <xdr:rowOff>9525</xdr:rowOff>
        </xdr:from>
        <xdr:to>
          <xdr:col>4</xdr:col>
          <xdr:colOff>600075</xdr:colOff>
          <xdr:row>58</xdr:row>
          <xdr:rowOff>200025</xdr:rowOff>
        </xdr:to>
        <xdr:sp macro="" textlink="">
          <xdr:nvSpPr>
            <xdr:cNvPr id="6174" name="Scroll Bar 30" hidden="1">
              <a:extLst>
                <a:ext uri="{63B3BB69-23CF-44E3-9099-C40C66FF867C}">
                  <a14:compatExt spid="_x0000_s6174"/>
                </a:ext>
                <a:ext uri="{FF2B5EF4-FFF2-40B4-BE49-F238E27FC236}">
                  <a16:creationId xmlns:a16="http://schemas.microsoft.com/office/drawing/2014/main" id="{00000000-0008-0000-0600-00001E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56</xdr:row>
          <xdr:rowOff>0</xdr:rowOff>
        </xdr:from>
        <xdr:to>
          <xdr:col>0</xdr:col>
          <xdr:colOff>209550</xdr:colOff>
          <xdr:row>59</xdr:row>
          <xdr:rowOff>0</xdr:rowOff>
        </xdr:to>
        <xdr:sp macro="" textlink="">
          <xdr:nvSpPr>
            <xdr:cNvPr id="6177" name="Spinner 33" hidden="1">
              <a:extLst>
                <a:ext uri="{63B3BB69-23CF-44E3-9099-C40C66FF867C}">
                  <a14:compatExt spid="_x0000_s6177"/>
                </a:ext>
                <a:ext uri="{FF2B5EF4-FFF2-40B4-BE49-F238E27FC236}">
                  <a16:creationId xmlns:a16="http://schemas.microsoft.com/office/drawing/2014/main" id="{00000000-0008-0000-0600-0000211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19</xdr:col>
      <xdr:colOff>104776</xdr:colOff>
      <xdr:row>10</xdr:row>
      <xdr:rowOff>76200</xdr:rowOff>
    </xdr:from>
    <xdr:to>
      <xdr:col>19</xdr:col>
      <xdr:colOff>1019175</xdr:colOff>
      <xdr:row>14</xdr:row>
      <xdr:rowOff>9525</xdr:rowOff>
    </xdr:to>
    <mc:AlternateContent xmlns:mc="http://schemas.openxmlformats.org/markup-compatibility/2006" xmlns:a14="http://schemas.microsoft.com/office/drawing/2010/main">
      <mc:Choice Requires="a14">
        <xdr:graphicFrame macro="">
          <xdr:nvGraphicFramePr>
            <xdr:cNvPr id="8" name="année">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microsoft.com/office/drawing/2010/slicer">
              <sle:slicer xmlns:sle="http://schemas.microsoft.com/office/drawing/2010/slicer" name="année"/>
            </a:graphicData>
          </a:graphic>
        </xdr:graphicFrame>
      </mc:Choice>
      <mc:Fallback xmlns="">
        <xdr:sp macro="" textlink="">
          <xdr:nvSpPr>
            <xdr:cNvPr id="0" name=""/>
            <xdr:cNvSpPr>
              <a:spLocks noTextEdit="1"/>
            </xdr:cNvSpPr>
          </xdr:nvSpPr>
          <xdr:spPr>
            <a:xfrm>
              <a:off x="16583026" y="1981200"/>
              <a:ext cx="914399" cy="6953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28575</xdr:rowOff>
    </xdr:from>
    <xdr:to>
      <xdr:col>17</xdr:col>
      <xdr:colOff>76200</xdr:colOff>
      <xdr:row>2</xdr:row>
      <xdr:rowOff>85725</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0" y="28575"/>
          <a:ext cx="8515350" cy="4381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solidFill>
                <a:schemeClr val="bg1"/>
              </a:solidFill>
              <a:latin typeface="Segoe UI" panose="020B0502040204020203" pitchFamily="34" charset="0"/>
              <a:cs typeface="Segoe UI" panose="020B0502040204020203" pitchFamily="34" charset="0"/>
            </a:rPr>
            <a:t>PERFORMANCE</a:t>
          </a:r>
          <a:r>
            <a:rPr lang="en-US" sz="1400" b="1" baseline="0">
              <a:solidFill>
                <a:schemeClr val="bg1"/>
              </a:solidFill>
              <a:latin typeface="Segoe UI" panose="020B0502040204020203" pitchFamily="34" charset="0"/>
              <a:cs typeface="Segoe UI" panose="020B0502040204020203" pitchFamily="34" charset="0"/>
            </a:rPr>
            <a:t> DES ACTIONS PAR LOCALISATION </a:t>
          </a:r>
          <a:r>
            <a:rPr lang="en-US" sz="1400" b="1" u="none" baseline="0">
              <a:solidFill>
                <a:schemeClr val="bg1"/>
              </a:solidFill>
              <a:latin typeface="Segoe UI" panose="020B0502040204020203" pitchFamily="34" charset="0"/>
              <a:cs typeface="Segoe UI" panose="020B0502040204020203" pitchFamily="34" charset="0"/>
            </a:rPr>
            <a:t>GÉOGRAPHIQUE</a:t>
          </a:r>
          <a:r>
            <a:rPr lang="en-US" sz="1400" b="1" baseline="0">
              <a:solidFill>
                <a:schemeClr val="bg1"/>
              </a:solidFill>
              <a:latin typeface="Segoe UI" panose="020B0502040204020203" pitchFamily="34" charset="0"/>
              <a:cs typeface="Segoe UI" panose="020B0502040204020203" pitchFamily="34" charset="0"/>
            </a:rPr>
            <a:t> </a:t>
          </a:r>
          <a:r>
            <a:rPr lang="en-US" sz="1400" b="0" baseline="0">
              <a:solidFill>
                <a:schemeClr val="bg1"/>
              </a:solidFill>
              <a:latin typeface="Segoe UI" panose="020B0502040204020203" pitchFamily="34" charset="0"/>
              <a:cs typeface="Segoe UI" panose="020B0502040204020203" pitchFamily="34" charset="0"/>
            </a:rPr>
            <a:t>- </a:t>
          </a:r>
          <a:r>
            <a:rPr lang="en-US" sz="1100" b="0" baseline="0">
              <a:solidFill>
                <a:schemeClr val="bg1"/>
              </a:solidFill>
              <a:latin typeface="Segoe UI" panose="020B0502040204020203" pitchFamily="34" charset="0"/>
              <a:cs typeface="Segoe UI" panose="020B0502040204020203" pitchFamily="34" charset="0"/>
            </a:rPr>
            <a:t>Depuis le début de l'année 2022</a:t>
          </a:r>
          <a:endParaRPr lang="en-US" sz="1100" b="0">
            <a:solidFill>
              <a:schemeClr val="bg1"/>
            </a:solidFill>
            <a:latin typeface="Segoe UI" panose="020B0502040204020203" pitchFamily="34" charset="0"/>
            <a:cs typeface="Segoe UI" panose="020B0502040204020203" pitchFamily="34" charset="0"/>
          </a:endParaRPr>
        </a:p>
      </xdr:txBody>
    </xdr:sp>
    <xdr:clientData/>
  </xdr:twoCellAnchor>
  <xdr:twoCellAnchor>
    <xdr:from>
      <xdr:col>23</xdr:col>
      <xdr:colOff>381000</xdr:colOff>
      <xdr:row>0</xdr:row>
      <xdr:rowOff>95250</xdr:rowOff>
    </xdr:from>
    <xdr:to>
      <xdr:col>25</xdr:col>
      <xdr:colOff>57150</xdr:colOff>
      <xdr:row>2</xdr:row>
      <xdr:rowOff>9525</xdr:rowOff>
    </xdr:to>
    <xdr:sp macro="" textlink="Indicateurs!I2">
      <xdr:nvSpPr>
        <xdr:cNvPr id="3" name="TextBox 2">
          <a:extLst>
            <a:ext uri="{FF2B5EF4-FFF2-40B4-BE49-F238E27FC236}">
              <a16:creationId xmlns:a16="http://schemas.microsoft.com/office/drawing/2014/main" id="{00000000-0008-0000-0700-000003000000}"/>
            </a:ext>
          </a:extLst>
        </xdr:cNvPr>
        <xdr:cNvSpPr txBox="1"/>
      </xdr:nvSpPr>
      <xdr:spPr>
        <a:xfrm>
          <a:off x="11934825" y="95250"/>
          <a:ext cx="89535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38B04F0-40B5-475F-9896-A9AE682FCEC0}" type="TxLink">
            <a:rPr lang="en-US" sz="1000" b="0" i="0" u="none" strike="noStrike">
              <a:solidFill>
                <a:schemeClr val="bg1"/>
              </a:solidFill>
              <a:latin typeface="Segoe UI" panose="020B0502040204020203" pitchFamily="34" charset="0"/>
              <a:cs typeface="Segoe UI" panose="020B0502040204020203" pitchFamily="34" charset="0"/>
            </a:rPr>
            <a:pPr/>
            <a:t>29-juil.-22</a:t>
          </a:fld>
          <a:endParaRPr lang="en-US" sz="1000">
            <a:solidFill>
              <a:schemeClr val="bg1"/>
            </a:solidFill>
            <a:latin typeface="Segoe UI" panose="020B0502040204020203" pitchFamily="34" charset="0"/>
            <a:cs typeface="Segoe UI" panose="020B0502040204020203" pitchFamily="34" charset="0"/>
          </a:endParaRPr>
        </a:p>
      </xdr:txBody>
    </xdr:sp>
    <xdr:clientData/>
  </xdr:twoCellAnchor>
  <xdr:twoCellAnchor>
    <xdr:from>
      <xdr:col>21</xdr:col>
      <xdr:colOff>171450</xdr:colOff>
      <xdr:row>0</xdr:row>
      <xdr:rowOff>95250</xdr:rowOff>
    </xdr:from>
    <xdr:to>
      <xdr:col>23</xdr:col>
      <xdr:colOff>514351</xdr:colOff>
      <xdr:row>2</xdr:row>
      <xdr:rowOff>9525</xdr:rowOff>
    </xdr:to>
    <xdr:sp macro="" textlink="">
      <xdr:nvSpPr>
        <xdr:cNvPr id="4" name="TextBox 3">
          <a:extLst>
            <a:ext uri="{FF2B5EF4-FFF2-40B4-BE49-F238E27FC236}">
              <a16:creationId xmlns:a16="http://schemas.microsoft.com/office/drawing/2014/main" id="{00000000-0008-0000-0700-000004000000}"/>
            </a:ext>
          </a:extLst>
        </xdr:cNvPr>
        <xdr:cNvSpPr txBox="1"/>
      </xdr:nvSpPr>
      <xdr:spPr>
        <a:xfrm>
          <a:off x="10506075" y="95250"/>
          <a:ext cx="1562101"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000" b="1" i="0" u="none" strike="noStrike">
              <a:solidFill>
                <a:schemeClr val="bg1"/>
              </a:solidFill>
              <a:latin typeface="Segoe UI" panose="020B0502040204020203" pitchFamily="34" charset="0"/>
              <a:cs typeface="Segoe UI" panose="020B0502040204020203" pitchFamily="34" charset="0"/>
            </a:rPr>
            <a:t>Dernière</a:t>
          </a:r>
          <a:r>
            <a:rPr lang="en-US" sz="1000" b="1" i="0" u="none" strike="noStrike" baseline="0">
              <a:solidFill>
                <a:schemeClr val="bg1"/>
              </a:solidFill>
              <a:latin typeface="Segoe UI" panose="020B0502040204020203" pitchFamily="34" charset="0"/>
              <a:cs typeface="Segoe UI" panose="020B0502040204020203" pitchFamily="34" charset="0"/>
            </a:rPr>
            <a:t> mise à jour </a:t>
          </a:r>
          <a:endParaRPr lang="en-US" sz="1000" b="1" i="0" u="none" strike="noStrike">
            <a:solidFill>
              <a:schemeClr val="bg1"/>
            </a:solidFill>
            <a:latin typeface="Segoe UI" panose="020B0502040204020203" pitchFamily="34" charset="0"/>
            <a:cs typeface="Segoe UI" panose="020B0502040204020203" pitchFamily="34" charset="0"/>
          </a:endParaRPr>
        </a:p>
      </xdr:txBody>
    </xdr:sp>
    <xdr:clientData/>
  </xdr:twoCellAnchor>
  <xdr:twoCellAnchor>
    <xdr:from>
      <xdr:col>0</xdr:col>
      <xdr:colOff>1</xdr:colOff>
      <xdr:row>2</xdr:row>
      <xdr:rowOff>57150</xdr:rowOff>
    </xdr:from>
    <xdr:to>
      <xdr:col>20</xdr:col>
      <xdr:colOff>0</xdr:colOff>
      <xdr:row>3</xdr:row>
      <xdr:rowOff>123825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1" y="438150"/>
          <a:ext cx="10267949" cy="25717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Segoe UI" panose="020B0502040204020203" pitchFamily="34" charset="0"/>
              <a:cs typeface="Segoe UI" panose="020B0502040204020203" pitchFamily="34" charset="0"/>
            </a:rPr>
            <a:t>Monde</a:t>
          </a:r>
          <a:r>
            <a:rPr lang="en-US" sz="1100" b="1" baseline="0">
              <a:solidFill>
                <a:schemeClr val="bg1"/>
              </a:solidFill>
              <a:latin typeface="Segoe UI" panose="020B0502040204020203" pitchFamily="34" charset="0"/>
              <a:cs typeface="Segoe UI" panose="020B0502040204020203" pitchFamily="34" charset="0"/>
            </a:rPr>
            <a:t> </a:t>
          </a:r>
          <a:endParaRPr lang="en-US" sz="1100" b="1">
            <a:solidFill>
              <a:schemeClr val="bg1"/>
            </a:solidFill>
            <a:latin typeface="Segoe UI" panose="020B0502040204020203" pitchFamily="34" charset="0"/>
            <a:cs typeface="Segoe UI" panose="020B0502040204020203" pitchFamily="34" charset="0"/>
          </a:endParaRPr>
        </a:p>
      </xdr:txBody>
    </xdr:sp>
    <xdr:clientData/>
  </xdr:twoCellAnchor>
  <xdr:twoCellAnchor>
    <xdr:from>
      <xdr:col>1</xdr:col>
      <xdr:colOff>304800</xdr:colOff>
      <xdr:row>4</xdr:row>
      <xdr:rowOff>57150</xdr:rowOff>
    </xdr:from>
    <xdr:to>
      <xdr:col>3</xdr:col>
      <xdr:colOff>514349</xdr:colOff>
      <xdr:row>10</xdr:row>
      <xdr:rowOff>0</xdr:rowOff>
    </xdr:to>
    <xdr:sp macro="" textlink="Indicateurs!B9">
      <xdr:nvSpPr>
        <xdr:cNvPr id="6" name="Speech Bubble: Oval 5">
          <a:extLst>
            <a:ext uri="{FF2B5EF4-FFF2-40B4-BE49-F238E27FC236}">
              <a16:creationId xmlns:a16="http://schemas.microsoft.com/office/drawing/2014/main" id="{00000000-0008-0000-0700-000006000000}"/>
            </a:ext>
          </a:extLst>
        </xdr:cNvPr>
        <xdr:cNvSpPr/>
      </xdr:nvSpPr>
      <xdr:spPr>
        <a:xfrm>
          <a:off x="466725" y="800100"/>
          <a:ext cx="1352549" cy="1076325"/>
        </a:xfrm>
        <a:prstGeom prst="wedgeEllipseCallout">
          <a:avLst>
            <a:gd name="adj1" fmla="val -23964"/>
            <a:gd name="adj2" fmla="val 66028"/>
          </a:avLst>
        </a:prstGeom>
        <a:noFill/>
        <a:ln w="571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171F4A2-6B47-41C5-9EBB-6A46AC210506}" type="TxLink">
            <a:rPr lang="en-US" sz="1800" b="1" i="0" u="none" strike="noStrike">
              <a:solidFill>
                <a:sysClr val="windowText" lastClr="000000"/>
              </a:solidFill>
              <a:latin typeface="Segoe UI" panose="020B0502040204020203" pitchFamily="34" charset="0"/>
              <a:cs typeface="Segoe UI" panose="020B0502040204020203" pitchFamily="34" charset="0"/>
            </a:rPr>
            <a:pPr algn="ctr"/>
            <a:t>-6%</a:t>
          </a:fld>
          <a:endParaRPr lang="en-US" sz="1800" b="1">
            <a:solidFill>
              <a:sysClr val="windowText" lastClr="000000"/>
            </a:solidFill>
            <a:latin typeface="Segoe UI" panose="020B0502040204020203" pitchFamily="34" charset="0"/>
            <a:cs typeface="Segoe UI" panose="020B0502040204020203" pitchFamily="34" charset="0"/>
          </a:endParaRPr>
        </a:p>
      </xdr:txBody>
    </xdr:sp>
    <xdr:clientData/>
  </xdr:twoCellAnchor>
  <xdr:twoCellAnchor>
    <xdr:from>
      <xdr:col>0</xdr:col>
      <xdr:colOff>0</xdr:colOff>
      <xdr:row>5</xdr:row>
      <xdr:rowOff>47625</xdr:rowOff>
    </xdr:from>
    <xdr:to>
      <xdr:col>3</xdr:col>
      <xdr:colOff>171450</xdr:colOff>
      <xdr:row>6</xdr:row>
      <xdr:rowOff>66675</xdr:rowOff>
    </xdr:to>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0" y="971550"/>
          <a:ext cx="1476375" cy="209550"/>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latin typeface="Segoe UI" panose="020B0502040204020203" pitchFamily="34" charset="0"/>
              <a:cs typeface="Segoe UI" panose="020B0502040204020203" pitchFamily="34" charset="0"/>
            </a:rPr>
            <a:t>Rendement Total YTD</a:t>
          </a:r>
        </a:p>
      </xdr:txBody>
    </xdr:sp>
    <xdr:clientData/>
  </xdr:twoCellAnchor>
  <xdr:twoCellAnchor>
    <xdr:from>
      <xdr:col>6</xdr:col>
      <xdr:colOff>263526</xdr:colOff>
      <xdr:row>4</xdr:row>
      <xdr:rowOff>57150</xdr:rowOff>
    </xdr:from>
    <xdr:to>
      <xdr:col>9</xdr:col>
      <xdr:colOff>38100</xdr:colOff>
      <xdr:row>10</xdr:row>
      <xdr:rowOff>0</xdr:rowOff>
    </xdr:to>
    <xdr:sp macro="" textlink="Indicateurs!B23">
      <xdr:nvSpPr>
        <xdr:cNvPr id="8" name="Speech Bubble: Oval 7">
          <a:extLst>
            <a:ext uri="{FF2B5EF4-FFF2-40B4-BE49-F238E27FC236}">
              <a16:creationId xmlns:a16="http://schemas.microsoft.com/office/drawing/2014/main" id="{00000000-0008-0000-0700-000008000000}"/>
            </a:ext>
          </a:extLst>
        </xdr:cNvPr>
        <xdr:cNvSpPr/>
      </xdr:nvSpPr>
      <xdr:spPr>
        <a:xfrm>
          <a:off x="3187701" y="800100"/>
          <a:ext cx="1393824" cy="1076325"/>
        </a:xfrm>
        <a:prstGeom prst="wedgeEllipseCallout">
          <a:avLst>
            <a:gd name="adj1" fmla="val -23964"/>
            <a:gd name="adj2" fmla="val 66028"/>
          </a:avLst>
        </a:prstGeom>
        <a:solidFill>
          <a:schemeClr val="bg2"/>
        </a:solidFill>
        <a:ln w="571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9335FF2-BEAD-49DC-9873-3F3099946417}" type="TxLink">
            <a:rPr lang="en-US" sz="1800" b="1" i="0" u="none" strike="noStrike">
              <a:solidFill>
                <a:sysClr val="windowText" lastClr="000000"/>
              </a:solidFill>
              <a:latin typeface="Segoe UI" panose="020B0502040204020203" pitchFamily="34" charset="0"/>
              <a:ea typeface="+mn-ea"/>
              <a:cs typeface="Segoe UI" panose="020B0502040204020203" pitchFamily="34" charset="0"/>
            </a:rPr>
            <a:pPr marL="0" indent="0" algn="ctr"/>
            <a:t>2.36%</a:t>
          </a:fld>
          <a:endParaRPr lang="en-US" sz="1800" b="1" i="0" u="none" strike="noStrike">
            <a:solidFill>
              <a:sysClr val="windowText" lastClr="000000"/>
            </a:solidFill>
            <a:latin typeface="Segoe UI" panose="020B0502040204020203" pitchFamily="34" charset="0"/>
            <a:ea typeface="+mn-ea"/>
            <a:cs typeface="Segoe UI" panose="020B0502040204020203" pitchFamily="34" charset="0"/>
          </a:endParaRPr>
        </a:p>
      </xdr:txBody>
    </xdr:sp>
    <xdr:clientData/>
  </xdr:twoCellAnchor>
  <xdr:twoCellAnchor>
    <xdr:from>
      <xdr:col>5</xdr:col>
      <xdr:colOff>142875</xdr:colOff>
      <xdr:row>5</xdr:row>
      <xdr:rowOff>47626</xdr:rowOff>
    </xdr:from>
    <xdr:to>
      <xdr:col>8</xdr:col>
      <xdr:colOff>101601</xdr:colOff>
      <xdr:row>6</xdr:row>
      <xdr:rowOff>76200</xdr:rowOff>
    </xdr:to>
    <xdr:sp macro="" textlink="">
      <xdr:nvSpPr>
        <xdr:cNvPr id="9" name="TextBox 8">
          <a:extLst>
            <a:ext uri="{FF2B5EF4-FFF2-40B4-BE49-F238E27FC236}">
              <a16:creationId xmlns:a16="http://schemas.microsoft.com/office/drawing/2014/main" id="{00000000-0008-0000-0700-000009000000}"/>
            </a:ext>
          </a:extLst>
        </xdr:cNvPr>
        <xdr:cNvSpPr txBox="1"/>
      </xdr:nvSpPr>
      <xdr:spPr>
        <a:xfrm>
          <a:off x="2552700" y="971551"/>
          <a:ext cx="1654176" cy="219074"/>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a:latin typeface="Segoe UI" panose="020B0502040204020203" pitchFamily="34" charset="0"/>
              <a:cs typeface="Segoe UI" panose="020B0502040204020203" pitchFamily="34" charset="0"/>
            </a:rPr>
            <a:t>Vol</a:t>
          </a:r>
          <a:r>
            <a:rPr lang="en-US" sz="1050" baseline="0">
              <a:latin typeface="Segoe UI" panose="020B0502040204020203" pitchFamily="34" charset="0"/>
              <a:cs typeface="Segoe UI" panose="020B0502040204020203" pitchFamily="34" charset="0"/>
            </a:rPr>
            <a:t>atilité (écart-type)</a:t>
          </a:r>
          <a:endParaRPr lang="en-US" sz="1050">
            <a:latin typeface="Segoe UI" panose="020B0502040204020203" pitchFamily="34" charset="0"/>
            <a:cs typeface="Segoe UI" panose="020B0502040204020203" pitchFamily="34" charset="0"/>
          </a:endParaRPr>
        </a:p>
      </xdr:txBody>
    </xdr:sp>
    <xdr:clientData/>
  </xdr:twoCellAnchor>
  <xdr:twoCellAnchor>
    <xdr:from>
      <xdr:col>11</xdr:col>
      <xdr:colOff>222251</xdr:colOff>
      <xdr:row>4</xdr:row>
      <xdr:rowOff>57150</xdr:rowOff>
    </xdr:from>
    <xdr:to>
      <xdr:col>13</xdr:col>
      <xdr:colOff>381001</xdr:colOff>
      <xdr:row>10</xdr:row>
      <xdr:rowOff>0</xdr:rowOff>
    </xdr:to>
    <xdr:sp macro="" textlink="Indicateurs!B32">
      <xdr:nvSpPr>
        <xdr:cNvPr id="11" name="Speech Bubble: Oval 10">
          <a:extLst>
            <a:ext uri="{FF2B5EF4-FFF2-40B4-BE49-F238E27FC236}">
              <a16:creationId xmlns:a16="http://schemas.microsoft.com/office/drawing/2014/main" id="{00000000-0008-0000-0700-00000B000000}"/>
            </a:ext>
          </a:extLst>
        </xdr:cNvPr>
        <xdr:cNvSpPr/>
      </xdr:nvSpPr>
      <xdr:spPr>
        <a:xfrm>
          <a:off x="5575301" y="800100"/>
          <a:ext cx="1377950" cy="1076325"/>
        </a:xfrm>
        <a:prstGeom prst="wedgeEllipseCallout">
          <a:avLst>
            <a:gd name="adj1" fmla="val -23964"/>
            <a:gd name="adj2" fmla="val 66028"/>
          </a:avLst>
        </a:prstGeom>
        <a:solidFill>
          <a:schemeClr val="bg2"/>
        </a:solidFill>
        <a:ln w="571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E6B6F99-C92A-47C8-B36A-1BD58021C23D}" type="TxLink">
            <a:rPr lang="en-US" sz="1800" b="1" i="0" u="none" strike="noStrike">
              <a:solidFill>
                <a:sysClr val="windowText" lastClr="000000"/>
              </a:solidFill>
              <a:latin typeface="Segoe UI" panose="020B0502040204020203" pitchFamily="34" charset="0"/>
              <a:ea typeface="+mn-ea"/>
              <a:cs typeface="Segoe UI" panose="020B0502040204020203" pitchFamily="34" charset="0"/>
            </a:rPr>
            <a:pPr marL="0" indent="0" algn="ctr"/>
            <a:t>3.17%</a:t>
          </a:fld>
          <a:endParaRPr lang="en-US" sz="1800" b="1" i="0" u="none" strike="noStrike">
            <a:solidFill>
              <a:sysClr val="windowText" lastClr="000000"/>
            </a:solidFill>
            <a:latin typeface="Segoe UI" panose="020B0502040204020203" pitchFamily="34" charset="0"/>
            <a:ea typeface="+mn-ea"/>
            <a:cs typeface="Segoe UI" panose="020B0502040204020203" pitchFamily="34" charset="0"/>
          </a:endParaRPr>
        </a:p>
      </xdr:txBody>
    </xdr:sp>
    <xdr:clientData/>
  </xdr:twoCellAnchor>
  <xdr:twoCellAnchor>
    <xdr:from>
      <xdr:col>10</xdr:col>
      <xdr:colOff>200026</xdr:colOff>
      <xdr:row>5</xdr:row>
      <xdr:rowOff>57149</xdr:rowOff>
    </xdr:from>
    <xdr:to>
      <xdr:col>13</xdr:col>
      <xdr:colOff>60328</xdr:colOff>
      <xdr:row>6</xdr:row>
      <xdr:rowOff>47625</xdr:rowOff>
    </xdr:to>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5124451" y="981074"/>
          <a:ext cx="1479552" cy="180976"/>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latin typeface="Segoe UI" panose="020B0502040204020203" pitchFamily="34" charset="0"/>
              <a:cs typeface="Segoe UI" panose="020B0502040204020203" pitchFamily="34" charset="0"/>
            </a:rPr>
            <a:t>VaR</a:t>
          </a:r>
          <a:r>
            <a:rPr lang="en-US" sz="1050" baseline="0">
              <a:latin typeface="Segoe UI" panose="020B0502040204020203" pitchFamily="34" charset="0"/>
              <a:cs typeface="Segoe UI" panose="020B0502040204020203" pitchFamily="34" charset="0"/>
            </a:rPr>
            <a:t> Historique ( 5% ) </a:t>
          </a:r>
          <a:endParaRPr lang="en-US" sz="1050">
            <a:latin typeface="Segoe UI" panose="020B0502040204020203" pitchFamily="34" charset="0"/>
            <a:cs typeface="Segoe UI" panose="020B0502040204020203" pitchFamily="34" charset="0"/>
          </a:endParaRPr>
        </a:p>
      </xdr:txBody>
    </xdr:sp>
    <xdr:clientData/>
  </xdr:twoCellAnchor>
  <xdr:twoCellAnchor>
    <xdr:from>
      <xdr:col>16</xdr:col>
      <xdr:colOff>180976</xdr:colOff>
      <xdr:row>4</xdr:row>
      <xdr:rowOff>57150</xdr:rowOff>
    </xdr:from>
    <xdr:to>
      <xdr:col>18</xdr:col>
      <xdr:colOff>400050</xdr:colOff>
      <xdr:row>10</xdr:row>
      <xdr:rowOff>0</xdr:rowOff>
    </xdr:to>
    <xdr:sp macro="" textlink="Indicateurs!B42">
      <xdr:nvSpPr>
        <xdr:cNvPr id="13" name="Speech Bubble: Oval 12">
          <a:extLst>
            <a:ext uri="{FF2B5EF4-FFF2-40B4-BE49-F238E27FC236}">
              <a16:creationId xmlns:a16="http://schemas.microsoft.com/office/drawing/2014/main" id="{00000000-0008-0000-0700-00000D000000}"/>
            </a:ext>
          </a:extLst>
        </xdr:cNvPr>
        <xdr:cNvSpPr/>
      </xdr:nvSpPr>
      <xdr:spPr>
        <a:xfrm>
          <a:off x="8010526" y="800100"/>
          <a:ext cx="1371599" cy="1076325"/>
        </a:xfrm>
        <a:prstGeom prst="wedgeEllipseCallout">
          <a:avLst>
            <a:gd name="adj1" fmla="val -23964"/>
            <a:gd name="adj2" fmla="val 66028"/>
          </a:avLst>
        </a:prstGeom>
        <a:noFill/>
        <a:ln w="571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A89C2AD3-069A-4F24-8D4F-8D5FE8EDD452}" type="TxLink">
            <a:rPr lang="en-US" sz="1800" b="1" i="0" u="none" strike="noStrike">
              <a:solidFill>
                <a:sysClr val="windowText" lastClr="000000"/>
              </a:solidFill>
              <a:latin typeface="Segoe UI" panose="020B0502040204020203" pitchFamily="34" charset="0"/>
              <a:ea typeface="+mn-ea"/>
              <a:cs typeface="Segoe UI" panose="020B0502040204020203" pitchFamily="34" charset="0"/>
            </a:rPr>
            <a:pPr marL="0" indent="0" algn="ctr"/>
            <a:t>17.04%</a:t>
          </a:fld>
          <a:endParaRPr lang="en-US" sz="1800" b="1" i="0" u="none" strike="noStrike">
            <a:solidFill>
              <a:sysClr val="windowText" lastClr="000000"/>
            </a:solidFill>
            <a:latin typeface="Segoe UI" panose="020B0502040204020203" pitchFamily="34" charset="0"/>
            <a:ea typeface="+mn-ea"/>
            <a:cs typeface="Segoe UI" panose="020B0502040204020203" pitchFamily="34" charset="0"/>
          </a:endParaRPr>
        </a:p>
      </xdr:txBody>
    </xdr:sp>
    <xdr:clientData/>
  </xdr:twoCellAnchor>
  <xdr:twoCellAnchor>
    <xdr:from>
      <xdr:col>15</xdr:col>
      <xdr:colOff>390525</xdr:colOff>
      <xdr:row>5</xdr:row>
      <xdr:rowOff>57149</xdr:rowOff>
    </xdr:from>
    <xdr:to>
      <xdr:col>18</xdr:col>
      <xdr:colOff>133351</xdr:colOff>
      <xdr:row>6</xdr:row>
      <xdr:rowOff>66674</xdr:rowOff>
    </xdr:to>
    <xdr:sp macro="" textlink="">
      <xdr:nvSpPr>
        <xdr:cNvPr id="14" name="TextBox 13">
          <a:extLst>
            <a:ext uri="{FF2B5EF4-FFF2-40B4-BE49-F238E27FC236}">
              <a16:creationId xmlns:a16="http://schemas.microsoft.com/office/drawing/2014/main" id="{00000000-0008-0000-0700-00000E000000}"/>
            </a:ext>
          </a:extLst>
        </xdr:cNvPr>
        <xdr:cNvSpPr txBox="1"/>
      </xdr:nvSpPr>
      <xdr:spPr>
        <a:xfrm>
          <a:off x="9124950" y="1009649"/>
          <a:ext cx="1571626" cy="200025"/>
        </a:xfrm>
        <a:prstGeom prst="rect">
          <a:avLst/>
        </a:prstGeom>
        <a:solidFill>
          <a:schemeClr val="bg2">
            <a:lumMod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050">
              <a:latin typeface="Segoe UI" panose="020B0502040204020203" pitchFamily="34" charset="0"/>
              <a:cs typeface="Segoe UI" panose="020B0502040204020203" pitchFamily="34" charset="0"/>
            </a:rPr>
            <a:t>Max</a:t>
          </a:r>
          <a:r>
            <a:rPr lang="en-US" sz="1050" baseline="0">
              <a:latin typeface="Segoe UI" panose="020B0502040204020203" pitchFamily="34" charset="0"/>
              <a:cs typeface="Segoe UI" panose="020B0502040204020203" pitchFamily="34" charset="0"/>
            </a:rPr>
            <a:t> DrawDown </a:t>
          </a:r>
          <a:endParaRPr lang="en-US" sz="1050">
            <a:latin typeface="Segoe UI" panose="020B0502040204020203" pitchFamily="34" charset="0"/>
            <a:cs typeface="Segoe UI" panose="020B0502040204020203" pitchFamily="34" charset="0"/>
          </a:endParaRPr>
        </a:p>
      </xdr:txBody>
    </xdr:sp>
    <xdr:clientData/>
  </xdr:twoCellAnchor>
  <xdr:twoCellAnchor>
    <xdr:from>
      <xdr:col>0</xdr:col>
      <xdr:colOff>9526</xdr:colOff>
      <xdr:row>13</xdr:row>
      <xdr:rowOff>38100</xdr:rowOff>
    </xdr:from>
    <xdr:to>
      <xdr:col>9</xdr:col>
      <xdr:colOff>219075</xdr:colOff>
      <xdr:row>14</xdr:row>
      <xdr:rowOff>104775</xdr:rowOff>
    </xdr:to>
    <xdr:sp macro="" textlink="">
      <xdr:nvSpPr>
        <xdr:cNvPr id="23" name="TextBox 22">
          <a:extLst>
            <a:ext uri="{FF2B5EF4-FFF2-40B4-BE49-F238E27FC236}">
              <a16:creationId xmlns:a16="http://schemas.microsoft.com/office/drawing/2014/main" id="{00000000-0008-0000-0700-000017000000}"/>
            </a:ext>
          </a:extLst>
        </xdr:cNvPr>
        <xdr:cNvSpPr txBox="1"/>
      </xdr:nvSpPr>
      <xdr:spPr>
        <a:xfrm>
          <a:off x="9526" y="2152650"/>
          <a:ext cx="4286249" cy="25717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Segoe UI" panose="020B0502040204020203" pitchFamily="34" charset="0"/>
              <a:cs typeface="Segoe UI" panose="020B0502040204020203" pitchFamily="34" charset="0"/>
            </a:rPr>
            <a:t>Pays</a:t>
          </a:r>
          <a:r>
            <a:rPr lang="en-US" sz="1100" b="1" baseline="0">
              <a:solidFill>
                <a:schemeClr val="bg1"/>
              </a:solidFill>
              <a:latin typeface="Segoe UI" panose="020B0502040204020203" pitchFamily="34" charset="0"/>
              <a:cs typeface="Segoe UI" panose="020B0502040204020203" pitchFamily="34" charset="0"/>
            </a:rPr>
            <a:t> Développés </a:t>
          </a:r>
          <a:endParaRPr lang="en-US" sz="1100" b="1">
            <a:solidFill>
              <a:schemeClr val="bg1"/>
            </a:solidFill>
            <a:latin typeface="Segoe UI" panose="020B0502040204020203" pitchFamily="34" charset="0"/>
            <a:cs typeface="Segoe UI" panose="020B0502040204020203" pitchFamily="34" charset="0"/>
          </a:endParaRPr>
        </a:p>
      </xdr:txBody>
    </xdr:sp>
    <xdr:clientData/>
  </xdr:twoCellAnchor>
  <xdr:twoCellAnchor>
    <xdr:from>
      <xdr:col>9</xdr:col>
      <xdr:colOff>266699</xdr:colOff>
      <xdr:row>13</xdr:row>
      <xdr:rowOff>38100</xdr:rowOff>
    </xdr:from>
    <xdr:to>
      <xdr:col>18</xdr:col>
      <xdr:colOff>171450</xdr:colOff>
      <xdr:row>14</xdr:row>
      <xdr:rowOff>104775</xdr:rowOff>
    </xdr:to>
    <xdr:sp macro="" textlink="">
      <xdr:nvSpPr>
        <xdr:cNvPr id="24" name="TextBox 23">
          <a:extLst>
            <a:ext uri="{FF2B5EF4-FFF2-40B4-BE49-F238E27FC236}">
              <a16:creationId xmlns:a16="http://schemas.microsoft.com/office/drawing/2014/main" id="{00000000-0008-0000-0700-000018000000}"/>
            </a:ext>
          </a:extLst>
        </xdr:cNvPr>
        <xdr:cNvSpPr txBox="1"/>
      </xdr:nvSpPr>
      <xdr:spPr>
        <a:xfrm>
          <a:off x="4714874" y="2152650"/>
          <a:ext cx="4572001" cy="25717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Segoe UI" panose="020B0502040204020203" pitchFamily="34" charset="0"/>
              <a:cs typeface="Segoe UI" panose="020B0502040204020203" pitchFamily="34" charset="0"/>
            </a:rPr>
            <a:t>Pays</a:t>
          </a:r>
          <a:r>
            <a:rPr lang="en-US" sz="1100" b="1" baseline="0">
              <a:solidFill>
                <a:schemeClr val="bg1"/>
              </a:solidFill>
              <a:latin typeface="Segoe UI" panose="020B0502040204020203" pitchFamily="34" charset="0"/>
              <a:cs typeface="Segoe UI" panose="020B0502040204020203" pitchFamily="34" charset="0"/>
            </a:rPr>
            <a:t> Émergeants</a:t>
          </a:r>
          <a:endParaRPr lang="en-US" sz="1100" b="1">
            <a:solidFill>
              <a:schemeClr val="bg1"/>
            </a:solidFill>
            <a:latin typeface="Segoe UI" panose="020B0502040204020203" pitchFamily="34" charset="0"/>
            <a:cs typeface="Segoe UI" panose="020B0502040204020203" pitchFamily="34" charset="0"/>
          </a:endParaRPr>
        </a:p>
      </xdr:txBody>
    </xdr:sp>
    <xdr:clientData/>
  </xdr:twoCellAnchor>
  <xdr:twoCellAnchor>
    <xdr:from>
      <xdr:col>0</xdr:col>
      <xdr:colOff>66675</xdr:colOff>
      <xdr:row>14</xdr:row>
      <xdr:rowOff>152398</xdr:rowOff>
    </xdr:from>
    <xdr:to>
      <xdr:col>3</xdr:col>
      <xdr:colOff>342899</xdr:colOff>
      <xdr:row>25</xdr:row>
      <xdr:rowOff>47625</xdr:rowOff>
    </xdr:to>
    <xdr:sp macro="" textlink="Indicateurs!S13">
      <xdr:nvSpPr>
        <xdr:cNvPr id="17" name="Rectangle 16">
          <a:extLst>
            <a:ext uri="{FF2B5EF4-FFF2-40B4-BE49-F238E27FC236}">
              <a16:creationId xmlns:a16="http://schemas.microsoft.com/office/drawing/2014/main" id="{00000000-0008-0000-0700-000011000000}"/>
            </a:ext>
          </a:extLst>
        </xdr:cNvPr>
        <xdr:cNvSpPr/>
      </xdr:nvSpPr>
      <xdr:spPr>
        <a:xfrm>
          <a:off x="66675" y="2457448"/>
          <a:ext cx="1581149" cy="1990727"/>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9A300D75-78BF-4993-AC3E-A865EC7FC9F6}" type="TxLink">
            <a:rPr lang="en-US" sz="1800" b="1" i="0" u="none" strike="noStrike">
              <a:solidFill>
                <a:srgbClr val="000000"/>
              </a:solidFill>
              <a:latin typeface="Segoe UI" panose="020B0502040204020203" pitchFamily="34" charset="0"/>
              <a:ea typeface="+mn-ea"/>
              <a:cs typeface="Segoe UI" panose="020B0502040204020203" pitchFamily="34" charset="0"/>
            </a:rPr>
            <a:pPr marL="0" indent="0" algn="ctr"/>
            <a:t>0.17%</a:t>
          </a:fld>
          <a:endParaRPr lang="en-US" sz="1800" b="1" i="0" u="none" strike="noStrike">
            <a:solidFill>
              <a:srgbClr val="000000"/>
            </a:solidFill>
            <a:latin typeface="Segoe UI" panose="020B0502040204020203" pitchFamily="34" charset="0"/>
            <a:ea typeface="+mn-ea"/>
            <a:cs typeface="Segoe UI" panose="020B0502040204020203" pitchFamily="34" charset="0"/>
          </a:endParaRPr>
        </a:p>
      </xdr:txBody>
    </xdr:sp>
    <xdr:clientData/>
  </xdr:twoCellAnchor>
  <xdr:twoCellAnchor>
    <xdr:from>
      <xdr:col>9</xdr:col>
      <xdr:colOff>276227</xdr:colOff>
      <xdr:row>14</xdr:row>
      <xdr:rowOff>152400</xdr:rowOff>
    </xdr:from>
    <xdr:to>
      <xdr:col>12</xdr:col>
      <xdr:colOff>400050</xdr:colOff>
      <xdr:row>25</xdr:row>
      <xdr:rowOff>47625</xdr:rowOff>
    </xdr:to>
    <xdr:sp macro="" textlink="Indicateurs!S14">
      <xdr:nvSpPr>
        <xdr:cNvPr id="26" name="Rectangle 25">
          <a:extLst>
            <a:ext uri="{FF2B5EF4-FFF2-40B4-BE49-F238E27FC236}">
              <a16:creationId xmlns:a16="http://schemas.microsoft.com/office/drawing/2014/main" id="{00000000-0008-0000-0700-00001A000000}"/>
            </a:ext>
          </a:extLst>
        </xdr:cNvPr>
        <xdr:cNvSpPr/>
      </xdr:nvSpPr>
      <xdr:spPr>
        <a:xfrm>
          <a:off x="4819652" y="2457450"/>
          <a:ext cx="1543048" cy="1990725"/>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D5E130E-AD61-4E27-B883-4628C7C5FF80}" type="TxLink">
            <a:rPr lang="en-US" sz="1800" b="1" i="0" u="none" strike="noStrike">
              <a:solidFill>
                <a:srgbClr val="000000"/>
              </a:solidFill>
              <a:latin typeface="Segoe UI" panose="020B0502040204020203" pitchFamily="34" charset="0"/>
              <a:ea typeface="+mn-ea"/>
              <a:cs typeface="Segoe UI" panose="020B0502040204020203" pitchFamily="34" charset="0"/>
            </a:rPr>
            <a:pPr marL="0" indent="0" algn="ctr"/>
            <a:t>-8.12%</a:t>
          </a:fld>
          <a:endParaRPr lang="en-US" sz="1800" b="1" i="0" u="none" strike="noStrike">
            <a:solidFill>
              <a:srgbClr val="000000"/>
            </a:solidFill>
            <a:latin typeface="Segoe UI" panose="020B0502040204020203" pitchFamily="34" charset="0"/>
            <a:ea typeface="+mn-ea"/>
            <a:cs typeface="Segoe UI" panose="020B0502040204020203" pitchFamily="34" charset="0"/>
          </a:endParaRPr>
        </a:p>
      </xdr:txBody>
    </xdr:sp>
    <xdr:clientData/>
  </xdr:twoCellAnchor>
  <xdr:twoCellAnchor>
    <xdr:from>
      <xdr:col>0</xdr:col>
      <xdr:colOff>76200</xdr:colOff>
      <xdr:row>21</xdr:row>
      <xdr:rowOff>104775</xdr:rowOff>
    </xdr:from>
    <xdr:to>
      <xdr:col>3</xdr:col>
      <xdr:colOff>314325</xdr:colOff>
      <xdr:row>23</xdr:row>
      <xdr:rowOff>114300</xdr:rowOff>
    </xdr:to>
    <xdr:sp macro="" textlink="">
      <xdr:nvSpPr>
        <xdr:cNvPr id="18" name="Rectangle 17">
          <a:extLst>
            <a:ext uri="{FF2B5EF4-FFF2-40B4-BE49-F238E27FC236}">
              <a16:creationId xmlns:a16="http://schemas.microsoft.com/office/drawing/2014/main" id="{00000000-0008-0000-0700-000012000000}"/>
            </a:ext>
          </a:extLst>
        </xdr:cNvPr>
        <xdr:cNvSpPr/>
      </xdr:nvSpPr>
      <xdr:spPr>
        <a:xfrm>
          <a:off x="76200" y="3743325"/>
          <a:ext cx="1543050" cy="390525"/>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100" b="0" i="0" u="none" strike="noStrike">
              <a:solidFill>
                <a:srgbClr val="000000"/>
              </a:solidFill>
              <a:latin typeface="Segoe UI" panose="020B0502040204020203" pitchFamily="34" charset="0"/>
              <a:ea typeface="+mn-ea"/>
              <a:cs typeface="Segoe UI" panose="020B0502040204020203" pitchFamily="34" charset="0"/>
            </a:rPr>
            <a:t>Rendement Total YTD</a:t>
          </a:r>
        </a:p>
      </xdr:txBody>
    </xdr:sp>
    <xdr:clientData/>
  </xdr:twoCellAnchor>
  <xdr:twoCellAnchor>
    <xdr:from>
      <xdr:col>9</xdr:col>
      <xdr:colOff>285751</xdr:colOff>
      <xdr:row>21</xdr:row>
      <xdr:rowOff>85725</xdr:rowOff>
    </xdr:from>
    <xdr:to>
      <xdr:col>12</xdr:col>
      <xdr:colOff>400050</xdr:colOff>
      <xdr:row>23</xdr:row>
      <xdr:rowOff>95250</xdr:rowOff>
    </xdr:to>
    <xdr:sp macro="" textlink="">
      <xdr:nvSpPr>
        <xdr:cNvPr id="29" name="Rectangle 28">
          <a:extLst>
            <a:ext uri="{FF2B5EF4-FFF2-40B4-BE49-F238E27FC236}">
              <a16:creationId xmlns:a16="http://schemas.microsoft.com/office/drawing/2014/main" id="{00000000-0008-0000-0700-00001D000000}"/>
            </a:ext>
          </a:extLst>
        </xdr:cNvPr>
        <xdr:cNvSpPr/>
      </xdr:nvSpPr>
      <xdr:spPr>
        <a:xfrm>
          <a:off x="4829176" y="3724275"/>
          <a:ext cx="1533524" cy="390525"/>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100" b="0" i="0" u="none" strike="noStrike">
              <a:solidFill>
                <a:srgbClr val="000000"/>
              </a:solidFill>
              <a:latin typeface="Segoe UI" panose="020B0502040204020203" pitchFamily="34" charset="0"/>
              <a:ea typeface="+mn-ea"/>
              <a:cs typeface="Segoe UI" panose="020B0502040204020203" pitchFamily="34" charset="0"/>
            </a:rPr>
            <a:t>Rendement Total YTD</a:t>
          </a:r>
        </a:p>
      </xdr:txBody>
    </xdr:sp>
    <xdr:clientData/>
  </xdr:twoCellAnchor>
  <xdr:twoCellAnchor>
    <xdr:from>
      <xdr:col>12</xdr:col>
      <xdr:colOff>466726</xdr:colOff>
      <xdr:row>14</xdr:row>
      <xdr:rowOff>152400</xdr:rowOff>
    </xdr:from>
    <xdr:to>
      <xdr:col>18</xdr:col>
      <xdr:colOff>152400</xdr:colOff>
      <xdr:row>25</xdr:row>
      <xdr:rowOff>47625</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400050</xdr:colOff>
      <xdr:row>14</xdr:row>
      <xdr:rowOff>152400</xdr:rowOff>
    </xdr:from>
    <xdr:to>
      <xdr:col>9</xdr:col>
      <xdr:colOff>219076</xdr:colOff>
      <xdr:row>25</xdr:row>
      <xdr:rowOff>47625</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9526</xdr:colOff>
      <xdr:row>18</xdr:row>
      <xdr:rowOff>66676</xdr:rowOff>
    </xdr:from>
    <xdr:to>
      <xdr:col>6</xdr:col>
      <xdr:colOff>9526</xdr:colOff>
      <xdr:row>19</xdr:row>
      <xdr:rowOff>123826</xdr:rowOff>
    </xdr:to>
    <xdr:sp macro="" textlink="">
      <xdr:nvSpPr>
        <xdr:cNvPr id="20" name="TextBox 19">
          <a:extLst>
            <a:ext uri="{FF2B5EF4-FFF2-40B4-BE49-F238E27FC236}">
              <a16:creationId xmlns:a16="http://schemas.microsoft.com/office/drawing/2014/main" id="{00000000-0008-0000-0700-000014000000}"/>
            </a:ext>
          </a:extLst>
        </xdr:cNvPr>
        <xdr:cNvSpPr txBox="1"/>
      </xdr:nvSpPr>
      <xdr:spPr>
        <a:xfrm>
          <a:off x="2419351" y="3133726"/>
          <a:ext cx="5143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lumMod val="75000"/>
                  <a:lumOff val="25000"/>
                </a:schemeClr>
              </a:solidFill>
            </a:rPr>
            <a:t>2021</a:t>
          </a:r>
        </a:p>
      </xdr:txBody>
    </xdr:sp>
    <xdr:clientData/>
  </xdr:twoCellAnchor>
  <xdr:twoCellAnchor>
    <xdr:from>
      <xdr:col>6</xdr:col>
      <xdr:colOff>76201</xdr:colOff>
      <xdr:row>21</xdr:row>
      <xdr:rowOff>57151</xdr:rowOff>
    </xdr:from>
    <xdr:to>
      <xdr:col>6</xdr:col>
      <xdr:colOff>523876</xdr:colOff>
      <xdr:row>22</xdr:row>
      <xdr:rowOff>114301</xdr:rowOff>
    </xdr:to>
    <xdr:sp macro="" textlink="">
      <xdr:nvSpPr>
        <xdr:cNvPr id="35" name="TextBox 34">
          <a:extLst>
            <a:ext uri="{FF2B5EF4-FFF2-40B4-BE49-F238E27FC236}">
              <a16:creationId xmlns:a16="http://schemas.microsoft.com/office/drawing/2014/main" id="{00000000-0008-0000-0700-000023000000}"/>
            </a:ext>
          </a:extLst>
        </xdr:cNvPr>
        <xdr:cNvSpPr txBox="1"/>
      </xdr:nvSpPr>
      <xdr:spPr>
        <a:xfrm>
          <a:off x="3000376" y="3695701"/>
          <a:ext cx="447675"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900">
              <a:solidFill>
                <a:schemeClr val="tx1">
                  <a:lumMod val="75000"/>
                  <a:lumOff val="25000"/>
                </a:schemeClr>
              </a:solidFill>
              <a:latin typeface="+mn-lt"/>
              <a:ea typeface="+mn-ea"/>
              <a:cs typeface="+mn-cs"/>
            </a:rPr>
            <a:t>2022</a:t>
          </a:r>
        </a:p>
      </xdr:txBody>
    </xdr:sp>
    <xdr:clientData/>
  </xdr:twoCellAnchor>
  <xdr:twoCellAnchor>
    <xdr:from>
      <xdr:col>16</xdr:col>
      <xdr:colOff>495301</xdr:colOff>
      <xdr:row>20</xdr:row>
      <xdr:rowOff>66676</xdr:rowOff>
    </xdr:from>
    <xdr:to>
      <xdr:col>17</xdr:col>
      <xdr:colOff>361951</xdr:colOff>
      <xdr:row>21</xdr:row>
      <xdr:rowOff>123826</xdr:rowOff>
    </xdr:to>
    <xdr:sp macro="" textlink="">
      <xdr:nvSpPr>
        <xdr:cNvPr id="36" name="TextBox 35">
          <a:extLst>
            <a:ext uri="{FF2B5EF4-FFF2-40B4-BE49-F238E27FC236}">
              <a16:creationId xmlns:a16="http://schemas.microsoft.com/office/drawing/2014/main" id="{00000000-0008-0000-0700-000024000000}"/>
            </a:ext>
          </a:extLst>
        </xdr:cNvPr>
        <xdr:cNvSpPr txBox="1"/>
      </xdr:nvSpPr>
      <xdr:spPr>
        <a:xfrm>
          <a:off x="8324851" y="3514726"/>
          <a:ext cx="4762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lumMod val="75000"/>
                  <a:lumOff val="25000"/>
                </a:schemeClr>
              </a:solidFill>
            </a:rPr>
            <a:t>2021</a:t>
          </a:r>
        </a:p>
      </xdr:txBody>
    </xdr:sp>
    <xdr:clientData/>
  </xdr:twoCellAnchor>
  <xdr:twoCellAnchor>
    <xdr:from>
      <xdr:col>15</xdr:col>
      <xdr:colOff>19051</xdr:colOff>
      <xdr:row>18</xdr:row>
      <xdr:rowOff>133351</xdr:rowOff>
    </xdr:from>
    <xdr:to>
      <xdr:col>16</xdr:col>
      <xdr:colOff>28576</xdr:colOff>
      <xdr:row>20</xdr:row>
      <xdr:rowOff>1</xdr:rowOff>
    </xdr:to>
    <xdr:sp macro="" textlink="">
      <xdr:nvSpPr>
        <xdr:cNvPr id="37" name="TextBox 36">
          <a:extLst>
            <a:ext uri="{FF2B5EF4-FFF2-40B4-BE49-F238E27FC236}">
              <a16:creationId xmlns:a16="http://schemas.microsoft.com/office/drawing/2014/main" id="{00000000-0008-0000-0700-000025000000}"/>
            </a:ext>
          </a:extLst>
        </xdr:cNvPr>
        <xdr:cNvSpPr txBox="1"/>
      </xdr:nvSpPr>
      <xdr:spPr>
        <a:xfrm>
          <a:off x="7829551" y="3962401"/>
          <a:ext cx="4762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chemeClr val="tx1">
                  <a:lumMod val="75000"/>
                  <a:lumOff val="25000"/>
                </a:schemeClr>
              </a:solidFill>
            </a:rPr>
            <a:t>2022</a:t>
          </a:r>
        </a:p>
      </xdr:txBody>
    </xdr:sp>
    <xdr:clientData/>
  </xdr:twoCellAnchor>
  <xdr:twoCellAnchor editAs="oneCell">
    <xdr:from>
      <xdr:col>1</xdr:col>
      <xdr:colOff>361953</xdr:colOff>
      <xdr:row>14</xdr:row>
      <xdr:rowOff>161923</xdr:rowOff>
    </xdr:from>
    <xdr:to>
      <xdr:col>2</xdr:col>
      <xdr:colOff>476250</xdr:colOff>
      <xdr:row>18</xdr:row>
      <xdr:rowOff>76201</xdr:rowOff>
    </xdr:to>
    <mc:AlternateContent xmlns:mc="http://schemas.openxmlformats.org/markup-compatibility/2006" xmlns:a14="http://schemas.microsoft.com/office/drawing/2010/main">
      <mc:Choice Requires="a14">
        <xdr:graphicFrame macro="">
          <xdr:nvGraphicFramePr>
            <xdr:cNvPr id="43" name="année 1">
              <a:extLst>
                <a:ext uri="{FF2B5EF4-FFF2-40B4-BE49-F238E27FC236}">
                  <a16:creationId xmlns:a16="http://schemas.microsoft.com/office/drawing/2014/main" id="{00000000-0008-0000-0700-00002B000000}"/>
                </a:ext>
              </a:extLst>
            </xdr:cNvPr>
            <xdr:cNvGraphicFramePr/>
          </xdr:nvGraphicFramePr>
          <xdr:xfrm>
            <a:off x="0" y="0"/>
            <a:ext cx="0" cy="0"/>
          </xdr:xfrm>
          <a:graphic>
            <a:graphicData uri="http://schemas.microsoft.com/office/drawing/2010/slicer">
              <sle:slicer xmlns:sle="http://schemas.microsoft.com/office/drawing/2010/slicer" name="année 1"/>
            </a:graphicData>
          </a:graphic>
        </xdr:graphicFrame>
      </mc:Choice>
      <mc:Fallback xmlns="">
        <xdr:sp macro="" textlink="">
          <xdr:nvSpPr>
            <xdr:cNvPr id="0" name=""/>
            <xdr:cNvSpPr>
              <a:spLocks noTextEdit="1"/>
            </xdr:cNvSpPr>
          </xdr:nvSpPr>
          <xdr:spPr>
            <a:xfrm>
              <a:off x="523878" y="2466973"/>
              <a:ext cx="685797" cy="6572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314326</xdr:colOff>
      <xdr:row>14</xdr:row>
      <xdr:rowOff>152397</xdr:rowOff>
    </xdr:from>
    <xdr:to>
      <xdr:col>12</xdr:col>
      <xdr:colOff>28576</xdr:colOff>
      <xdr:row>18</xdr:row>
      <xdr:rowOff>76200</xdr:rowOff>
    </xdr:to>
    <mc:AlternateContent xmlns:mc="http://schemas.openxmlformats.org/markup-compatibility/2006" xmlns:a14="http://schemas.microsoft.com/office/drawing/2010/main">
      <mc:Choice Requires="a14">
        <xdr:graphicFrame macro="">
          <xdr:nvGraphicFramePr>
            <xdr:cNvPr id="44" name="année 2">
              <a:extLst>
                <a:ext uri="{FF2B5EF4-FFF2-40B4-BE49-F238E27FC236}">
                  <a16:creationId xmlns:a16="http://schemas.microsoft.com/office/drawing/2014/main" id="{00000000-0008-0000-0700-00002C000000}"/>
                </a:ext>
              </a:extLst>
            </xdr:cNvPr>
            <xdr:cNvGraphicFramePr/>
          </xdr:nvGraphicFramePr>
          <xdr:xfrm>
            <a:off x="0" y="0"/>
            <a:ext cx="0" cy="0"/>
          </xdr:xfrm>
          <a:graphic>
            <a:graphicData uri="http://schemas.microsoft.com/office/drawing/2010/slicer">
              <sle:slicer xmlns:sle="http://schemas.microsoft.com/office/drawing/2010/slicer" name="année 2"/>
            </a:graphicData>
          </a:graphic>
        </xdr:graphicFrame>
      </mc:Choice>
      <mc:Fallback xmlns="">
        <xdr:sp macro="" textlink="">
          <xdr:nvSpPr>
            <xdr:cNvPr id="0" name=""/>
            <xdr:cNvSpPr>
              <a:spLocks noTextEdit="1"/>
            </xdr:cNvSpPr>
          </xdr:nvSpPr>
          <xdr:spPr>
            <a:xfrm>
              <a:off x="5295902" y="2457448"/>
              <a:ext cx="695323" cy="65722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25</xdr:row>
      <xdr:rowOff>76200</xdr:rowOff>
    </xdr:from>
    <xdr:to>
      <xdr:col>8</xdr:col>
      <xdr:colOff>9525</xdr:colOff>
      <xdr:row>26</xdr:row>
      <xdr:rowOff>142875</xdr:rowOff>
    </xdr:to>
    <xdr:sp macro="" textlink="">
      <xdr:nvSpPr>
        <xdr:cNvPr id="51" name="TextBox 50">
          <a:extLst>
            <a:ext uri="{FF2B5EF4-FFF2-40B4-BE49-F238E27FC236}">
              <a16:creationId xmlns:a16="http://schemas.microsoft.com/office/drawing/2014/main" id="{00000000-0008-0000-0700-000033000000}"/>
            </a:ext>
          </a:extLst>
        </xdr:cNvPr>
        <xdr:cNvSpPr txBox="1"/>
      </xdr:nvSpPr>
      <xdr:spPr>
        <a:xfrm>
          <a:off x="0" y="4476750"/>
          <a:ext cx="4114800" cy="25717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100" b="1">
              <a:solidFill>
                <a:schemeClr val="bg1"/>
              </a:solidFill>
              <a:latin typeface="Segoe UI" panose="020B0502040204020203" pitchFamily="34" charset="0"/>
              <a:cs typeface="Segoe UI" panose="020B0502040204020203" pitchFamily="34" charset="0"/>
            </a:rPr>
            <a:t>Performance</a:t>
          </a:r>
          <a:r>
            <a:rPr lang="en-US" sz="1100" b="1" baseline="0">
              <a:solidFill>
                <a:schemeClr val="bg1"/>
              </a:solidFill>
              <a:latin typeface="Segoe UI" panose="020B0502040204020203" pitchFamily="34" charset="0"/>
              <a:cs typeface="Segoe UI" panose="020B0502040204020203" pitchFamily="34" charset="0"/>
            </a:rPr>
            <a:t> hebdomadaire Monde </a:t>
          </a:r>
          <a:endParaRPr lang="en-US" sz="1100" b="1">
            <a:solidFill>
              <a:schemeClr val="bg1"/>
            </a:solidFill>
            <a:latin typeface="Segoe UI" panose="020B0502040204020203" pitchFamily="34" charset="0"/>
            <a:cs typeface="Segoe U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12</xdr:col>
          <xdr:colOff>152401</xdr:colOff>
          <xdr:row>25</xdr:row>
          <xdr:rowOff>104775</xdr:rowOff>
        </xdr:from>
        <xdr:to>
          <xdr:col>18</xdr:col>
          <xdr:colOff>180976</xdr:colOff>
          <xdr:row>31</xdr:row>
          <xdr:rowOff>180974</xdr:rowOff>
        </xdr:to>
        <xdr:pic>
          <xdr:nvPicPr>
            <xdr:cNvPr id="52" name="Picture 51">
              <a:extLst>
                <a:ext uri="{FF2B5EF4-FFF2-40B4-BE49-F238E27FC236}">
                  <a16:creationId xmlns:a16="http://schemas.microsoft.com/office/drawing/2014/main" id="{00000000-0008-0000-0700-000034000000}"/>
                </a:ext>
              </a:extLst>
            </xdr:cNvPr>
            <xdr:cNvPicPr>
              <a:picLocks noChangeAspect="1" noChangeArrowheads="1"/>
              <a:extLst>
                <a:ext uri="{84589F7E-364E-4C9E-8A38-B11213B215E9}">
                  <a14:cameraTool cellRange="Indicateurs!$A$62:$D$66" spid="_x0000_s12577"/>
                </a:ext>
              </a:extLst>
            </xdr:cNvPicPr>
          </xdr:nvPicPr>
          <xdr:blipFill>
            <a:blip xmlns:r="http://schemas.openxmlformats.org/officeDocument/2006/relationships" r:embed="rId3"/>
            <a:srcRect/>
            <a:stretch>
              <a:fillRect/>
            </a:stretch>
          </xdr:blipFill>
          <xdr:spPr bwMode="auto">
            <a:xfrm>
              <a:off x="6115051" y="4505325"/>
              <a:ext cx="3048000" cy="1314449"/>
            </a:xfrm>
            <a:prstGeom prst="rect">
              <a:avLst/>
            </a:prstGeom>
          </xdr:spPr>
        </xdr:pic>
        <xdr:clientData/>
      </xdr:twoCellAnchor>
    </mc:Choice>
    <mc:Fallback/>
  </mc:AlternateContent>
  <xdr:twoCellAnchor>
    <xdr:from>
      <xdr:col>9</xdr:col>
      <xdr:colOff>276226</xdr:colOff>
      <xdr:row>25</xdr:row>
      <xdr:rowOff>104775</xdr:rowOff>
    </xdr:from>
    <xdr:to>
      <xdr:col>12</xdr:col>
      <xdr:colOff>161929</xdr:colOff>
      <xdr:row>26</xdr:row>
      <xdr:rowOff>152400</xdr:rowOff>
    </xdr:to>
    <xdr:sp macro="" textlink="">
      <xdr:nvSpPr>
        <xdr:cNvPr id="32" name="Rectangle 31">
          <a:extLst>
            <a:ext uri="{FF2B5EF4-FFF2-40B4-BE49-F238E27FC236}">
              <a16:creationId xmlns:a16="http://schemas.microsoft.com/office/drawing/2014/main" id="{00000000-0008-0000-0700-000020000000}"/>
            </a:ext>
          </a:extLst>
        </xdr:cNvPr>
        <xdr:cNvSpPr/>
      </xdr:nvSpPr>
      <xdr:spPr>
        <a:xfrm>
          <a:off x="4819651" y="4505325"/>
          <a:ext cx="1304928" cy="23812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bg1"/>
              </a:solidFill>
              <a:latin typeface="Segoe UI" panose="020B0502040204020203" pitchFamily="34" charset="0"/>
              <a:ea typeface="+mn-ea"/>
              <a:cs typeface="Segoe UI" panose="020B0502040204020203" pitchFamily="34" charset="0"/>
            </a:rPr>
            <a:t>Europe</a:t>
          </a:r>
        </a:p>
      </xdr:txBody>
    </xdr:sp>
    <xdr:clientData/>
  </xdr:twoCellAnchor>
  <xdr:twoCellAnchor>
    <xdr:from>
      <xdr:col>9</xdr:col>
      <xdr:colOff>285760</xdr:colOff>
      <xdr:row>26</xdr:row>
      <xdr:rowOff>95249</xdr:rowOff>
    </xdr:from>
    <xdr:to>
      <xdr:col>10</xdr:col>
      <xdr:colOff>342906</xdr:colOff>
      <xdr:row>31</xdr:row>
      <xdr:rowOff>180974</xdr:rowOff>
    </xdr:to>
    <xdr:sp macro="" textlink="">
      <xdr:nvSpPr>
        <xdr:cNvPr id="54" name="Rectangle 53">
          <a:extLst>
            <a:ext uri="{FF2B5EF4-FFF2-40B4-BE49-F238E27FC236}">
              <a16:creationId xmlns:a16="http://schemas.microsoft.com/office/drawing/2014/main" id="{00000000-0008-0000-0700-000036000000}"/>
            </a:ext>
          </a:extLst>
        </xdr:cNvPr>
        <xdr:cNvSpPr/>
      </xdr:nvSpPr>
      <xdr:spPr>
        <a:xfrm rot="16200000">
          <a:off x="4495808" y="5019676"/>
          <a:ext cx="1133475" cy="466721"/>
        </a:xfrm>
        <a:prstGeom prst="rect">
          <a:avLst/>
        </a:prstGeom>
        <a:solidFill>
          <a:schemeClr val="tx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100" b="1">
              <a:solidFill>
                <a:schemeClr val="bg1"/>
              </a:solidFill>
              <a:latin typeface="Segoe UI" panose="020B0502040204020203" pitchFamily="34" charset="0"/>
              <a:ea typeface="+mn-ea"/>
              <a:cs typeface="Segoe UI" panose="020B0502040204020203" pitchFamily="34" charset="0"/>
            </a:rPr>
            <a:t>Performance</a:t>
          </a:r>
          <a:r>
            <a:rPr lang="en-US" sz="1100" b="1" baseline="0">
              <a:solidFill>
                <a:schemeClr val="bg1"/>
              </a:solidFill>
              <a:latin typeface="Segoe UI" panose="020B0502040204020203" pitchFamily="34" charset="0"/>
              <a:ea typeface="+mn-ea"/>
              <a:cs typeface="Segoe UI" panose="020B0502040204020203" pitchFamily="34" charset="0"/>
            </a:rPr>
            <a:t> mensuelle</a:t>
          </a:r>
          <a:endParaRPr lang="en-US" sz="1100" b="1">
            <a:solidFill>
              <a:schemeClr val="bg1"/>
            </a:solidFill>
            <a:latin typeface="Segoe UI" panose="020B0502040204020203" pitchFamily="34" charset="0"/>
            <a:ea typeface="+mn-ea"/>
            <a:cs typeface="Segoe U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xdr:from>
          <xdr:col>12</xdr:col>
          <xdr:colOff>161925</xdr:colOff>
          <xdr:row>26</xdr:row>
          <xdr:rowOff>142875</xdr:rowOff>
        </xdr:from>
        <xdr:to>
          <xdr:col>12</xdr:col>
          <xdr:colOff>400050</xdr:colOff>
          <xdr:row>29</xdr:row>
          <xdr:rowOff>142875</xdr:rowOff>
        </xdr:to>
        <xdr:sp macro="" textlink="">
          <xdr:nvSpPr>
            <xdr:cNvPr id="12330" name="Spinner 42" hidden="1">
              <a:extLst>
                <a:ext uri="{63B3BB69-23CF-44E3-9099-C40C66FF867C}">
                  <a14:compatExt spid="_x0000_s12330"/>
                </a:ext>
                <a:ext uri="{FF2B5EF4-FFF2-40B4-BE49-F238E27FC236}">
                  <a16:creationId xmlns:a16="http://schemas.microsoft.com/office/drawing/2014/main" id="{00000000-0008-0000-0700-00002A3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219075</xdr:colOff>
          <xdr:row>2</xdr:row>
          <xdr:rowOff>161925</xdr:rowOff>
        </xdr:from>
        <xdr:to>
          <xdr:col>23</xdr:col>
          <xdr:colOff>104775</xdr:colOff>
          <xdr:row>4</xdr:row>
          <xdr:rowOff>0</xdr:rowOff>
        </xdr:to>
        <xdr:sp macro="" textlink="">
          <xdr:nvSpPr>
            <xdr:cNvPr id="12342" name="ComboBox1" hidden="1">
              <a:extLst>
                <a:ext uri="{63B3BB69-23CF-44E3-9099-C40C66FF867C}">
                  <a14:compatExt spid="_x0000_s12342"/>
                </a:ext>
                <a:ext uri="{FF2B5EF4-FFF2-40B4-BE49-F238E27FC236}">
                  <a16:creationId xmlns:a16="http://schemas.microsoft.com/office/drawing/2014/main" id="{00000000-0008-0000-0700-00003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18</xdr:col>
      <xdr:colOff>295274</xdr:colOff>
      <xdr:row>3</xdr:row>
      <xdr:rowOff>9524</xdr:rowOff>
    </xdr:from>
    <xdr:to>
      <xdr:col>24</xdr:col>
      <xdr:colOff>523874</xdr:colOff>
      <xdr:row>19</xdr:row>
      <xdr:rowOff>9525</xdr:rowOff>
    </xdr:to>
    <xdr:graphicFrame macro="">
      <xdr:nvGraphicFramePr>
        <xdr:cNvPr id="60" name="Chart 59">
          <a:extLst>
            <a:ext uri="{FF2B5EF4-FFF2-40B4-BE49-F238E27FC236}">
              <a16:creationId xmlns:a16="http://schemas.microsoft.com/office/drawing/2014/main" id="{00000000-0008-0000-0700-00003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590550</xdr:colOff>
      <xdr:row>9</xdr:row>
      <xdr:rowOff>161925</xdr:rowOff>
    </xdr:from>
    <xdr:to>
      <xdr:col>22</xdr:col>
      <xdr:colOff>114300</xdr:colOff>
      <xdr:row>10</xdr:row>
      <xdr:rowOff>104775</xdr:rowOff>
    </xdr:to>
    <xdr:sp macro="" textlink="">
      <xdr:nvSpPr>
        <xdr:cNvPr id="34" name="Oval 33">
          <a:extLst>
            <a:ext uri="{FF2B5EF4-FFF2-40B4-BE49-F238E27FC236}">
              <a16:creationId xmlns:a16="http://schemas.microsoft.com/office/drawing/2014/main" id="{00000000-0008-0000-0700-000022000000}"/>
            </a:ext>
          </a:extLst>
        </xdr:cNvPr>
        <xdr:cNvSpPr/>
      </xdr:nvSpPr>
      <xdr:spPr>
        <a:xfrm>
          <a:off x="10934700" y="1847850"/>
          <a:ext cx="133350" cy="133350"/>
        </a:xfrm>
        <a:prstGeom prst="ellipse">
          <a:avLst/>
        </a:prstGeom>
        <a:solidFill>
          <a:schemeClr val="tx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1</xdr:colOff>
      <xdr:row>9</xdr:row>
      <xdr:rowOff>38100</xdr:rowOff>
    </xdr:from>
    <xdr:to>
      <xdr:col>20</xdr:col>
      <xdr:colOff>514351</xdr:colOff>
      <xdr:row>10</xdr:row>
      <xdr:rowOff>95250</xdr:rowOff>
    </xdr:to>
    <xdr:sp macro="" textlink="">
      <xdr:nvSpPr>
        <xdr:cNvPr id="62" name="TextBox 61">
          <a:extLst>
            <a:ext uri="{FF2B5EF4-FFF2-40B4-BE49-F238E27FC236}">
              <a16:creationId xmlns:a16="http://schemas.microsoft.com/office/drawing/2014/main" id="{00000000-0008-0000-0700-00003E000000}"/>
            </a:ext>
          </a:extLst>
        </xdr:cNvPr>
        <xdr:cNvSpPr txBox="1"/>
      </xdr:nvSpPr>
      <xdr:spPr>
        <a:xfrm>
          <a:off x="9734551" y="1724025"/>
          <a:ext cx="514350"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tx1">
                  <a:lumMod val="75000"/>
                  <a:lumOff val="25000"/>
                </a:schemeClr>
              </a:solidFill>
              <a:latin typeface="Segoe UI" panose="020B0502040204020203" pitchFamily="34" charset="0"/>
              <a:cs typeface="Segoe UI" panose="020B0502040204020203" pitchFamily="34" charset="0"/>
            </a:rPr>
            <a:t>0</a:t>
          </a:r>
        </a:p>
      </xdr:txBody>
    </xdr:sp>
    <xdr:clientData/>
  </xdr:twoCellAnchor>
  <xdr:twoCellAnchor>
    <xdr:from>
      <xdr:col>23</xdr:col>
      <xdr:colOff>457200</xdr:colOff>
      <xdr:row>9</xdr:row>
      <xdr:rowOff>38100</xdr:rowOff>
    </xdr:from>
    <xdr:to>
      <xdr:col>25</xdr:col>
      <xdr:colOff>85726</xdr:colOff>
      <xdr:row>13</xdr:row>
      <xdr:rowOff>28574</xdr:rowOff>
    </xdr:to>
    <xdr:sp macro="" textlink="">
      <xdr:nvSpPr>
        <xdr:cNvPr id="63" name="TextBox 62">
          <a:extLst>
            <a:ext uri="{FF2B5EF4-FFF2-40B4-BE49-F238E27FC236}">
              <a16:creationId xmlns:a16="http://schemas.microsoft.com/office/drawing/2014/main" id="{00000000-0008-0000-0700-00003F000000}"/>
            </a:ext>
          </a:extLst>
        </xdr:cNvPr>
        <xdr:cNvSpPr txBox="1"/>
      </xdr:nvSpPr>
      <xdr:spPr>
        <a:xfrm>
          <a:off x="12020550" y="1724025"/>
          <a:ext cx="847726" cy="4190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solidFill>
                <a:schemeClr val="tx1">
                  <a:lumMod val="75000"/>
                  <a:lumOff val="25000"/>
                </a:schemeClr>
              </a:solidFill>
              <a:latin typeface="Segoe UI" panose="020B0502040204020203" pitchFamily="34" charset="0"/>
              <a:cs typeface="Segoe UI" panose="020B0502040204020203" pitchFamily="34" charset="0"/>
            </a:rPr>
            <a:t>20% : BM</a:t>
          </a:r>
          <a:r>
            <a:rPr lang="en-US" sz="1050" b="1" baseline="0">
              <a:solidFill>
                <a:schemeClr val="tx1">
                  <a:lumMod val="75000"/>
                  <a:lumOff val="25000"/>
                </a:schemeClr>
              </a:solidFill>
              <a:latin typeface="Segoe UI" panose="020B0502040204020203" pitchFamily="34" charset="0"/>
              <a:cs typeface="Segoe UI" panose="020B0502040204020203" pitchFamily="34" charset="0"/>
            </a:rPr>
            <a:t> </a:t>
          </a:r>
          <a:endParaRPr lang="en-US" sz="1050" b="1">
            <a:solidFill>
              <a:schemeClr val="tx1">
                <a:lumMod val="75000"/>
                <a:lumOff val="25000"/>
              </a:schemeClr>
            </a:solidFill>
            <a:latin typeface="Segoe UI" panose="020B0502040204020203" pitchFamily="34" charset="0"/>
            <a:cs typeface="Segoe UI" panose="020B0502040204020203" pitchFamily="34" charset="0"/>
          </a:endParaRPr>
        </a:p>
      </xdr:txBody>
    </xdr:sp>
    <xdr:clientData/>
  </xdr:twoCellAnchor>
  <xdr:twoCellAnchor>
    <xdr:from>
      <xdr:col>23</xdr:col>
      <xdr:colOff>200024</xdr:colOff>
      <xdr:row>4</xdr:row>
      <xdr:rowOff>66675</xdr:rowOff>
    </xdr:from>
    <xdr:to>
      <xdr:col>25</xdr:col>
      <xdr:colOff>19049</xdr:colOff>
      <xdr:row>6</xdr:row>
      <xdr:rowOff>114299</xdr:rowOff>
    </xdr:to>
    <xdr:sp macro="" textlink="">
      <xdr:nvSpPr>
        <xdr:cNvPr id="64" name="TextBox 63">
          <a:extLst>
            <a:ext uri="{FF2B5EF4-FFF2-40B4-BE49-F238E27FC236}">
              <a16:creationId xmlns:a16="http://schemas.microsoft.com/office/drawing/2014/main" id="{00000000-0008-0000-0700-000040000000}"/>
            </a:ext>
          </a:extLst>
        </xdr:cNvPr>
        <xdr:cNvSpPr txBox="1"/>
      </xdr:nvSpPr>
      <xdr:spPr>
        <a:xfrm>
          <a:off x="11763374" y="809625"/>
          <a:ext cx="1038225" cy="4190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b="1" baseline="0">
              <a:solidFill>
                <a:schemeClr val="tx1">
                  <a:lumMod val="85000"/>
                  <a:lumOff val="15000"/>
                </a:schemeClr>
              </a:solidFill>
              <a:latin typeface="Segoe UI" panose="020B0502040204020203" pitchFamily="34" charset="0"/>
              <a:cs typeface="Segoe UI" panose="020B0502040204020203" pitchFamily="34" charset="0"/>
            </a:rPr>
            <a:t>BM = Seuil de Bear Market  </a:t>
          </a:r>
          <a:endParaRPr lang="en-US" sz="800" b="1">
            <a:solidFill>
              <a:schemeClr val="tx1">
                <a:lumMod val="85000"/>
                <a:lumOff val="15000"/>
              </a:schemeClr>
            </a:solidFill>
            <a:latin typeface="Segoe UI" panose="020B0502040204020203" pitchFamily="34" charset="0"/>
            <a:cs typeface="Segoe UI" panose="020B0502040204020203" pitchFamily="34" charset="0"/>
          </a:endParaRPr>
        </a:p>
      </xdr:txBody>
    </xdr:sp>
    <xdr:clientData/>
  </xdr:twoCellAnchor>
  <xdr:twoCellAnchor>
    <xdr:from>
      <xdr:col>21</xdr:col>
      <xdr:colOff>47625</xdr:colOff>
      <xdr:row>14</xdr:row>
      <xdr:rowOff>104774</xdr:rowOff>
    </xdr:from>
    <xdr:to>
      <xdr:col>22</xdr:col>
      <xdr:colOff>285750</xdr:colOff>
      <xdr:row>16</xdr:row>
      <xdr:rowOff>9525</xdr:rowOff>
    </xdr:to>
    <xdr:sp macro="" textlink="">
      <xdr:nvSpPr>
        <xdr:cNvPr id="66" name="TextBox 65">
          <a:extLst>
            <a:ext uri="{FF2B5EF4-FFF2-40B4-BE49-F238E27FC236}">
              <a16:creationId xmlns:a16="http://schemas.microsoft.com/office/drawing/2014/main" id="{00000000-0008-0000-0700-000042000000}"/>
            </a:ext>
          </a:extLst>
        </xdr:cNvPr>
        <xdr:cNvSpPr txBox="1"/>
      </xdr:nvSpPr>
      <xdr:spPr>
        <a:xfrm>
          <a:off x="10391775" y="2409824"/>
          <a:ext cx="847725"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050" b="1">
              <a:solidFill>
                <a:schemeClr val="tx1">
                  <a:lumMod val="75000"/>
                  <a:lumOff val="25000"/>
                </a:schemeClr>
              </a:solidFill>
              <a:latin typeface="Segoe UI" panose="020B0502040204020203" pitchFamily="34" charset="0"/>
              <a:cs typeface="Segoe UI" panose="020B0502040204020203" pitchFamily="34" charset="0"/>
            </a:rPr>
            <a:t>MDD</a:t>
          </a:r>
          <a:r>
            <a:rPr lang="en-US" sz="1050" b="1" baseline="0">
              <a:solidFill>
                <a:schemeClr val="tx1">
                  <a:lumMod val="75000"/>
                  <a:lumOff val="25000"/>
                </a:schemeClr>
              </a:solidFill>
              <a:latin typeface="Segoe UI" panose="020B0502040204020203" pitchFamily="34" charset="0"/>
              <a:cs typeface="Segoe UI" panose="020B0502040204020203" pitchFamily="34" charset="0"/>
            </a:rPr>
            <a:t> pour </a:t>
          </a:r>
          <a:endParaRPr lang="en-US" sz="1050" b="1">
            <a:solidFill>
              <a:schemeClr val="tx1">
                <a:lumMod val="75000"/>
                <a:lumOff val="25000"/>
              </a:schemeClr>
            </a:solidFill>
            <a:latin typeface="Segoe UI" panose="020B0502040204020203" pitchFamily="34" charset="0"/>
            <a:cs typeface="Segoe UI" panose="020B0502040204020203" pitchFamily="34" charset="0"/>
          </a:endParaRPr>
        </a:p>
      </xdr:txBody>
    </xdr:sp>
    <xdr:clientData/>
  </xdr:twoCellAnchor>
  <xdr:twoCellAnchor>
    <xdr:from>
      <xdr:col>22</xdr:col>
      <xdr:colOff>133350</xdr:colOff>
      <xdr:row>14</xdr:row>
      <xdr:rowOff>114299</xdr:rowOff>
    </xdr:from>
    <xdr:to>
      <xdr:col>23</xdr:col>
      <xdr:colOff>419099</xdr:colOff>
      <xdr:row>16</xdr:row>
      <xdr:rowOff>19050</xdr:rowOff>
    </xdr:to>
    <xdr:sp macro="" textlink="Indicateurs!J37">
      <xdr:nvSpPr>
        <xdr:cNvPr id="67" name="TextBox 66">
          <a:extLst>
            <a:ext uri="{FF2B5EF4-FFF2-40B4-BE49-F238E27FC236}">
              <a16:creationId xmlns:a16="http://schemas.microsoft.com/office/drawing/2014/main" id="{00000000-0008-0000-0700-000043000000}"/>
            </a:ext>
          </a:extLst>
        </xdr:cNvPr>
        <xdr:cNvSpPr txBox="1"/>
      </xdr:nvSpPr>
      <xdr:spPr>
        <a:xfrm>
          <a:off x="11087100" y="2419349"/>
          <a:ext cx="895349" cy="2857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l"/>
          <a:fld id="{13E8361E-8C00-4DFF-BFC7-8596B2981B5E}" type="TxLink">
            <a:rPr lang="en-US" sz="1050" b="1">
              <a:solidFill>
                <a:schemeClr val="tx1">
                  <a:lumMod val="75000"/>
                  <a:lumOff val="25000"/>
                </a:schemeClr>
              </a:solidFill>
              <a:latin typeface="Segoe UI" panose="020B0502040204020203" pitchFamily="34" charset="0"/>
              <a:ea typeface="+mn-ea"/>
              <a:cs typeface="Segoe UI" panose="020B0502040204020203" pitchFamily="34" charset="0"/>
            </a:rPr>
            <a:pPr marL="0" indent="0" algn="l"/>
            <a:t>RU</a:t>
          </a:fld>
          <a:endParaRPr lang="en-US" sz="1050" b="1">
            <a:solidFill>
              <a:schemeClr val="tx1">
                <a:lumMod val="75000"/>
                <a:lumOff val="25000"/>
              </a:schemeClr>
            </a:solidFill>
            <a:latin typeface="Segoe UI" panose="020B0502040204020203" pitchFamily="34" charset="0"/>
            <a:ea typeface="+mn-ea"/>
            <a:cs typeface="Segoe UI" panose="020B0502040204020203" pitchFamily="34" charset="0"/>
          </a:endParaRPr>
        </a:p>
      </xdr:txBody>
    </xdr:sp>
    <xdr:clientData/>
  </xdr:twoCellAnchor>
  <xdr:twoCellAnchor>
    <xdr:from>
      <xdr:col>20</xdr:col>
      <xdr:colOff>581025</xdr:colOff>
      <xdr:row>10</xdr:row>
      <xdr:rowOff>161924</xdr:rowOff>
    </xdr:from>
    <xdr:to>
      <xdr:col>23</xdr:col>
      <xdr:colOff>285750</xdr:colOff>
      <xdr:row>14</xdr:row>
      <xdr:rowOff>171450</xdr:rowOff>
    </xdr:to>
    <xdr:sp macro="" textlink="Indicateurs!I37">
      <xdr:nvSpPr>
        <xdr:cNvPr id="68" name="TextBox 67">
          <a:extLst>
            <a:ext uri="{FF2B5EF4-FFF2-40B4-BE49-F238E27FC236}">
              <a16:creationId xmlns:a16="http://schemas.microsoft.com/office/drawing/2014/main" id="{00000000-0008-0000-0700-000044000000}"/>
            </a:ext>
          </a:extLst>
        </xdr:cNvPr>
        <xdr:cNvSpPr txBox="1"/>
      </xdr:nvSpPr>
      <xdr:spPr>
        <a:xfrm>
          <a:off x="10315575" y="2038349"/>
          <a:ext cx="1533525" cy="4381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29647B7-1831-4A05-8127-5E598551653C}" type="TxLink">
            <a:rPr lang="en-US" sz="2800" b="1" i="0" u="none" strike="noStrike">
              <a:solidFill>
                <a:srgbClr val="000000"/>
              </a:solidFill>
              <a:latin typeface="Segoe UI" panose="020B0502040204020203" pitchFamily="34" charset="0"/>
              <a:cs typeface="Segoe UI" panose="020B0502040204020203" pitchFamily="34" charset="0"/>
            </a:rPr>
            <a:pPr algn="ctr"/>
            <a:t>10.99%</a:t>
          </a:fld>
          <a:endParaRPr lang="en-US" sz="2800" b="1">
            <a:solidFill>
              <a:schemeClr val="tx1">
                <a:lumMod val="75000"/>
                <a:lumOff val="25000"/>
              </a:schemeClr>
            </a:solidFill>
            <a:latin typeface="Segoe UI" panose="020B0502040204020203" pitchFamily="34" charset="0"/>
            <a:cs typeface="Segoe U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23</xdr:col>
          <xdr:colOff>57150</xdr:colOff>
          <xdr:row>17</xdr:row>
          <xdr:rowOff>76200</xdr:rowOff>
        </xdr:from>
        <xdr:to>
          <xdr:col>24</xdr:col>
          <xdr:colOff>523875</xdr:colOff>
          <xdr:row>18</xdr:row>
          <xdr:rowOff>171450</xdr:rowOff>
        </xdr:to>
        <xdr:sp macro="" textlink="">
          <xdr:nvSpPr>
            <xdr:cNvPr id="12362" name="Group Box 74" hidden="1">
              <a:extLst>
                <a:ext uri="{63B3BB69-23CF-44E3-9099-C40C66FF867C}">
                  <a14:compatExt spid="_x0000_s12362"/>
                </a:ext>
                <a:ext uri="{FF2B5EF4-FFF2-40B4-BE49-F238E27FC236}">
                  <a16:creationId xmlns:a16="http://schemas.microsoft.com/office/drawing/2014/main" id="{00000000-0008-0000-0700-00004A3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Année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85725</xdr:colOff>
          <xdr:row>17</xdr:row>
          <xdr:rowOff>161925</xdr:rowOff>
        </xdr:from>
        <xdr:to>
          <xdr:col>23</xdr:col>
          <xdr:colOff>581025</xdr:colOff>
          <xdr:row>18</xdr:row>
          <xdr:rowOff>133350</xdr:rowOff>
        </xdr:to>
        <xdr:sp macro="" textlink="">
          <xdr:nvSpPr>
            <xdr:cNvPr id="12364" name="Option Button 76" hidden="1">
              <a:extLst>
                <a:ext uri="{63B3BB69-23CF-44E3-9099-C40C66FF867C}">
                  <a14:compatExt spid="_x0000_s12364"/>
                </a:ext>
                <a:ext uri="{FF2B5EF4-FFF2-40B4-BE49-F238E27FC236}">
                  <a16:creationId xmlns:a16="http://schemas.microsoft.com/office/drawing/2014/main" id="{00000000-0008-0000-0700-00004C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2021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542925</xdr:colOff>
          <xdr:row>17</xdr:row>
          <xdr:rowOff>171450</xdr:rowOff>
        </xdr:from>
        <xdr:to>
          <xdr:col>24</xdr:col>
          <xdr:colOff>390525</xdr:colOff>
          <xdr:row>18</xdr:row>
          <xdr:rowOff>123825</xdr:rowOff>
        </xdr:to>
        <xdr:sp macro="" textlink="">
          <xdr:nvSpPr>
            <xdr:cNvPr id="12365" name="Option Button 77" hidden="1">
              <a:extLst>
                <a:ext uri="{63B3BB69-23CF-44E3-9099-C40C66FF867C}">
                  <a14:compatExt spid="_x0000_s12365"/>
                </a:ext>
                <a:ext uri="{FF2B5EF4-FFF2-40B4-BE49-F238E27FC236}">
                  <a16:creationId xmlns:a16="http://schemas.microsoft.com/office/drawing/2014/main" id="{00000000-0008-0000-0700-00004D3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2022</a:t>
              </a:r>
            </a:p>
          </xdr:txBody>
        </xdr:sp>
        <xdr:clientData/>
      </xdr:twoCellAnchor>
    </mc:Choice>
    <mc:Fallback/>
  </mc:AlternateContent>
  <xdr:twoCellAnchor>
    <xdr:from>
      <xdr:col>20</xdr:col>
      <xdr:colOff>247650</xdr:colOff>
      <xdr:row>15</xdr:row>
      <xdr:rowOff>66676</xdr:rowOff>
    </xdr:from>
    <xdr:to>
      <xdr:col>22</xdr:col>
      <xdr:colOff>285751</xdr:colOff>
      <xdr:row>17</xdr:row>
      <xdr:rowOff>28576</xdr:rowOff>
    </xdr:to>
    <xdr:sp macro="" textlink="Indicateurs!K37">
      <xdr:nvSpPr>
        <xdr:cNvPr id="78" name="TextBox 77">
          <a:extLst>
            <a:ext uri="{FF2B5EF4-FFF2-40B4-BE49-F238E27FC236}">
              <a16:creationId xmlns:a16="http://schemas.microsoft.com/office/drawing/2014/main" id="{00000000-0008-0000-0700-00004E000000}"/>
            </a:ext>
          </a:extLst>
        </xdr:cNvPr>
        <xdr:cNvSpPr txBox="1"/>
      </xdr:nvSpPr>
      <xdr:spPr>
        <a:xfrm>
          <a:off x="9982200" y="2562226"/>
          <a:ext cx="1257301" cy="342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38CDE778-1D2E-489B-99A2-0CFD754F5D03}" type="TxLink">
            <a:rPr lang="en-US" sz="1200" b="1" i="0" u="none" strike="noStrike">
              <a:solidFill>
                <a:srgbClr val="C00000"/>
              </a:solidFill>
              <a:latin typeface="Segoe UI" panose="020B0502040204020203" pitchFamily="34" charset="0"/>
              <a:cs typeface="Segoe UI" panose="020B0502040204020203" pitchFamily="34" charset="0"/>
            </a:rPr>
            <a:pPr algn="r"/>
            <a:t> </a:t>
          </a:fld>
          <a:endParaRPr lang="en-US" sz="1200" b="1">
            <a:solidFill>
              <a:srgbClr val="C00000"/>
            </a:solidFill>
            <a:latin typeface="Segoe UI" panose="020B0502040204020203" pitchFamily="34" charset="0"/>
            <a:cs typeface="Segoe UI" panose="020B0502040204020203" pitchFamily="34" charset="0"/>
          </a:endParaRPr>
        </a:p>
      </xdr:txBody>
    </xdr:sp>
    <xdr:clientData/>
  </xdr:twoCellAnchor>
  <xdr:twoCellAnchor>
    <xdr:from>
      <xdr:col>22</xdr:col>
      <xdr:colOff>66675</xdr:colOff>
      <xdr:row>15</xdr:row>
      <xdr:rowOff>66676</xdr:rowOff>
    </xdr:from>
    <xdr:to>
      <xdr:col>23</xdr:col>
      <xdr:colOff>523875</xdr:colOff>
      <xdr:row>17</xdr:row>
      <xdr:rowOff>9526</xdr:rowOff>
    </xdr:to>
    <xdr:sp macro="" textlink="Indicateurs!L37">
      <xdr:nvSpPr>
        <xdr:cNvPr id="79" name="TextBox 78">
          <a:extLst>
            <a:ext uri="{FF2B5EF4-FFF2-40B4-BE49-F238E27FC236}">
              <a16:creationId xmlns:a16="http://schemas.microsoft.com/office/drawing/2014/main" id="{00000000-0008-0000-0700-00004F000000}"/>
            </a:ext>
          </a:extLst>
        </xdr:cNvPr>
        <xdr:cNvSpPr txBox="1"/>
      </xdr:nvSpPr>
      <xdr:spPr>
        <a:xfrm>
          <a:off x="11020425" y="2562226"/>
          <a:ext cx="1066800" cy="3238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0D848C30-A6B0-4333-AE4C-2FAF079481CD}" type="TxLink">
            <a:rPr lang="en-US" sz="1200" b="1" i="0" u="none" strike="noStrike">
              <a:solidFill>
                <a:srgbClr val="C00000"/>
              </a:solidFill>
              <a:latin typeface="Segoe UI" panose="020B0502040204020203" pitchFamily="34" charset="0"/>
              <a:ea typeface="+mn-ea"/>
              <a:cs typeface="Segoe UI" panose="020B0502040204020203" pitchFamily="34" charset="0"/>
            </a:rPr>
            <a:pPr marL="0" indent="0" algn="ctr"/>
            <a:t> </a:t>
          </a:fld>
          <a:endParaRPr lang="en-US" sz="1200" b="1" i="0" u="none" strike="noStrike">
            <a:solidFill>
              <a:srgbClr val="C00000"/>
            </a:solidFill>
            <a:latin typeface="Segoe UI" panose="020B0502040204020203" pitchFamily="34" charset="0"/>
            <a:ea typeface="+mn-ea"/>
            <a:cs typeface="Segoe UI" panose="020B0502040204020203"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xdr:col>
          <xdr:colOff>581025</xdr:colOff>
          <xdr:row>30</xdr:row>
          <xdr:rowOff>9525</xdr:rowOff>
        </xdr:from>
        <xdr:to>
          <xdr:col>7</xdr:col>
          <xdr:colOff>9525</xdr:colOff>
          <xdr:row>31</xdr:row>
          <xdr:rowOff>0</xdr:rowOff>
        </xdr:to>
        <xdr:sp macro="" textlink="">
          <xdr:nvSpPr>
            <xdr:cNvPr id="12521" name="Scroll Bar 233" hidden="1">
              <a:extLst>
                <a:ext uri="{63B3BB69-23CF-44E3-9099-C40C66FF867C}">
                  <a14:compatExt spid="_x0000_s12521"/>
                </a:ext>
                <a:ext uri="{FF2B5EF4-FFF2-40B4-BE49-F238E27FC236}">
                  <a16:creationId xmlns:a16="http://schemas.microsoft.com/office/drawing/2014/main" id="{00000000-0008-0000-0700-0000E9300000}"/>
                </a:ext>
              </a:extLst>
            </xdr:cNvPr>
            <xdr:cNvSpPr/>
          </xdr:nvSpPr>
          <xdr:spPr bwMode="auto">
            <a:xfrm>
              <a:off x="0" y="0"/>
              <a:ext cx="0" cy="0"/>
            </a:xfrm>
            <a:prstGeom prst="rect">
              <a:avLst/>
            </a:prstGeom>
            <a:noFill/>
            <a:ln w="9525">
              <a:miter lim="800000"/>
              <a:headEnd/>
              <a:tailEnd/>
            </a:ln>
          </xdr:spPr>
        </xdr:sp>
        <xdr:clientData fLocksWithSheet="0"/>
      </xdr:twoCellAnchor>
    </mc:Choice>
    <mc:Fallback/>
  </mc:AlternateContent>
  <xdr:twoCellAnchor>
    <xdr:from>
      <xdr:col>18</xdr:col>
      <xdr:colOff>190500</xdr:colOff>
      <xdr:row>19</xdr:row>
      <xdr:rowOff>9525</xdr:rowOff>
    </xdr:from>
    <xdr:to>
      <xdr:col>24</xdr:col>
      <xdr:colOff>542924</xdr:colOff>
      <xdr:row>30</xdr:row>
      <xdr:rowOff>171450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85725</xdr:colOff>
      <xdr:row>20</xdr:row>
      <xdr:rowOff>57150</xdr:rowOff>
    </xdr:from>
    <xdr:to>
      <xdr:col>20</xdr:col>
      <xdr:colOff>447675</xdr:colOff>
      <xdr:row>22</xdr:row>
      <xdr:rowOff>47625</xdr:rowOff>
    </xdr:to>
    <xdr:sp macro="" textlink="Indicateurs!A68">
      <xdr:nvSpPr>
        <xdr:cNvPr id="42" name="TextBox 41">
          <a:extLst>
            <a:ext uri="{FF2B5EF4-FFF2-40B4-BE49-F238E27FC236}">
              <a16:creationId xmlns:a16="http://schemas.microsoft.com/office/drawing/2014/main" id="{00000000-0008-0000-0700-00002A000000}"/>
            </a:ext>
          </a:extLst>
        </xdr:cNvPr>
        <xdr:cNvSpPr txBox="1"/>
      </xdr:nvSpPr>
      <xdr:spPr>
        <a:xfrm>
          <a:off x="9544050" y="3505200"/>
          <a:ext cx="628650" cy="3714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0C06915-34A8-4937-8E85-EDE4D08AA308}" type="TxLink">
            <a:rPr lang="en-US" sz="800" b="0" i="0" u="none" strike="noStrike">
              <a:solidFill>
                <a:schemeClr val="bg2">
                  <a:lumMod val="75000"/>
                </a:schemeClr>
              </a:solidFill>
              <a:latin typeface="+mn-lt"/>
              <a:cs typeface="Segoe UI" panose="020B0502040204020203" pitchFamily="34" charset="0"/>
            </a:rPr>
            <a:pPr/>
            <a:t>Invasion Ukraine</a:t>
          </a:fld>
          <a:endParaRPr lang="en-US" sz="800">
            <a:solidFill>
              <a:schemeClr val="bg2">
                <a:lumMod val="75000"/>
              </a:schemeClr>
            </a:solidFill>
            <a:latin typeface="+mn-lt"/>
            <a:cs typeface="Segoe UI" panose="020B0502040204020203"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SUS" refreshedDate="44784.89889837963" createdVersion="8" refreshedVersion="8" minRefreshableVersion="3" recordCount="22" xr:uid="{50682A9A-222B-4441-9E21-7F266FCA7048}">
  <cacheSource type="worksheet">
    <worksheetSource ref="K9:M31" sheet="Indicateurs"/>
  </cacheSource>
  <cacheFields count="3">
    <cacheField name="pays" numFmtId="0">
      <sharedItems count="11">
        <s v="Chine"/>
        <s v="DM"/>
        <s v="EM ex China"/>
        <s v="EM"/>
        <s v="Japon"/>
        <s v="Monde"/>
        <s v="RU"/>
        <s v="US"/>
        <s v="France"/>
        <s v="Europe"/>
        <s v="Allemagne"/>
      </sharedItems>
    </cacheField>
    <cacheField name="rend" numFmtId="10">
      <sharedItems containsSemiMixedTypes="0" containsString="0" containsNumber="1" minValue="-0.13659899265299336" maxValue="0.29259112431570244"/>
    </cacheField>
    <cacheField name="année" numFmtId="1">
      <sharedItems containsSemiMixedTypes="0" containsString="0" containsNumber="1" containsInteger="1" minValue="2021" maxValue="2022" count="2">
        <n v="2022"/>
        <n v="2021"/>
      </sharedItems>
    </cacheField>
  </cacheFields>
  <extLst>
    <ext xmlns:x14="http://schemas.microsoft.com/office/spreadsheetml/2009/9/main" uri="{725AE2AE-9491-48be-B2B4-4EB974FC3084}">
      <x14:pivotCacheDefinition pivotCacheId="181919445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
  <r>
    <x v="0"/>
    <n v="-0.13659899265299336"/>
    <x v="0"/>
  </r>
  <r>
    <x v="1"/>
    <n v="1.7341247964210993E-3"/>
    <x v="0"/>
  </r>
  <r>
    <x v="2"/>
    <n v="-4.4806876288320141E-2"/>
    <x v="0"/>
  </r>
  <r>
    <x v="3"/>
    <n v="-8.1172363329155339E-2"/>
    <x v="0"/>
  </r>
  <r>
    <x v="4"/>
    <n v="-2.3655931569513733E-2"/>
    <x v="0"/>
  </r>
  <r>
    <x v="5"/>
    <n v="-7.8791557839843485E-3"/>
    <x v="0"/>
  </r>
  <r>
    <x v="6"/>
    <n v="8.4436727910777165E-2"/>
    <x v="0"/>
  </r>
  <r>
    <x v="7"/>
    <n v="-8.3622705296257371E-2"/>
    <x v="0"/>
  </r>
  <r>
    <x v="8"/>
    <n v="-3.6885006679948318E-2"/>
    <x v="0"/>
  </r>
  <r>
    <x v="9"/>
    <n v="-5.0046319315053323E-2"/>
    <x v="0"/>
  </r>
  <r>
    <x v="10"/>
    <n v="-0.11027259853108795"/>
    <x v="0"/>
  </r>
  <r>
    <x v="0"/>
    <n v="-7.5817885402380658E-2"/>
    <x v="1"/>
  </r>
  <r>
    <x v="1"/>
    <n v="0.29259112431570244"/>
    <x v="1"/>
  </r>
  <r>
    <x v="2"/>
    <n v="0.15362252898592055"/>
    <x v="1"/>
  </r>
  <r>
    <x v="3"/>
    <n v="2.6168742689704816E-2"/>
    <x v="1"/>
  </r>
  <r>
    <x v="4"/>
    <n v="7.4950251597660333E-2"/>
    <x v="1"/>
  </r>
  <r>
    <x v="5"/>
    <n v="0.25660164528907159"/>
    <x v="1"/>
  </r>
  <r>
    <x v="6"/>
    <n v="0.22571191325159856"/>
    <x v="1"/>
  </r>
  <r>
    <x v="7"/>
    <n v="0.24416195380498973"/>
    <x v="1"/>
  </r>
  <r>
    <x v="8"/>
    <n v="0.28850684510781877"/>
    <x v="1"/>
  </r>
  <r>
    <x v="9"/>
    <n v="0.2210118450968146"/>
    <x v="1"/>
  </r>
  <r>
    <x v="10"/>
    <n v="0.15789161645569139"/>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949731F-D2EA-49A9-B023-F7F32ED6A28C}" name="by_year"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O9:Q22" firstHeaderRow="1" firstDataRow="2" firstDataCol="1"/>
  <pivotFields count="3">
    <pivotField axis="axisRow" showAll="0">
      <items count="12">
        <item x="10"/>
        <item x="0"/>
        <item x="1"/>
        <item x="3"/>
        <item x="2"/>
        <item x="9"/>
        <item x="8"/>
        <item x="4"/>
        <item x="5"/>
        <item x="6"/>
        <item x="7"/>
        <item t="default"/>
      </items>
    </pivotField>
    <pivotField dataField="1" numFmtId="10" showAll="0"/>
    <pivotField axis="axisCol" numFmtId="1" showAll="0">
      <items count="3">
        <item h="1" x="1"/>
        <item x="0"/>
        <item t="default"/>
      </items>
    </pivotField>
  </pivotFields>
  <rowFields count="1">
    <field x="0"/>
  </rowFields>
  <rowItems count="12">
    <i>
      <x/>
    </i>
    <i>
      <x v="1"/>
    </i>
    <i>
      <x v="2"/>
    </i>
    <i>
      <x v="3"/>
    </i>
    <i>
      <x v="4"/>
    </i>
    <i>
      <x v="5"/>
    </i>
    <i>
      <x v="6"/>
    </i>
    <i>
      <x v="7"/>
    </i>
    <i>
      <x v="8"/>
    </i>
    <i>
      <x v="9"/>
    </i>
    <i>
      <x v="10"/>
    </i>
    <i t="grand">
      <x/>
    </i>
  </rowItems>
  <colFields count="1">
    <field x="2"/>
  </colFields>
  <colItems count="2">
    <i>
      <x v="1"/>
    </i>
    <i t="grand">
      <x/>
    </i>
  </colItems>
  <dataFields count="1">
    <dataField name="Sum of rend" fld="1"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D0B961FB-D37E-40B8-8BFE-71FEC64AF5CA}" autoFormatId="16" applyNumberFormats="0" applyBorderFormats="0" applyFontFormats="0" applyPatternFormats="0" applyAlignmentFormats="0" applyWidthHeightFormats="0">
  <queryTableRefresh nextId="13">
    <queryTableFields count="12">
      <queryTableField id="1" name="Date" tableColumnId="1"/>
      <queryTableField id="2" name="Chine" tableColumnId="2"/>
      <queryTableField id="3" name="DM" tableColumnId="3"/>
      <queryTableField id="4" name="EM ex China" tableColumnId="4"/>
      <queryTableField id="5" name="EM" tableColumnId="5"/>
      <queryTableField id="6" name="Japon" tableColumnId="6"/>
      <queryTableField id="7" name="Monde" tableColumnId="7"/>
      <queryTableField id="8" name="RU" tableColumnId="8"/>
      <queryTableField id="9" name="US" tableColumnId="9"/>
      <queryTableField id="10" name="France" tableColumnId="10"/>
      <queryTableField id="11" name="Europe" tableColumnId="11"/>
      <queryTableField id="12" name="Allemagne" tableColumnId="12"/>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nnée" xr10:uid="{25EEE9AA-7226-4A46-BD12-5C1D574E679D}" sourceName="année">
  <pivotTables>
    <pivotTable tabId="7" name="by_year"/>
  </pivotTables>
  <data>
    <tabular pivotCacheId="1819194456">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nnée" xr10:uid="{37FF7151-4756-46FF-9C0F-8DB2759139B8}" cache="Slicer_année" caption="année" showCaption="0"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nnée 1" xr10:uid="{D7DA244F-19F8-4EA6-B2FF-2F7D0AD0BF96}" cache="Slicer_année" caption="année" showCaption="0" style="SlicerStyleDark5" rowHeight="241300"/>
  <slicer name="année 2" xr10:uid="{4642A8D0-5CE8-44B8-9F07-F2A567508C4F}" cache="Slicer_année" caption="année" showCaption="0" style="SlicerStyleDark5"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497D626-C4CE-4859-8F6D-0905D431896F}" name="prices" displayName="prices" ref="A7:L418" tableType="queryTable" totalsRowShown="0">
  <autoFilter ref="A7:L418" xr:uid="{9497D626-C4CE-4859-8F6D-0905D431896F}"/>
  <tableColumns count="12">
    <tableColumn id="1" xr3:uid="{87798DEC-9FA9-495B-85E5-8DA14F545B89}" uniqueName="1" name="Date" queryTableFieldId="1" dataDxfId="85"/>
    <tableColumn id="2" xr3:uid="{8CE04927-0BA6-4813-A21D-6655291C5208}" uniqueName="2" name="Chine" queryTableFieldId="2"/>
    <tableColumn id="3" xr3:uid="{61DEC0C8-D08C-477B-9FC0-513C08567597}" uniqueName="3" name="DM" queryTableFieldId="3"/>
    <tableColumn id="4" xr3:uid="{2086F5EF-2EF3-495D-A18A-85567EAB9F05}" uniqueName="4" name="EM ex China" queryTableFieldId="4"/>
    <tableColumn id="5" xr3:uid="{EB87E476-A821-40DB-AC41-8F2058EBFF60}" uniqueName="5" name="EM" queryTableFieldId="5"/>
    <tableColumn id="6" xr3:uid="{1469054F-61E1-4CFC-B719-2C6E73045AE9}" uniqueName="6" name="Japon" queryTableFieldId="6"/>
    <tableColumn id="7" xr3:uid="{FB2F35F5-FC4A-4840-B9C8-0005AFE9A334}" uniqueName="7" name="Monde" queryTableFieldId="7"/>
    <tableColumn id="8" xr3:uid="{442A3AB2-8CB9-4509-9989-422B919273D9}" uniqueName="8" name="RU" queryTableFieldId="8"/>
    <tableColumn id="9" xr3:uid="{0F636931-D269-48B6-8360-D969CE83822D}" uniqueName="9" name="US" queryTableFieldId="9"/>
    <tableColumn id="10" xr3:uid="{D9A08A64-10F9-450F-B67B-C4FD42F370AC}" uniqueName="10" name="France" queryTableFieldId="10"/>
    <tableColumn id="11" xr3:uid="{2912C008-5C68-4B80-9BA0-80BA20FA4D7C}" uniqueName="11" name="Europe" queryTableFieldId="11"/>
    <tableColumn id="12" xr3:uid="{E04D2100-7F98-4A9F-9BED-2D8E4D183429}" uniqueName="12" name="Allemagne" queryTableFieldId="12"/>
  </tableColumns>
  <tableStyleInfo name="TableStyleMedium2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A3280AC-DBE2-4837-AA34-3072303AB5E4}" name="Rend_j" displayName="Rend_j" ref="A4:R414" totalsRowShown="0">
  <autoFilter ref="A4:R414" xr:uid="{9A3280AC-DBE2-4837-AA34-3072303AB5E4}"/>
  <tableColumns count="18">
    <tableColumn id="1" xr3:uid="{339BDB7F-1BA8-4A53-BA89-2343CDFF3AC5}" name="Date" dataDxfId="84"/>
    <tableColumn id="2" xr3:uid="{3F5D0F95-447F-46CA-A354-1EDA340F4AA7}" name="Chine" dataDxfId="83" dataCellStyle="Percent">
      <calculatedColumnFormula>(Indices!B9-Indices!B8)/Indices!B8</calculatedColumnFormula>
    </tableColumn>
    <tableColumn id="3" xr3:uid="{4A1FC53E-90C3-46D3-AC1E-347A3A99EF41}" name="DM" dataDxfId="82" dataCellStyle="Percent">
      <calculatedColumnFormula>(Indices!C9-Indices!C8)/Indices!C8</calculatedColumnFormula>
    </tableColumn>
    <tableColumn id="4" xr3:uid="{9018C296-54CB-45A4-A9F6-A1190E638C28}" name="EM ex China" dataDxfId="81" dataCellStyle="Percent">
      <calculatedColumnFormula>(Indices!D9-Indices!D8)/Indices!D8</calculatedColumnFormula>
    </tableColumn>
    <tableColumn id="5" xr3:uid="{76211F82-2C92-4AB1-88FC-CC1770CA30FC}" name="EM" dataDxfId="80" dataCellStyle="Percent">
      <calculatedColumnFormula>(Indices!E9-Indices!E8)/Indices!E8</calculatedColumnFormula>
    </tableColumn>
    <tableColumn id="6" xr3:uid="{71F16D4B-4C17-4781-88FC-D2A6E0249974}" name="Japon" dataDxfId="79" dataCellStyle="Percent">
      <calculatedColumnFormula>(Indices!F9-Indices!F8)/Indices!F8</calculatedColumnFormula>
    </tableColumn>
    <tableColumn id="7" xr3:uid="{43C2A427-8EE3-406D-B6DE-7AEFB3E1E406}" name="Monde" dataDxfId="78" dataCellStyle="Percent">
      <calculatedColumnFormula>(Indices!G9-Indices!G8)/Indices!G8</calculatedColumnFormula>
    </tableColumn>
    <tableColumn id="8" xr3:uid="{9916BB01-0BDF-4D82-B96C-7A8626EAC7C0}" name="RU" dataDxfId="77" dataCellStyle="Percent">
      <calculatedColumnFormula>(Indices!H9-Indices!H8)/Indices!H8</calculatedColumnFormula>
    </tableColumn>
    <tableColumn id="9" xr3:uid="{FFE70535-7CC5-4506-94F0-08C082F9D9C8}" name="US" dataDxfId="76" dataCellStyle="Percent">
      <calculatedColumnFormula>(Indices!I9-Indices!I8)/Indices!I8</calculatedColumnFormula>
    </tableColumn>
    <tableColumn id="10" xr3:uid="{89238252-453C-48C4-9A42-6868EFFC2DBC}" name="France" dataDxfId="75" dataCellStyle="Percent">
      <calculatedColumnFormula>(Indices!J9-Indices!J8)/Indices!J8</calculatedColumnFormula>
    </tableColumn>
    <tableColumn id="11" xr3:uid="{5BC9D76E-AAB9-4693-97B5-654A72F69E55}" name="Europe" dataDxfId="74" dataCellStyle="Percent">
      <calculatedColumnFormula>(Indices!K9-Indices!K8)/Indices!K8</calculatedColumnFormula>
    </tableColumn>
    <tableColumn id="12" xr3:uid="{04F0600F-574E-461B-9212-EFC236A24E5C}" name="Allemagne" dataDxfId="73" dataCellStyle="Percent">
      <calculatedColumnFormula>(Indices!L9-Indices!L8)/Indices!L8</calculatedColumnFormula>
    </tableColumn>
    <tableColumn id="13" xr3:uid="{2B338D03-4388-42E9-BD37-119BA054E1ED}" name="Week" dataDxfId="72" dataCellStyle="Percent">
      <calculatedColumnFormula>WEEKNUM(Rend_j[[#This Row],[Date]])-1</calculatedColumnFormula>
    </tableColumn>
    <tableColumn id="14" xr3:uid="{1D2A5981-C644-4FAB-B426-7202958F6552}" name="Day" dataDxfId="71" dataCellStyle="Percent">
      <calculatedColumnFormula>TEXT(Rend_j[[#This Row],[Date]],"ddd")</calculatedColumnFormula>
    </tableColumn>
    <tableColumn id="15" xr3:uid="{6F9D39A8-83B4-4C20-8655-31B4146B0235}" name="Month" dataDxfId="70" dataCellStyle="Percent">
      <calculatedColumnFormula>MONTH(Rend_j[[#This Row],[Date]])</calculatedColumnFormula>
    </tableColumn>
    <tableColumn id="16" xr3:uid="{C616381B-6D20-42FF-8A45-8C3E1D16C7C7}" name="Year" dataDxfId="69" dataCellStyle="Percent">
      <calculatedColumnFormula>YEAR(Rend_j[[#This Row],[Date]])</calculatedColumnFormula>
    </tableColumn>
    <tableColumn id="17" xr3:uid="{1F193319-E882-407D-914E-0CA269B20013}" name="Week,Year" dataDxfId="68" dataCellStyle="Percent">
      <calculatedColumnFormula>Rend_j[[#This Row],[Week]]&amp;","&amp;Rend_j[[#This Row],[Year]]</calculatedColumnFormula>
    </tableColumn>
    <tableColumn id="18" xr3:uid="{954C8389-DD73-4A53-8FB0-D333EF20F5D7}" name="Month,Year" dataDxfId="67" dataCellStyle="Percent">
      <calculatedColumnFormula>Rend_j[[#This Row],[Month]]&amp;","&amp;Rend_j[[#This Row],[Year]]</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C1EED4-526B-41C8-9E15-6912CC1C83B2}" name="Rend_h" displayName="Rend_h" ref="A4:N86" totalsRowShown="0" headerRowDxfId="66" dataDxfId="64" headerRowBorderDxfId="65" tableBorderDxfId="63" headerRowCellStyle="Percent" dataCellStyle="Percent">
  <autoFilter ref="A4:N86" xr:uid="{40C1EED4-526B-41C8-9E15-6912CC1C83B2}"/>
  <tableColumns count="14">
    <tableColumn id="1" xr3:uid="{E3A4AAEB-112E-43EB-BECA-4E741CADAD4D}" name="Week,Year" dataDxfId="62"/>
    <tableColumn id="2" xr3:uid="{EBD89521-96C9-4790-8A97-9B300FB2A379}" name="Chine" dataDxfId="61" dataCellStyle="Percent">
      <calculatedColumnFormula array="1">PRODUCT(1+IF(Rend_j[[Week,Year]:[Week,Year]]='Rend hebdo'!$A5,Rend_j[Chine]))-1</calculatedColumnFormula>
    </tableColumn>
    <tableColumn id="3" xr3:uid="{C882C84F-997B-4A5C-9819-BEFC555D9F07}" name="DM" dataDxfId="60" dataCellStyle="Percent">
      <calculatedColumnFormula array="1">PRODUCT(1+IF(Rend_j[[Week,Year]:[Week,Year]]='Rend hebdo'!$A5,Rend_j[DM]))-1</calculatedColumnFormula>
    </tableColumn>
    <tableColumn id="4" xr3:uid="{BE390F3F-72F9-49F1-85F4-C897D2E31D92}" name="EM ex China" dataDxfId="59" dataCellStyle="Percent">
      <calculatedColumnFormula array="1">PRODUCT(1+IF(Rend_j[[Week,Year]:[Week,Year]]='Rend hebdo'!$A5,Rend_j[EM ex China]))-1</calculatedColumnFormula>
    </tableColumn>
    <tableColumn id="5" xr3:uid="{C15BA206-A240-4F7A-82E0-36355005E348}" name="EM" dataDxfId="58" dataCellStyle="Percent">
      <calculatedColumnFormula array="1">PRODUCT(1+IF(Rend_j[[Week,Year]:[Week,Year]]='Rend hebdo'!$A5,Rend_j[EM]))-1</calculatedColumnFormula>
    </tableColumn>
    <tableColumn id="6" xr3:uid="{BA390CFD-E429-422A-8AE2-E75AB1FC489A}" name="Japon" dataDxfId="57" dataCellStyle="Percent">
      <calculatedColumnFormula array="1">PRODUCT(1+IF(Rend_j[[Week,Year]:[Week,Year]]='Rend hebdo'!$A5,Rend_j[Japon]))-1</calculatedColumnFormula>
    </tableColumn>
    <tableColumn id="7" xr3:uid="{15D09175-400D-4841-80C3-A54F68CEC217}" name="Monde" dataDxfId="56" dataCellStyle="Percent">
      <calculatedColumnFormula array="1">PRODUCT(1+IF(Rend_j[[Week,Year]:[Week,Year]]='Rend hebdo'!$A5,Rend_j[Monde]))-1</calculatedColumnFormula>
    </tableColumn>
    <tableColumn id="8" xr3:uid="{F992425B-253D-4689-A2B7-5C9D49BB7D7A}" name="RU" dataDxfId="55" dataCellStyle="Percent">
      <calculatedColumnFormula array="1">PRODUCT(1+IF(Rend_j[[Week,Year]:[Week,Year]]='Rend hebdo'!$A5,Rend_j[RU]))-1</calculatedColumnFormula>
    </tableColumn>
    <tableColumn id="9" xr3:uid="{91E93ACA-BAE1-46F5-94F1-2FF1DBF27BD7}" name="US" dataDxfId="54" dataCellStyle="Percent">
      <calculatedColumnFormula array="1">PRODUCT(1+IF(Rend_j[[Week,Year]:[Week,Year]]='Rend hebdo'!$A5,Rend_j[US]))-1</calculatedColumnFormula>
    </tableColumn>
    <tableColumn id="10" xr3:uid="{B091BE25-7FB5-4D15-A11F-1D210C32A37F}" name="France" dataDxfId="53" dataCellStyle="Percent">
      <calculatedColumnFormula array="1">PRODUCT(1+IF(Rend_j[[Week,Year]:[Week,Year]]='Rend hebdo'!$A5,Rend_j[France]))-1</calculatedColumnFormula>
    </tableColumn>
    <tableColumn id="11" xr3:uid="{CA0F786C-936E-4699-8C60-EDD04F228DFD}" name="Europe" dataDxfId="52" dataCellStyle="Percent">
      <calculatedColumnFormula array="1">PRODUCT(1+IF(Rend_j[[Week,Year]:[Week,Year]]='Rend hebdo'!$A5,Rend_j[Europe]))-1</calculatedColumnFormula>
    </tableColumn>
    <tableColumn id="12" xr3:uid="{08D55429-A35E-42FF-9AA4-E23BD54F4D3D}" name="Allemagne" dataDxfId="51" dataCellStyle="Percent">
      <calculatedColumnFormula array="1">PRODUCT(1+IF(Rend_j[[Week,Year]:[Week,Year]]='Rend hebdo'!$A5,Rend_j[Allemagne]))-1</calculatedColumnFormula>
    </tableColumn>
    <tableColumn id="13" xr3:uid="{703AEB62-E90D-4019-8CDD-DC75C92021FD}" name="Week" dataDxfId="50" dataCellStyle="Percent">
      <calculatedColumnFormula>VALUE(LEFT(Rend_h[[#This Row],[Week,Year]],FIND(",",Rend_h[[#This Row],[Week,Year]])-1))</calculatedColumnFormula>
    </tableColumn>
    <tableColumn id="14" xr3:uid="{5573489A-9F6E-4F96-AD11-FDFDE7F166AD}" name="Year" dataDxfId="49" dataCellStyle="Percent">
      <calculatedColumnFormula>VALUE(RIGHT(Rend_h[[#This Row],[Week,Year]],4))</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585AF05-65C5-4EFE-B8D2-474268852DF9}" name="Rend_m" displayName="Rend_m" ref="A4:N23" totalsRowShown="0" headerRowDxfId="48" dataDxfId="46" headerRowBorderDxfId="47" tableBorderDxfId="45" headerRowCellStyle="Percent" dataCellStyle="Percent">
  <autoFilter ref="A4:N23" xr:uid="{9585AF05-65C5-4EFE-B8D2-474268852DF9}"/>
  <tableColumns count="14">
    <tableColumn id="1" xr3:uid="{023DC82C-D99E-4E97-9D45-B2FCF1819C2D}" name="Month,Year" dataDxfId="44" dataCellStyle="Percent"/>
    <tableColumn id="2" xr3:uid="{012BB299-E9BE-4AFA-99BE-2E415D60B396}" name="Chine" dataDxfId="43" dataCellStyle="Percent">
      <calculatedColumnFormula array="1">PRODUCT(1+IF(Rend_j[[Month,Year]:[Month,Year]]='Rend mensuels'!$A5,Rend_j[Chine]))-1</calculatedColumnFormula>
    </tableColumn>
    <tableColumn id="3" xr3:uid="{812A3A22-FC9A-47D5-BA44-E9AE1D2A6851}" name="DM" dataDxfId="42" dataCellStyle="Percent">
      <calculatedColumnFormula array="1">PRODUCT(1+IF(Rend_j[[Month,Year]:[Month,Year]]='Rend mensuels'!$A5,Rend_j[DM]))-1</calculatedColumnFormula>
    </tableColumn>
    <tableColumn id="4" xr3:uid="{FC22A052-EDAE-4C47-AEE1-6373FC63CE8E}" name="EM ex China" dataDxfId="41" dataCellStyle="Percent">
      <calculatedColumnFormula array="1">PRODUCT(1+IF(Rend_j[[Month,Year]:[Month,Year]]='Rend mensuels'!$A5,Rend_j[EM ex China]))-1</calculatedColumnFormula>
    </tableColumn>
    <tableColumn id="5" xr3:uid="{2A435D2E-C542-457B-8642-1D7C0B5EACAA}" name="EM" dataDxfId="40" dataCellStyle="Percent">
      <calculatedColumnFormula array="1">PRODUCT(1+IF(Rend_j[[Month,Year]:[Month,Year]]='Rend mensuels'!$A5,Rend_j[EM]))-1</calculatedColumnFormula>
    </tableColumn>
    <tableColumn id="6" xr3:uid="{D6360580-68B4-4F22-8680-911A12ED6A7C}" name="Japon" dataDxfId="39" dataCellStyle="Percent">
      <calculatedColumnFormula array="1">PRODUCT(1+IF(Rend_j[[Month,Year]:[Month,Year]]='Rend mensuels'!$A5,Rend_j[Japon]))-1</calculatedColumnFormula>
    </tableColumn>
    <tableColumn id="7" xr3:uid="{AA59745E-A0EE-4F73-AA4B-958E950DE5C8}" name="Monde" dataDxfId="38" dataCellStyle="Percent">
      <calculatedColumnFormula array="1">PRODUCT(1+IF(Rend_j[[Month,Year]:[Month,Year]]='Rend mensuels'!$A5,Rend_j[Monde]))-1</calculatedColumnFormula>
    </tableColumn>
    <tableColumn id="8" xr3:uid="{E7744923-89C1-47E7-892D-A43A5CD4A435}" name="RU" dataDxfId="37" dataCellStyle="Percent">
      <calculatedColumnFormula array="1">PRODUCT(1+IF(Rend_j[[Month,Year]:[Month,Year]]='Rend mensuels'!$A5,Rend_j[RU]))-1</calculatedColumnFormula>
    </tableColumn>
    <tableColumn id="9" xr3:uid="{FEED1748-1A09-4FF6-9270-EC06ED58B9C5}" name="US" dataDxfId="36" dataCellStyle="Percent">
      <calculatedColumnFormula array="1">PRODUCT(1+IF(Rend_j[[Month,Year]:[Month,Year]]='Rend mensuels'!$A5,Rend_j[US]))-1</calculatedColumnFormula>
    </tableColumn>
    <tableColumn id="10" xr3:uid="{0A377924-82B8-491E-BFAB-3DF06957663E}" name="France" dataDxfId="35" dataCellStyle="Percent">
      <calculatedColumnFormula array="1">PRODUCT(1+IF(Rend_j[[Month,Year]:[Month,Year]]='Rend mensuels'!$A5,Rend_j[France]))-1</calculatedColumnFormula>
    </tableColumn>
    <tableColumn id="11" xr3:uid="{2E946A04-8BCE-4612-A133-F4D14D6DA359}" name="Europe" dataDxfId="34" dataCellStyle="Percent">
      <calculatedColumnFormula array="1">PRODUCT(1+IF(Rend_j[[Month,Year]:[Month,Year]]='Rend mensuels'!$A5,Rend_j[Europe]))-1</calculatedColumnFormula>
    </tableColumn>
    <tableColumn id="12" xr3:uid="{771A71E6-F783-4EDD-BE85-8E0A99221F9A}" name="Allemagne" dataDxfId="33" dataCellStyle="Percent">
      <calculatedColumnFormula array="1">PRODUCT(1+IF(Rend_j[[Month,Year]:[Month,Year]]='Rend mensuels'!$A5,Rend_j[Allemagne]))-1</calculatedColumnFormula>
    </tableColumn>
    <tableColumn id="13" xr3:uid="{91724EB4-3B42-42C5-955E-026FEE2D4C10}" name="Month" dataDxfId="32" dataCellStyle="Percent">
      <calculatedColumnFormula>VALUE(LEFT(Rend_m[[#This Row],[Month,Year]],FIND(",",Rend_m[[#This Row],[Month,Year]])-1))</calculatedColumnFormula>
    </tableColumn>
    <tableColumn id="14" xr3:uid="{BD6F375D-18ED-4C2F-9B94-9AB07A916FE4}" name="Year" dataDxfId="31" dataCellStyle="Percent">
      <calculatedColumnFormula>VALUE(RIGHT(Rend_m[[#This Row],[Month,Year]],4))</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C71C4FE-B009-4745-91B9-80ED6BCB0BA2}" name="PrevPeak" displayName="PrevPeak" ref="A4:L154" totalsRowShown="0">
  <autoFilter ref="A4:L154" xr:uid="{7C71C4FE-B009-4745-91B9-80ED6BCB0BA2}"/>
  <tableColumns count="12">
    <tableColumn id="1" xr3:uid="{839EBC27-5B35-4B37-819D-48B1D1B0B265}" name="Date" dataDxfId="30"/>
    <tableColumn id="2" xr3:uid="{BBDB9973-331B-4D8A-87AD-948219210E0A}" name="Chine">
      <calculatedColumnFormula>IF($A4="Date",Indices!B269,IF(Indices!B269&gt;=B4,Indices!B269,B4))</calculatedColumnFormula>
    </tableColumn>
    <tableColumn id="3" xr3:uid="{6727571C-DDDA-4CC1-9484-76513D0B12CB}" name="DM">
      <calculatedColumnFormula>IF($A4="Date",Indices!C269,IF(Indices!C269&gt;=C4,Indices!C269,C4))</calculatedColumnFormula>
    </tableColumn>
    <tableColumn id="4" xr3:uid="{EBAD44B8-441C-405A-95CC-995CE3AE387F}" name="EM ex China">
      <calculatedColumnFormula>IF($A4="Date",Indices!D269,IF(Indices!D269&gt;=D4,Indices!D269,D4))</calculatedColumnFormula>
    </tableColumn>
    <tableColumn id="5" xr3:uid="{A2F20D1C-ABB0-47E7-88F4-BFCF9E6E3EEB}" name="EM">
      <calculatedColumnFormula>IF($A4="Date",Indices!E269,IF(Indices!E269&gt;=E4,Indices!E269,E4))</calculatedColumnFormula>
    </tableColumn>
    <tableColumn id="6" xr3:uid="{6186AA5F-D170-42CA-B4E0-1977E25A66AD}" name="Japon">
      <calculatedColumnFormula>IF($A4="Date",Indices!F269,IF(Indices!F269&gt;=F4,Indices!F269,F4))</calculatedColumnFormula>
    </tableColumn>
    <tableColumn id="7" xr3:uid="{98F4B181-6BF2-4FBB-AE0E-77BB9E44D57E}" name="Monde">
      <calculatedColumnFormula>IF($A4="Date",Indices!G269,IF(Indices!G269&gt;=G4,Indices!G269,G4))</calculatedColumnFormula>
    </tableColumn>
    <tableColumn id="8" xr3:uid="{1DE4D762-97D5-4A86-B672-DEA4BF6E9C57}" name="RU">
      <calculatedColumnFormula>IF($A4="Date",Indices!H269,IF(Indices!H269&gt;=H4,Indices!H269,H4))</calculatedColumnFormula>
    </tableColumn>
    <tableColumn id="9" xr3:uid="{EA7B2136-29B3-4660-A1BC-FC1F3AC01609}" name="US">
      <calculatedColumnFormula>IF($A4="Date",Indices!I269,IF(Indices!I269&gt;=I4,Indices!I269,I4))</calculatedColumnFormula>
    </tableColumn>
    <tableColumn id="10" xr3:uid="{D3D799BA-8B8D-4D10-8AAF-0C5DCA8DF138}" name="France">
      <calculatedColumnFormula>IF($A4="Date",Indices!J269,IF(Indices!J269&gt;=J4,Indices!J269,J4))</calculatedColumnFormula>
    </tableColumn>
    <tableColumn id="11" xr3:uid="{7FF64A5A-969F-4103-89AC-7C8B6E0765C4}" name="Europe">
      <calculatedColumnFormula>IF($A4="Date",Indices!K269,IF(Indices!K269&gt;=K4,Indices!K269,K4))</calculatedColumnFormula>
    </tableColumn>
    <tableColumn id="12" xr3:uid="{39CE6D11-E9E6-4580-8BF5-EC311C829276}" name="Allemagne">
      <calculatedColumnFormula>IF($A4="Date",Indices!L269,IF(Indices!L269&gt;=L4,Indices!L269,L4))</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12D8C6B-715B-4E14-93FF-9944E40EE6ED}" name="DD" displayName="DD" ref="O4:AA154" totalsRowShown="0" headerRowDxfId="29" dataDxfId="28" tableBorderDxfId="27" headerRowCellStyle="Percent" dataCellStyle="Percent">
  <autoFilter ref="O4:AA154" xr:uid="{812D8C6B-715B-4E14-93FF-9944E40EE6ED}"/>
  <tableColumns count="13">
    <tableColumn id="1" xr3:uid="{BDE7AA34-C31C-41DB-BFBE-E4D1AC75927B}" name="Date" dataDxfId="26"/>
    <tableColumn id="2" xr3:uid="{7E36F5F2-A24A-4AA8-A426-69164C1E0944}" name="Chine" dataDxfId="25" dataCellStyle="Percent">
      <calculatedColumnFormula>(PrevPeak[[#This Row],[Chine]]-Indices!B269)/PrevPeak[[#This Row],[Chine]]</calculatedColumnFormula>
    </tableColumn>
    <tableColumn id="3" xr3:uid="{7016EEDF-5CA4-4C22-AC6E-C84CF0737149}" name="DM" dataDxfId="24" dataCellStyle="Percent">
      <calculatedColumnFormula>(PrevPeak[[#This Row],[DM]]-Indices!C269)/PrevPeak[[#This Row],[DM]]</calculatedColumnFormula>
    </tableColumn>
    <tableColumn id="4" xr3:uid="{180555C4-C34D-49BF-860C-2F1615A3213C}" name="EM ex China" dataDxfId="23" dataCellStyle="Percent">
      <calculatedColumnFormula>(PrevPeak[[#This Row],[EM ex China]]-Indices!D269)/PrevPeak[[#This Row],[EM ex China]]</calculatedColumnFormula>
    </tableColumn>
    <tableColumn id="5" xr3:uid="{3C14BD56-46E8-4E9F-9839-670C780DC419}" name="EM" dataDxfId="22" dataCellStyle="Percent">
      <calculatedColumnFormula>(PrevPeak[[#This Row],[EM]]-Indices!E269)/PrevPeak[[#This Row],[EM]]</calculatedColumnFormula>
    </tableColumn>
    <tableColumn id="6" xr3:uid="{FA421DC1-E9EE-4823-B337-223C73F8AEB5}" name="Japon" dataDxfId="21" dataCellStyle="Percent">
      <calculatedColumnFormula>(PrevPeak[[#This Row],[Japon]]-Indices!F269)/PrevPeak[[#This Row],[Japon]]</calculatedColumnFormula>
    </tableColumn>
    <tableColumn id="7" xr3:uid="{B135651E-9777-4910-A5C2-FD0D8D82A747}" name="Monde" dataDxfId="20" dataCellStyle="Percent">
      <calculatedColumnFormula>(PrevPeak[[#This Row],[Monde]]-Indices!G269)/PrevPeak[[#This Row],[Monde]]</calculatedColumnFormula>
    </tableColumn>
    <tableColumn id="8" xr3:uid="{B2E610AD-7152-4B24-8954-BCAEFA4E766C}" name="RU" dataDxfId="19" dataCellStyle="Percent">
      <calculatedColumnFormula>(PrevPeak[[#This Row],[RU]]-Indices!H269)/PrevPeak[[#This Row],[RU]]</calculatedColumnFormula>
    </tableColumn>
    <tableColumn id="9" xr3:uid="{9B5910AC-6678-4779-B70F-9C4E838993A4}" name="US" dataDxfId="18" dataCellStyle="Percent">
      <calculatedColumnFormula>(PrevPeak[[#This Row],[US]]-Indices!I269)/PrevPeak[[#This Row],[US]]</calculatedColumnFormula>
    </tableColumn>
    <tableColumn id="10" xr3:uid="{831ABE97-7986-4755-B66C-087AAC92915F}" name="France" dataDxfId="17" dataCellStyle="Percent">
      <calculatedColumnFormula>(PrevPeak[[#This Row],[France]]-Indices!J269)/PrevPeak[[#This Row],[France]]</calculatedColumnFormula>
    </tableColumn>
    <tableColumn id="11" xr3:uid="{E99B0F66-6927-4F0E-80F7-78B52DBB90B1}" name="Europe" dataDxfId="16" dataCellStyle="Percent">
      <calculatedColumnFormula>(PrevPeak[[#This Row],[Europe]]-Indices!K269)/PrevPeak[[#This Row],[Europe]]</calculatedColumnFormula>
    </tableColumn>
    <tableColumn id="12" xr3:uid="{92523480-8951-43AD-BDF1-4B98768D0B22}" name="Allemagne" dataDxfId="15" dataCellStyle="Percent">
      <calculatedColumnFormula>(PrevPeak[[#This Row],[Allemagne]]-Indices!L269)/PrevPeak[[#This Row],[Allemagne]]</calculatedColumnFormula>
    </tableColumn>
    <tableColumn id="13" xr3:uid="{0CE8299A-CB28-42F1-9327-FDCF0E7E9F05}" name="Year" dataDxfId="14" dataCellStyle="Percent">
      <calculatedColumnFormula>YEAR(DD[[#This Row],[Date]])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DD1E5F-5877-4BC9-83F2-C332177F59F2}" name="Roll_corr" displayName="Roll_corr" ref="A4:H123" totalsRowShown="0" headerRowDxfId="10" dataDxfId="11" tableBorderDxfId="13">
  <autoFilter ref="A4:H123" xr:uid="{D2DD1E5F-5877-4BC9-83F2-C332177F59F2}"/>
  <tableColumns count="8">
    <tableColumn id="1" xr3:uid="{A8F2A7A4-74B5-40F1-A2B0-5E26B702BE62}" name="Date-2022" dataDxfId="12"/>
    <tableColumn id="2" xr3:uid="{A4E5E08D-64DB-44E6-A9EC-49213447B7F0}" name="Corr-2022" dataDxfId="9">
      <calculatedColumnFormula>CORREL(OFFSET(INDEX(Rend_j[Date],MATCH(A5,Rend_j[Date],0)),-30,2,30,1),OFFSET(INDEX(Rend_j[Date],MATCH(A5,Rend_j[Date],0)),-30,4,30,1))</calculatedColumnFormula>
    </tableColumn>
    <tableColumn id="3" xr3:uid="{7EC8F162-C163-4665-B449-7FFC98CE320E}" name="Date-2021" dataDxfId="8">
      <calculatedColumnFormula>DATE(2021,MONTH(A5),DAY(A5)+1)</calculatedColumnFormula>
    </tableColumn>
    <tableColumn id="4" xr3:uid="{E657C1FC-F7C6-42C8-93D7-48A476843072}" name="Corr-2021" dataDxfId="7">
      <calculatedColumnFormula>_xlfn.IFNA(CORREL(OFFSET(INDEX(Rend_j[Date],MATCH(C5,Rend_j[Date],0)),-30,2,30,1),OFFSET(INDEX(Rend_j[Date],MATCH(C5,Rend_j[Date],0)),-30,4,30,1)),D6)</calculatedColumnFormula>
    </tableColumn>
    <tableColumn id="5" xr3:uid="{4282B973-8F7B-4EA1-93BF-6FF8410413EC}" name="Date chart" dataDxfId="6">
      <calculatedColumnFormula>IF($M$4=2022,A5,C5)</calculatedColumnFormula>
    </tableColumn>
    <tableColumn id="6" xr3:uid="{FCD06B83-D1CE-4F18-9920-389E107B983E}" name="Corr chart" dataDxfId="5">
      <calculatedColumnFormula>IF($M$4=2022,B5,D5)</calculatedColumnFormula>
    </tableColumn>
    <tableColumn id="7" xr3:uid="{3AF1326F-F661-494F-B232-0FE9167FF6CD}" name="Line 0" dataDxfId="4">
      <calculatedColumnFormula>0</calculatedColumnFormula>
    </tableColumn>
    <tableColumn id="8" xr3:uid="{50A20860-F615-4AE4-B942-B5FE4F6AF53E}" name="Shade ukraine crisis" dataDxfId="0">
      <calculatedColumnFormula>IF(AND(E5&gt;=DATE(2022,2,21),E5&lt;=DATE(2022,2,25)),0.8,"")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3.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omments" Target="../comments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4.xml"/><Relationship Id="rId11" Type="http://schemas.microsoft.com/office/2007/relationships/slicer" Target="../slicers/slicer2.xml"/><Relationship Id="rId5" Type="http://schemas.openxmlformats.org/officeDocument/2006/relationships/image" Target="../media/image1.emf"/><Relationship Id="rId10" Type="http://schemas.openxmlformats.org/officeDocument/2006/relationships/ctrlProp" Target="../ctrlProps/ctrlProp8.xml"/><Relationship Id="rId4" Type="http://schemas.openxmlformats.org/officeDocument/2006/relationships/control" Target="../activeX/activeX1.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A2CDF4"/>
  </sheetPr>
  <dimension ref="A1:M418"/>
  <sheetViews>
    <sheetView tabSelected="1" workbookViewId="0">
      <selection activeCell="N13" sqref="N13"/>
    </sheetView>
  </sheetViews>
  <sheetFormatPr defaultRowHeight="15" x14ac:dyDescent="0.25"/>
  <cols>
    <col min="1" max="1" width="10.7109375" bestFit="1" customWidth="1"/>
    <col min="2" max="2" width="9" bestFit="1" customWidth="1"/>
    <col min="3" max="3" width="8" bestFit="1" customWidth="1"/>
    <col min="4" max="4" width="14.140625" bestFit="1" customWidth="1"/>
    <col min="5" max="5" width="8" bestFit="1" customWidth="1"/>
    <col min="6" max="6" width="8.42578125" bestFit="1" customWidth="1"/>
    <col min="7" max="7" width="9.7109375" bestFit="1" customWidth="1"/>
    <col min="8" max="8" width="8" bestFit="1" customWidth="1"/>
    <col min="9" max="9" width="12" bestFit="1" customWidth="1"/>
    <col min="10" max="10" width="12.5703125" customWidth="1"/>
    <col min="11" max="11" width="14.140625" customWidth="1"/>
    <col min="12" max="12" width="14.5703125" customWidth="1"/>
    <col min="13" max="13" width="12.85546875" customWidth="1"/>
  </cols>
  <sheetData>
    <row r="1" spans="1:13" ht="23.25" x14ac:dyDescent="0.35">
      <c r="A1" s="2" t="str">
        <f>"Base de données - Sources : MSCI , Yahoo Finance - Période : 01 January 2021 - "&amp;TEXT(MAX(prices[Date]),"dd mmmm yyyy")</f>
        <v>Base de données - Sources : MSCI , Yahoo Finance - Période : 01 January 2021 - 29 July 2022</v>
      </c>
      <c r="B1" s="2"/>
      <c r="C1" s="2"/>
      <c r="D1" s="2"/>
      <c r="E1" s="2"/>
      <c r="F1" s="2"/>
      <c r="G1" s="2"/>
      <c r="I1" s="2"/>
      <c r="J1" s="2"/>
      <c r="K1" s="2"/>
      <c r="L1" s="2"/>
      <c r="M1" s="2"/>
    </row>
    <row r="2" spans="1:13" x14ac:dyDescent="0.25">
      <c r="A2" s="3" t="s">
        <v>20</v>
      </c>
      <c r="B2" s="3"/>
    </row>
    <row r="3" spans="1:13" ht="60.75" thickBot="1" x14ac:dyDescent="0.3">
      <c r="A3" s="4" t="s">
        <v>11</v>
      </c>
      <c r="B3" s="69" t="s">
        <v>13</v>
      </c>
      <c r="C3" s="69" t="s">
        <v>12</v>
      </c>
      <c r="D3" s="69" t="s">
        <v>21</v>
      </c>
      <c r="E3" s="69" t="s">
        <v>22</v>
      </c>
      <c r="F3" s="69" t="s">
        <v>14</v>
      </c>
      <c r="G3" s="69" t="s">
        <v>16</v>
      </c>
      <c r="H3" s="69" t="s">
        <v>17</v>
      </c>
      <c r="I3" s="69" t="s">
        <v>18</v>
      </c>
      <c r="J3" s="69" t="s">
        <v>159</v>
      </c>
      <c r="K3" s="69" t="s">
        <v>160</v>
      </c>
      <c r="L3" s="69" t="s">
        <v>161</v>
      </c>
    </row>
    <row r="4" spans="1:13" x14ac:dyDescent="0.25">
      <c r="A4" s="5" t="s">
        <v>19</v>
      </c>
    </row>
    <row r="5" spans="1:13" x14ac:dyDescent="0.25">
      <c r="A5" s="1"/>
    </row>
    <row r="6" spans="1:13" x14ac:dyDescent="0.25">
      <c r="A6" s="1"/>
    </row>
    <row r="7" spans="1:13" x14ac:dyDescent="0.25">
      <c r="A7" s="1" t="s">
        <v>0</v>
      </c>
      <c r="B7" t="s">
        <v>15</v>
      </c>
      <c r="C7" t="s">
        <v>1</v>
      </c>
      <c r="D7" t="s">
        <v>2</v>
      </c>
      <c r="E7" t="s">
        <v>3</v>
      </c>
      <c r="F7" t="s">
        <v>4</v>
      </c>
      <c r="G7" t="s">
        <v>5</v>
      </c>
      <c r="H7" t="s">
        <v>6</v>
      </c>
      <c r="I7" t="s">
        <v>7</v>
      </c>
      <c r="J7" t="s">
        <v>8</v>
      </c>
      <c r="K7" t="s">
        <v>9</v>
      </c>
      <c r="L7" t="s">
        <v>10</v>
      </c>
    </row>
    <row r="8" spans="1:13" x14ac:dyDescent="0.25">
      <c r="A8" s="1">
        <v>44197</v>
      </c>
      <c r="B8">
        <v>3090.8670000000002</v>
      </c>
      <c r="C8">
        <v>224.501</v>
      </c>
      <c r="D8">
        <v>3692.31</v>
      </c>
      <c r="E8">
        <v>414.65499999999997</v>
      </c>
      <c r="F8">
        <v>166.33699999999999</v>
      </c>
      <c r="G8">
        <v>226.95099999999999</v>
      </c>
      <c r="H8">
        <v>81.891999999999996</v>
      </c>
      <c r="I8">
        <v>4277.7183779999996</v>
      </c>
      <c r="J8">
        <v>5551.41</v>
      </c>
      <c r="K8">
        <v>400.25</v>
      </c>
      <c r="L8">
        <v>13718.78</v>
      </c>
    </row>
    <row r="9" spans="1:13" x14ac:dyDescent="0.25">
      <c r="A9" s="1">
        <v>44200</v>
      </c>
      <c r="B9">
        <v>3117.7579999999998</v>
      </c>
      <c r="C9">
        <v>222.16900000000001</v>
      </c>
      <c r="D9">
        <v>3734.26</v>
      </c>
      <c r="E9">
        <v>417.47800000000001</v>
      </c>
      <c r="F9">
        <v>165.249</v>
      </c>
      <c r="G9">
        <v>225.113</v>
      </c>
      <c r="H9">
        <v>82.486999999999995</v>
      </c>
      <c r="I9">
        <v>4215.0395570000001</v>
      </c>
      <c r="J9">
        <v>5588.9599609999996</v>
      </c>
      <c r="K9">
        <v>401.69000199999999</v>
      </c>
      <c r="L9">
        <v>13726.740229999999</v>
      </c>
    </row>
    <row r="10" spans="1:13" x14ac:dyDescent="0.25">
      <c r="A10" s="1">
        <v>44201</v>
      </c>
      <c r="B10">
        <v>3181.57</v>
      </c>
      <c r="C10">
        <v>223.26400000000001</v>
      </c>
      <c r="D10">
        <v>3751.9290000000001</v>
      </c>
      <c r="E10">
        <v>422.298</v>
      </c>
      <c r="F10">
        <v>165.41900000000001</v>
      </c>
      <c r="G10">
        <v>226.423</v>
      </c>
      <c r="H10">
        <v>83.111999999999995</v>
      </c>
      <c r="I10">
        <v>4250.2758270000004</v>
      </c>
      <c r="J10">
        <v>5564.6000979999999</v>
      </c>
      <c r="K10">
        <v>400.94000199999999</v>
      </c>
      <c r="L10">
        <v>13651.219730000001</v>
      </c>
    </row>
    <row r="11" spans="1:13" x14ac:dyDescent="0.25">
      <c r="A11" s="1">
        <v>44202</v>
      </c>
      <c r="B11">
        <v>3177.395</v>
      </c>
      <c r="C11">
        <v>224.45699999999999</v>
      </c>
      <c r="D11">
        <v>3744.2849999999999</v>
      </c>
      <c r="E11">
        <v>420.65800000000002</v>
      </c>
      <c r="F11">
        <v>164.614</v>
      </c>
      <c r="G11">
        <v>227.35</v>
      </c>
      <c r="H11">
        <v>85.691000000000003</v>
      </c>
      <c r="I11">
        <v>4285.6558080000004</v>
      </c>
      <c r="J11">
        <v>5630.6000979999999</v>
      </c>
      <c r="K11">
        <v>406.41000400000001</v>
      </c>
      <c r="L11">
        <v>13891.969730000001</v>
      </c>
    </row>
    <row r="12" spans="1:13" x14ac:dyDescent="0.25">
      <c r="A12" s="1">
        <v>44203</v>
      </c>
      <c r="B12">
        <v>3194.25</v>
      </c>
      <c r="C12">
        <v>227.739</v>
      </c>
      <c r="D12">
        <v>3791.0149999999999</v>
      </c>
      <c r="E12">
        <v>423.62900000000002</v>
      </c>
      <c r="F12">
        <v>166.88200000000001</v>
      </c>
      <c r="G12">
        <v>230.44300000000001</v>
      </c>
      <c r="H12">
        <v>85.93</v>
      </c>
      <c r="I12">
        <v>4354.5762839999998</v>
      </c>
      <c r="J12">
        <v>5669.8500979999999</v>
      </c>
      <c r="K12">
        <v>408.48998999999998</v>
      </c>
      <c r="L12">
        <v>13968.240229999999</v>
      </c>
    </row>
    <row r="13" spans="1:13" x14ac:dyDescent="0.25">
      <c r="A13" s="1">
        <v>44204</v>
      </c>
      <c r="B13">
        <v>3234.7049999999999</v>
      </c>
      <c r="C13">
        <v>229.39699999999999</v>
      </c>
      <c r="D13">
        <v>3884.5810000000001</v>
      </c>
      <c r="E13">
        <v>433.75900000000001</v>
      </c>
      <c r="F13">
        <v>169.946</v>
      </c>
      <c r="G13">
        <v>232.63300000000001</v>
      </c>
      <c r="H13">
        <v>86.481999999999999</v>
      </c>
      <c r="I13">
        <v>4375.2696850000002</v>
      </c>
      <c r="J13">
        <v>5706.8798829999996</v>
      </c>
      <c r="K13">
        <v>411.17001299999998</v>
      </c>
      <c r="L13">
        <v>14049.530269999999</v>
      </c>
    </row>
    <row r="14" spans="1:13" x14ac:dyDescent="0.25">
      <c r="A14" s="1">
        <v>44207</v>
      </c>
      <c r="B14">
        <v>3235.172</v>
      </c>
      <c r="C14">
        <v>229.434</v>
      </c>
      <c r="D14">
        <v>3916.6570000000002</v>
      </c>
      <c r="E14">
        <v>436.25299999999999</v>
      </c>
      <c r="F14">
        <v>170.6</v>
      </c>
      <c r="G14">
        <v>232.846</v>
      </c>
      <c r="H14">
        <v>85.638000000000005</v>
      </c>
      <c r="I14">
        <v>4351.5501860000004</v>
      </c>
      <c r="J14">
        <v>5662.4301759999998</v>
      </c>
      <c r="K14">
        <v>408.41000400000001</v>
      </c>
      <c r="L14">
        <v>13936.660159999999</v>
      </c>
    </row>
    <row r="15" spans="1:13" x14ac:dyDescent="0.25">
      <c r="A15" s="1">
        <v>44208</v>
      </c>
      <c r="B15">
        <v>3277.8809999999999</v>
      </c>
      <c r="C15">
        <v>229.648</v>
      </c>
      <c r="D15">
        <v>3914.3359999999998</v>
      </c>
      <c r="E15">
        <v>437.25099999999998</v>
      </c>
      <c r="F15">
        <v>171.00800000000001</v>
      </c>
      <c r="G15">
        <v>233.10599999999999</v>
      </c>
      <c r="H15">
        <v>85.858000000000004</v>
      </c>
      <c r="I15">
        <v>4364.4176010000001</v>
      </c>
      <c r="J15">
        <v>5650.9702150000003</v>
      </c>
      <c r="K15">
        <v>408.60998499999999</v>
      </c>
      <c r="L15">
        <v>13925.059569999999</v>
      </c>
    </row>
    <row r="16" spans="1:13" x14ac:dyDescent="0.25">
      <c r="A16" s="1">
        <v>44209</v>
      </c>
      <c r="B16">
        <v>3284.194</v>
      </c>
      <c r="C16">
        <v>230.07</v>
      </c>
      <c r="D16">
        <v>3948.953</v>
      </c>
      <c r="E16">
        <v>440.57</v>
      </c>
      <c r="F16">
        <v>171.98599999999999</v>
      </c>
      <c r="G16">
        <v>233.71600000000001</v>
      </c>
      <c r="H16">
        <v>85.869</v>
      </c>
      <c r="I16">
        <v>4368.4412119999997</v>
      </c>
      <c r="J16">
        <v>5662.669922</v>
      </c>
      <c r="K16">
        <v>409.07000699999998</v>
      </c>
      <c r="L16">
        <v>13939.70996</v>
      </c>
    </row>
    <row r="17" spans="1:12" x14ac:dyDescent="0.25">
      <c r="A17" s="1">
        <v>44210</v>
      </c>
      <c r="B17">
        <v>3297.6880000000001</v>
      </c>
      <c r="C17">
        <v>230.40299999999999</v>
      </c>
      <c r="D17">
        <v>3958.7629999999999</v>
      </c>
      <c r="E17">
        <v>443.65899999999999</v>
      </c>
      <c r="F17">
        <v>173.48699999999999</v>
      </c>
      <c r="G17">
        <v>234.232</v>
      </c>
      <c r="H17">
        <v>87.114000000000004</v>
      </c>
      <c r="I17">
        <v>4362.6130249999997</v>
      </c>
      <c r="J17">
        <v>5681.1401370000003</v>
      </c>
      <c r="K17">
        <v>412</v>
      </c>
      <c r="L17">
        <v>13988.700199999999</v>
      </c>
    </row>
    <row r="18" spans="1:12" x14ac:dyDescent="0.25">
      <c r="A18" s="1">
        <v>44211</v>
      </c>
      <c r="B18">
        <v>3299.623</v>
      </c>
      <c r="C18">
        <v>229.24799999999999</v>
      </c>
      <c r="D18">
        <v>3918.8980000000001</v>
      </c>
      <c r="E18">
        <v>441.08499999999998</v>
      </c>
      <c r="F18">
        <v>172.56100000000001</v>
      </c>
      <c r="G18">
        <v>233.03200000000001</v>
      </c>
      <c r="H18">
        <v>85.957999999999998</v>
      </c>
      <c r="I18">
        <v>4328.0186110000004</v>
      </c>
      <c r="J18">
        <v>5611.6899409999996</v>
      </c>
      <c r="K18">
        <v>407.85000600000001</v>
      </c>
      <c r="L18">
        <v>13787.73047</v>
      </c>
    </row>
    <row r="19" spans="1:12" x14ac:dyDescent="0.25">
      <c r="A19" s="1">
        <v>44214</v>
      </c>
      <c r="B19">
        <v>3338.326</v>
      </c>
      <c r="C19">
        <v>229.46799999999999</v>
      </c>
      <c r="D19">
        <v>3901.011</v>
      </c>
      <c r="E19">
        <v>442.03300000000002</v>
      </c>
      <c r="F19">
        <v>172.02600000000001</v>
      </c>
      <c r="G19">
        <v>233.29400000000001</v>
      </c>
      <c r="H19">
        <v>85.870999999999995</v>
      </c>
      <c r="I19">
        <v>4328.0186110000004</v>
      </c>
      <c r="J19">
        <v>5617.2700199999999</v>
      </c>
      <c r="K19">
        <v>408.67999300000002</v>
      </c>
      <c r="L19">
        <v>13848.349609999999</v>
      </c>
    </row>
    <row r="20" spans="1:12" x14ac:dyDescent="0.25">
      <c r="A20" s="1">
        <v>44215</v>
      </c>
      <c r="B20">
        <v>3357.759</v>
      </c>
      <c r="C20">
        <v>230.07400000000001</v>
      </c>
      <c r="D20">
        <v>3932.2860000000001</v>
      </c>
      <c r="E20">
        <v>447.351</v>
      </c>
      <c r="F20">
        <v>172.18799999999999</v>
      </c>
      <c r="G20">
        <v>234.21100000000001</v>
      </c>
      <c r="H20">
        <v>85.67</v>
      </c>
      <c r="I20">
        <v>4365.0169930000002</v>
      </c>
      <c r="J20">
        <v>5598.6098629999997</v>
      </c>
      <c r="K20">
        <v>407.92001299999998</v>
      </c>
      <c r="L20">
        <v>13815.059569999999</v>
      </c>
    </row>
    <row r="21" spans="1:12" x14ac:dyDescent="0.25">
      <c r="A21" s="1">
        <v>44216</v>
      </c>
      <c r="B21">
        <v>3440.82</v>
      </c>
      <c r="C21">
        <v>232.94800000000001</v>
      </c>
      <c r="D21">
        <v>3962.9810000000002</v>
      </c>
      <c r="E21">
        <v>454.56200000000001</v>
      </c>
      <c r="F21">
        <v>172.29</v>
      </c>
      <c r="G21">
        <v>237.25399999999999</v>
      </c>
      <c r="H21">
        <v>86.236000000000004</v>
      </c>
      <c r="I21">
        <v>4421.9395350000004</v>
      </c>
      <c r="J21">
        <v>5628.4399409999996</v>
      </c>
      <c r="K21">
        <v>410.83999599999999</v>
      </c>
      <c r="L21">
        <v>13921.37012</v>
      </c>
    </row>
    <row r="22" spans="1:12" x14ac:dyDescent="0.25">
      <c r="A22" s="1">
        <v>44217</v>
      </c>
      <c r="B22">
        <v>3444.0349999999999</v>
      </c>
      <c r="C22">
        <v>232.41900000000001</v>
      </c>
      <c r="D22">
        <v>3974.317</v>
      </c>
      <c r="E22">
        <v>454.50700000000001</v>
      </c>
      <c r="F22">
        <v>172.71199999999999</v>
      </c>
      <c r="G22">
        <v>236.786</v>
      </c>
      <c r="H22">
        <v>86.131</v>
      </c>
      <c r="I22">
        <v>4418.53305</v>
      </c>
      <c r="J22">
        <v>5590.7900390000004</v>
      </c>
      <c r="K22">
        <v>410.89001500000001</v>
      </c>
      <c r="L22">
        <v>13906.66992</v>
      </c>
    </row>
    <row r="23" spans="1:12" x14ac:dyDescent="0.25">
      <c r="A23" s="1">
        <v>44218</v>
      </c>
      <c r="B23">
        <v>3435.4810000000002</v>
      </c>
      <c r="C23">
        <v>231.16800000000001</v>
      </c>
      <c r="D23">
        <v>3909.7849999999999</v>
      </c>
      <c r="E23">
        <v>449.423</v>
      </c>
      <c r="F23">
        <v>171.749</v>
      </c>
      <c r="G23">
        <v>235.32</v>
      </c>
      <c r="H23">
        <v>85.381</v>
      </c>
      <c r="I23">
        <v>4411.7111489999998</v>
      </c>
      <c r="J23">
        <v>5559.5698240000002</v>
      </c>
      <c r="K23">
        <v>408.540009</v>
      </c>
      <c r="L23">
        <v>13873.969730000001</v>
      </c>
    </row>
    <row r="24" spans="1:12" x14ac:dyDescent="0.25">
      <c r="A24" s="1">
        <v>44221</v>
      </c>
      <c r="B24">
        <v>3525.942</v>
      </c>
      <c r="C24">
        <v>232.07900000000001</v>
      </c>
      <c r="D24">
        <v>3929.1880000000001</v>
      </c>
      <c r="E24">
        <v>456.61399999999998</v>
      </c>
      <c r="F24">
        <v>172.84</v>
      </c>
      <c r="G24">
        <v>236.64</v>
      </c>
      <c r="H24">
        <v>85.01</v>
      </c>
      <c r="I24">
        <v>4423.0291610000004</v>
      </c>
      <c r="J24">
        <v>5472.3598629999997</v>
      </c>
      <c r="K24">
        <v>405.13000499999998</v>
      </c>
      <c r="L24">
        <v>13643.950199999999</v>
      </c>
    </row>
    <row r="25" spans="1:12" x14ac:dyDescent="0.25">
      <c r="A25" s="1">
        <v>44222</v>
      </c>
      <c r="B25">
        <v>3441.9189999999999</v>
      </c>
      <c r="C25">
        <v>231.15199999999999</v>
      </c>
      <c r="D25">
        <v>3874.2939999999999</v>
      </c>
      <c r="E25">
        <v>448.32299999999998</v>
      </c>
      <c r="F25">
        <v>171.17699999999999</v>
      </c>
      <c r="G25">
        <v>235.227</v>
      </c>
      <c r="H25">
        <v>85.412000000000006</v>
      </c>
      <c r="I25">
        <v>4408.5216799999998</v>
      </c>
      <c r="J25">
        <v>5523.5200199999999</v>
      </c>
      <c r="K25">
        <v>407.70001200000002</v>
      </c>
      <c r="L25">
        <v>13870.990229999999</v>
      </c>
    </row>
    <row r="26" spans="1:12" x14ac:dyDescent="0.25">
      <c r="A26" s="1">
        <v>44223</v>
      </c>
      <c r="B26">
        <v>3425.9920000000002</v>
      </c>
      <c r="C26">
        <v>227.554</v>
      </c>
      <c r="D26">
        <v>3863.5770000000002</v>
      </c>
      <c r="E26">
        <v>445.488</v>
      </c>
      <c r="F26">
        <v>172.62899999999999</v>
      </c>
      <c r="G26">
        <v>231.86500000000001</v>
      </c>
      <c r="H26">
        <v>84.66</v>
      </c>
      <c r="I26">
        <v>4294.8198910000001</v>
      </c>
      <c r="J26">
        <v>5459.6201170000004</v>
      </c>
      <c r="K26">
        <v>402.98001099999999</v>
      </c>
      <c r="L26">
        <v>13620.45996</v>
      </c>
    </row>
    <row r="27" spans="1:12" x14ac:dyDescent="0.25">
      <c r="A27" s="1">
        <v>44224</v>
      </c>
      <c r="B27">
        <v>3341.94</v>
      </c>
      <c r="C27">
        <v>228.32599999999999</v>
      </c>
      <c r="D27">
        <v>3804.8690000000001</v>
      </c>
      <c r="E27">
        <v>437.58300000000003</v>
      </c>
      <c r="F27">
        <v>169.55099999999999</v>
      </c>
      <c r="G27">
        <v>231.971</v>
      </c>
      <c r="H27">
        <v>83.933000000000007</v>
      </c>
      <c r="I27">
        <v>4337.8269650000002</v>
      </c>
      <c r="J27">
        <v>5510.5200199999999</v>
      </c>
      <c r="K27">
        <v>403.39001500000001</v>
      </c>
      <c r="L27">
        <v>13665.929690000001</v>
      </c>
    </row>
    <row r="28" spans="1:12" x14ac:dyDescent="0.25">
      <c r="A28" s="1">
        <v>44225</v>
      </c>
      <c r="B28">
        <v>3308.23</v>
      </c>
      <c r="C28">
        <v>223.71700000000001</v>
      </c>
      <c r="D28">
        <v>3723.9450000000002</v>
      </c>
      <c r="E28">
        <v>429.83199999999999</v>
      </c>
      <c r="F28">
        <v>165.83600000000001</v>
      </c>
      <c r="G28">
        <v>227.36600000000001</v>
      </c>
      <c r="H28">
        <v>82.248999999999995</v>
      </c>
      <c r="I28">
        <v>4257.0818989999998</v>
      </c>
      <c r="J28">
        <v>5399.2099609999996</v>
      </c>
      <c r="K28">
        <v>395.85000600000001</v>
      </c>
      <c r="L28">
        <v>13432.87012</v>
      </c>
    </row>
    <row r="29" spans="1:12" x14ac:dyDescent="0.25">
      <c r="A29" s="1">
        <v>44228</v>
      </c>
      <c r="B29">
        <v>3405.5050000000001</v>
      </c>
      <c r="C29">
        <v>228.006</v>
      </c>
      <c r="D29">
        <v>3817.4380000000001</v>
      </c>
      <c r="E29">
        <v>442.44499999999999</v>
      </c>
      <c r="F29">
        <v>168.32300000000001</v>
      </c>
      <c r="G29">
        <v>232.042</v>
      </c>
      <c r="H29">
        <v>82.983000000000004</v>
      </c>
      <c r="I29">
        <v>4330.4615119999999</v>
      </c>
      <c r="J29">
        <v>5461.6801759999998</v>
      </c>
      <c r="K29">
        <v>400.76998900000001</v>
      </c>
      <c r="L29">
        <v>13622.01953</v>
      </c>
    </row>
    <row r="30" spans="1:12" x14ac:dyDescent="0.25">
      <c r="A30" s="1">
        <v>44229</v>
      </c>
      <c r="B30">
        <v>3464.44</v>
      </c>
      <c r="C30">
        <v>231.922</v>
      </c>
      <c r="D30">
        <v>3901.3589999999999</v>
      </c>
      <c r="E30">
        <v>450.99400000000003</v>
      </c>
      <c r="F30">
        <v>170.22499999999999</v>
      </c>
      <c r="G30">
        <v>236.096</v>
      </c>
      <c r="H30">
        <v>83.748000000000005</v>
      </c>
      <c r="I30">
        <v>4393.404888</v>
      </c>
      <c r="J30">
        <v>5563.1098629999997</v>
      </c>
      <c r="K30">
        <v>405.92001299999998</v>
      </c>
      <c r="L30">
        <v>13835.160159999999</v>
      </c>
    </row>
    <row r="31" spans="1:12" x14ac:dyDescent="0.25">
      <c r="A31" s="1">
        <v>44230</v>
      </c>
      <c r="B31">
        <v>3500.1460000000002</v>
      </c>
      <c r="C31">
        <v>232.74</v>
      </c>
      <c r="D31">
        <v>3925.5149999999999</v>
      </c>
      <c r="E31">
        <v>455.339</v>
      </c>
      <c r="F31">
        <v>172.767</v>
      </c>
      <c r="G31">
        <v>237.12700000000001</v>
      </c>
      <c r="H31">
        <v>83.831000000000003</v>
      </c>
      <c r="I31">
        <v>4398.0047800000002</v>
      </c>
      <c r="J31">
        <v>5563.0498049999997</v>
      </c>
      <c r="K31">
        <v>407.26998900000001</v>
      </c>
      <c r="L31">
        <v>13933.62988</v>
      </c>
    </row>
    <row r="32" spans="1:12" x14ac:dyDescent="0.25">
      <c r="A32" s="1">
        <v>44231</v>
      </c>
      <c r="B32">
        <v>3498.9380000000001</v>
      </c>
      <c r="C32">
        <v>235.08199999999999</v>
      </c>
      <c r="D32">
        <v>3919.8879999999999</v>
      </c>
      <c r="E32">
        <v>454.98399999999998</v>
      </c>
      <c r="F32">
        <v>172.01599999999999</v>
      </c>
      <c r="G32">
        <v>239.15700000000001</v>
      </c>
      <c r="H32">
        <v>84.075999999999993</v>
      </c>
      <c r="I32">
        <v>4450.6319059999996</v>
      </c>
      <c r="J32">
        <v>5608.5400390000004</v>
      </c>
      <c r="K32">
        <v>409.540009</v>
      </c>
      <c r="L32">
        <v>14060.29004</v>
      </c>
    </row>
    <row r="33" spans="1:12" x14ac:dyDescent="0.25">
      <c r="A33" s="1">
        <v>44232</v>
      </c>
      <c r="B33">
        <v>3485.61</v>
      </c>
      <c r="C33">
        <v>235.50399999999999</v>
      </c>
      <c r="D33">
        <v>3935.134</v>
      </c>
      <c r="E33">
        <v>455.73200000000003</v>
      </c>
      <c r="F33">
        <v>173.71299999999999</v>
      </c>
      <c r="G33">
        <v>239.58099999999999</v>
      </c>
      <c r="H33">
        <v>83.944000000000003</v>
      </c>
      <c r="I33">
        <v>4475.0990019999999</v>
      </c>
      <c r="J33">
        <v>5659.2597660000001</v>
      </c>
      <c r="K33">
        <v>409.540009</v>
      </c>
      <c r="L33">
        <v>14056.719730000001</v>
      </c>
    </row>
    <row r="34" spans="1:12" x14ac:dyDescent="0.25">
      <c r="A34" s="1">
        <v>44235</v>
      </c>
      <c r="B34">
        <v>3512.0790000000002</v>
      </c>
      <c r="C34">
        <v>236.976</v>
      </c>
      <c r="D34">
        <v>3938.33</v>
      </c>
      <c r="E34">
        <v>456.35500000000002</v>
      </c>
      <c r="F34">
        <v>176.86799999999999</v>
      </c>
      <c r="G34">
        <v>240.91800000000001</v>
      </c>
      <c r="H34">
        <v>84.353999999999999</v>
      </c>
      <c r="I34">
        <v>4515.922912</v>
      </c>
      <c r="J34">
        <v>5686.0297849999997</v>
      </c>
      <c r="K34">
        <v>410.77999899999998</v>
      </c>
      <c r="L34">
        <v>14059.910159999999</v>
      </c>
    </row>
    <row r="35" spans="1:12" x14ac:dyDescent="0.25">
      <c r="A35" s="1">
        <v>44236</v>
      </c>
      <c r="B35">
        <v>3559.18</v>
      </c>
      <c r="C35">
        <v>236.221</v>
      </c>
      <c r="D35">
        <v>3925.14</v>
      </c>
      <c r="E35">
        <v>457.495</v>
      </c>
      <c r="F35">
        <v>177.37799999999999</v>
      </c>
      <c r="G35">
        <v>240.33799999999999</v>
      </c>
      <c r="H35">
        <v>84.454999999999998</v>
      </c>
      <c r="I35">
        <v>4514.7692189999998</v>
      </c>
      <c r="J35">
        <v>5691.5400390000004</v>
      </c>
      <c r="K35">
        <v>410.42001299999998</v>
      </c>
      <c r="L35">
        <v>14011.79981</v>
      </c>
    </row>
    <row r="36" spans="1:12" x14ac:dyDescent="0.25">
      <c r="A36" s="1">
        <v>44237</v>
      </c>
      <c r="B36">
        <v>3616.576</v>
      </c>
      <c r="C36">
        <v>235.75800000000001</v>
      </c>
      <c r="D36">
        <v>3931.7080000000001</v>
      </c>
      <c r="E36">
        <v>460.72199999999998</v>
      </c>
      <c r="F36">
        <v>177.42</v>
      </c>
      <c r="G36">
        <v>240.16499999999999</v>
      </c>
      <c r="H36">
        <v>84.450999999999993</v>
      </c>
      <c r="I36">
        <v>4513.0043489999998</v>
      </c>
      <c r="J36">
        <v>5670.7998049999997</v>
      </c>
      <c r="K36">
        <v>409.47000100000002</v>
      </c>
      <c r="L36">
        <v>13932.969730000001</v>
      </c>
    </row>
    <row r="37" spans="1:12" x14ac:dyDescent="0.25">
      <c r="A37" s="1">
        <v>44238</v>
      </c>
      <c r="B37">
        <v>3628.7620000000002</v>
      </c>
      <c r="C37">
        <v>236.274</v>
      </c>
      <c r="D37">
        <v>3939.5590000000002</v>
      </c>
      <c r="E37">
        <v>462.26400000000001</v>
      </c>
      <c r="F37">
        <v>177.29599999999999</v>
      </c>
      <c r="G37">
        <v>240.72900000000001</v>
      </c>
      <c r="H37">
        <v>84.271000000000001</v>
      </c>
      <c r="I37">
        <v>4523.4935770000002</v>
      </c>
      <c r="J37">
        <v>5669.8198240000002</v>
      </c>
      <c r="K37">
        <v>411.35000600000001</v>
      </c>
      <c r="L37">
        <v>14040.910159999999</v>
      </c>
    </row>
    <row r="38" spans="1:12" x14ac:dyDescent="0.25">
      <c r="A38" s="1">
        <v>44239</v>
      </c>
      <c r="B38">
        <v>3632.8739999999998</v>
      </c>
      <c r="C38">
        <v>237.52199999999999</v>
      </c>
      <c r="D38">
        <v>3948.732</v>
      </c>
      <c r="E38">
        <v>463.09800000000001</v>
      </c>
      <c r="F38">
        <v>177.43899999999999</v>
      </c>
      <c r="G38">
        <v>241.88399999999999</v>
      </c>
      <c r="H38">
        <v>85.349000000000004</v>
      </c>
      <c r="I38">
        <v>4544.8739310000001</v>
      </c>
      <c r="J38">
        <v>5703.669922</v>
      </c>
      <c r="K38">
        <v>414</v>
      </c>
      <c r="L38">
        <v>14049.889649999999</v>
      </c>
    </row>
    <row r="39" spans="1:12" x14ac:dyDescent="0.25">
      <c r="A39" s="1">
        <v>44242</v>
      </c>
      <c r="B39">
        <v>3628.848</v>
      </c>
      <c r="C39">
        <v>238.16900000000001</v>
      </c>
      <c r="D39">
        <v>3984.9079999999999</v>
      </c>
      <c r="E39">
        <v>465.44799999999998</v>
      </c>
      <c r="F39">
        <v>178.678</v>
      </c>
      <c r="G39">
        <v>242.62200000000001</v>
      </c>
      <c r="H39">
        <v>87.835999999999999</v>
      </c>
      <c r="I39">
        <v>4544.8739310000001</v>
      </c>
      <c r="J39">
        <v>5786.25</v>
      </c>
      <c r="K39">
        <v>419.47000100000002</v>
      </c>
      <c r="L39">
        <v>14109.48047</v>
      </c>
    </row>
    <row r="40" spans="1:12" x14ac:dyDescent="0.25">
      <c r="A40" s="1">
        <v>44243</v>
      </c>
      <c r="B40">
        <v>3651.72</v>
      </c>
      <c r="C40">
        <v>238.29599999999999</v>
      </c>
      <c r="D40">
        <v>3989.4639999999999</v>
      </c>
      <c r="E40">
        <v>467.38799999999998</v>
      </c>
      <c r="F40">
        <v>179.589</v>
      </c>
      <c r="G40">
        <v>242.874</v>
      </c>
      <c r="H40">
        <v>87.986999999999995</v>
      </c>
      <c r="I40">
        <v>4538.0306799999998</v>
      </c>
      <c r="J40">
        <v>5786.5297849999997</v>
      </c>
      <c r="K40">
        <v>419.20001200000002</v>
      </c>
      <c r="L40">
        <v>14064.599609999999</v>
      </c>
    </row>
    <row r="41" spans="1:12" x14ac:dyDescent="0.25">
      <c r="A41" s="1">
        <v>44244</v>
      </c>
      <c r="B41">
        <v>3689.9659999999999</v>
      </c>
      <c r="C41">
        <v>238.976</v>
      </c>
      <c r="D41">
        <v>4018.7570000000001</v>
      </c>
      <c r="E41">
        <v>471.65</v>
      </c>
      <c r="F41">
        <v>179.977</v>
      </c>
      <c r="G41">
        <v>243.77799999999999</v>
      </c>
      <c r="H41">
        <v>87.730999999999995</v>
      </c>
      <c r="I41">
        <v>4529.0407610000002</v>
      </c>
      <c r="J41">
        <v>5765.8398440000001</v>
      </c>
      <c r="K41">
        <v>416.10000600000001</v>
      </c>
      <c r="L41">
        <v>13909.26953</v>
      </c>
    </row>
    <row r="42" spans="1:12" x14ac:dyDescent="0.25">
      <c r="A42" s="1">
        <v>44245</v>
      </c>
      <c r="B42">
        <v>3609.0149999999999</v>
      </c>
      <c r="C42">
        <v>237.07</v>
      </c>
      <c r="D42">
        <v>3973.6039999999998</v>
      </c>
      <c r="E42">
        <v>463.62599999999998</v>
      </c>
      <c r="F42">
        <v>178.02600000000001</v>
      </c>
      <c r="G42">
        <v>241.52600000000001</v>
      </c>
      <c r="H42">
        <v>86.807000000000002</v>
      </c>
      <c r="I42">
        <v>4503.3114169999999</v>
      </c>
      <c r="J42">
        <v>5728.330078</v>
      </c>
      <c r="K42">
        <v>412.70001200000002</v>
      </c>
      <c r="L42">
        <v>13886.929690000001</v>
      </c>
    </row>
    <row r="43" spans="1:12" x14ac:dyDescent="0.25">
      <c r="A43" s="1">
        <v>44246</v>
      </c>
      <c r="B43">
        <v>3609.402</v>
      </c>
      <c r="C43">
        <v>236.31299999999999</v>
      </c>
      <c r="D43">
        <v>3963.212</v>
      </c>
      <c r="E43">
        <v>463.14800000000002</v>
      </c>
      <c r="F43">
        <v>176.369</v>
      </c>
      <c r="G43">
        <v>240.827</v>
      </c>
      <c r="H43">
        <v>86.893000000000001</v>
      </c>
      <c r="I43">
        <v>4509.9224160000003</v>
      </c>
      <c r="J43">
        <v>5773.5498049999997</v>
      </c>
      <c r="K43">
        <v>414.88000499999998</v>
      </c>
      <c r="L43">
        <v>13993.23047</v>
      </c>
    </row>
    <row r="44" spans="1:12" x14ac:dyDescent="0.25">
      <c r="A44" s="1">
        <v>44249</v>
      </c>
      <c r="B44">
        <v>3484.277</v>
      </c>
      <c r="C44">
        <v>234.56399999999999</v>
      </c>
      <c r="D44">
        <v>3903.6379999999999</v>
      </c>
      <c r="E44">
        <v>452.27600000000001</v>
      </c>
      <c r="F44">
        <v>177.839</v>
      </c>
      <c r="G44">
        <v>238.506</v>
      </c>
      <c r="H44">
        <v>86.930999999999997</v>
      </c>
      <c r="I44">
        <v>4467.5002039999999</v>
      </c>
      <c r="J44">
        <v>5767.4399409999996</v>
      </c>
      <c r="K44">
        <v>413.05999800000001</v>
      </c>
      <c r="L44">
        <v>13950.04004</v>
      </c>
    </row>
    <row r="45" spans="1:12" x14ac:dyDescent="0.25">
      <c r="A45" s="1">
        <v>44250</v>
      </c>
      <c r="B45">
        <v>3467.0520000000001</v>
      </c>
      <c r="C45">
        <v>234.232</v>
      </c>
      <c r="D45">
        <v>3908.3690000000001</v>
      </c>
      <c r="E45">
        <v>451.63099999999997</v>
      </c>
      <c r="F45">
        <v>177.458</v>
      </c>
      <c r="G45">
        <v>238.16900000000001</v>
      </c>
      <c r="H45">
        <v>87.421000000000006</v>
      </c>
      <c r="I45">
        <v>4468.0128610000002</v>
      </c>
      <c r="J45">
        <v>5779.8398440000001</v>
      </c>
      <c r="K45">
        <v>411.32000699999998</v>
      </c>
      <c r="L45">
        <v>13864.809569999999</v>
      </c>
    </row>
    <row r="46" spans="1:12" x14ac:dyDescent="0.25">
      <c r="A46" s="1">
        <v>44251</v>
      </c>
      <c r="B46">
        <v>3383.393</v>
      </c>
      <c r="C46">
        <v>236.05799999999999</v>
      </c>
      <c r="D46">
        <v>3892.1109999999999</v>
      </c>
      <c r="E46">
        <v>446.06299999999999</v>
      </c>
      <c r="F46">
        <v>173.27</v>
      </c>
      <c r="G46">
        <v>239.36799999999999</v>
      </c>
      <c r="H46">
        <v>88.028999999999996</v>
      </c>
      <c r="I46">
        <v>4519.3322589999998</v>
      </c>
      <c r="J46">
        <v>5797.9799800000001</v>
      </c>
      <c r="K46">
        <v>413.209991</v>
      </c>
      <c r="L46">
        <v>13976</v>
      </c>
    </row>
    <row r="47" spans="1:12" x14ac:dyDescent="0.25">
      <c r="A47" s="1">
        <v>44252</v>
      </c>
      <c r="B47">
        <v>3352.143</v>
      </c>
      <c r="C47">
        <v>230.578</v>
      </c>
      <c r="D47">
        <v>3899.9380000000001</v>
      </c>
      <c r="E47">
        <v>444.62400000000002</v>
      </c>
      <c r="F47">
        <v>173.536</v>
      </c>
      <c r="G47">
        <v>234.45599999999999</v>
      </c>
      <c r="H47">
        <v>87.454999999999998</v>
      </c>
      <c r="I47">
        <v>4399.4729139999999</v>
      </c>
      <c r="J47">
        <v>5783.8901370000003</v>
      </c>
      <c r="K47">
        <v>411.73001099999999</v>
      </c>
      <c r="L47">
        <v>13879.33008</v>
      </c>
    </row>
    <row r="48" spans="1:12" x14ac:dyDescent="0.25">
      <c r="A48" s="1">
        <v>44253</v>
      </c>
      <c r="B48">
        <v>3276.93</v>
      </c>
      <c r="C48">
        <v>229.40600000000001</v>
      </c>
      <c r="D48">
        <v>3798.8960000000002</v>
      </c>
      <c r="E48">
        <v>433.358</v>
      </c>
      <c r="F48">
        <v>168.43899999999999</v>
      </c>
      <c r="G48">
        <v>232.613</v>
      </c>
      <c r="H48">
        <v>84.932000000000002</v>
      </c>
      <c r="I48">
        <v>4384.8242360000004</v>
      </c>
      <c r="J48">
        <v>5703.2202150000003</v>
      </c>
      <c r="K48">
        <v>404.98998999999998</v>
      </c>
      <c r="L48">
        <v>13786.29004</v>
      </c>
    </row>
    <row r="49" spans="1:12" x14ac:dyDescent="0.25">
      <c r="A49" s="1">
        <v>44256</v>
      </c>
      <c r="B49">
        <v>3388.6669999999999</v>
      </c>
      <c r="C49">
        <v>235.864</v>
      </c>
      <c r="D49">
        <v>3854.973</v>
      </c>
      <c r="E49">
        <v>444.03100000000001</v>
      </c>
      <c r="F49">
        <v>172.80600000000001</v>
      </c>
      <c r="G49">
        <v>239.05</v>
      </c>
      <c r="H49">
        <v>86.573999999999998</v>
      </c>
      <c r="I49">
        <v>4494.9591069999997</v>
      </c>
      <c r="J49">
        <v>5792.7900390000004</v>
      </c>
      <c r="K49">
        <v>412.44000199999999</v>
      </c>
      <c r="L49">
        <v>14012.820309999999</v>
      </c>
    </row>
    <row r="50" spans="1:12" x14ac:dyDescent="0.25">
      <c r="A50" s="1">
        <v>44257</v>
      </c>
      <c r="B50">
        <v>3335.7539999999999</v>
      </c>
      <c r="C50">
        <v>234.34100000000001</v>
      </c>
      <c r="D50">
        <v>3878.0729999999999</v>
      </c>
      <c r="E50">
        <v>442.709</v>
      </c>
      <c r="F50">
        <v>171.81899999999999</v>
      </c>
      <c r="G50">
        <v>237.619</v>
      </c>
      <c r="H50">
        <v>86.915999999999997</v>
      </c>
      <c r="I50">
        <v>4450.7958600000002</v>
      </c>
      <c r="J50">
        <v>5809.7299800000001</v>
      </c>
      <c r="K50">
        <v>413.23001099999999</v>
      </c>
      <c r="L50">
        <v>14039.79981</v>
      </c>
    </row>
    <row r="51" spans="1:12" x14ac:dyDescent="0.25">
      <c r="A51" s="1">
        <v>44258</v>
      </c>
      <c r="B51">
        <v>3381.134</v>
      </c>
      <c r="C51">
        <v>231.86199999999999</v>
      </c>
      <c r="D51">
        <v>3929.373</v>
      </c>
      <c r="E51">
        <v>448.245</v>
      </c>
      <c r="F51">
        <v>172.042</v>
      </c>
      <c r="G51">
        <v>235.84899999999999</v>
      </c>
      <c r="H51">
        <v>87.763000000000005</v>
      </c>
      <c r="I51">
        <v>4385.7653179999998</v>
      </c>
      <c r="J51">
        <v>5830.0600590000004</v>
      </c>
      <c r="K51">
        <v>413.42001299999998</v>
      </c>
      <c r="L51">
        <v>14080.030269999999</v>
      </c>
    </row>
    <row r="52" spans="1:12" x14ac:dyDescent="0.25">
      <c r="A52" s="1">
        <v>44259</v>
      </c>
      <c r="B52">
        <v>3262.212</v>
      </c>
      <c r="C52">
        <v>229.52099999999999</v>
      </c>
      <c r="D52">
        <v>3893.3780000000002</v>
      </c>
      <c r="E52">
        <v>439.15899999999999</v>
      </c>
      <c r="F52">
        <v>169.422</v>
      </c>
      <c r="G52">
        <v>233.136</v>
      </c>
      <c r="H52">
        <v>87.77</v>
      </c>
      <c r="I52">
        <v>4315.600187</v>
      </c>
      <c r="J52">
        <v>5830.6499020000001</v>
      </c>
      <c r="K52">
        <v>411.91000400000001</v>
      </c>
      <c r="L52">
        <v>14056.339840000001</v>
      </c>
    </row>
    <row r="53" spans="1:12" x14ac:dyDescent="0.25">
      <c r="A53" s="1">
        <v>44260</v>
      </c>
      <c r="B53">
        <v>3287.7269999999999</v>
      </c>
      <c r="C53">
        <v>233.958</v>
      </c>
      <c r="D53">
        <v>3911.96</v>
      </c>
      <c r="E53">
        <v>441.709</v>
      </c>
      <c r="F53">
        <v>171.17699999999999</v>
      </c>
      <c r="G53">
        <v>237.21100000000001</v>
      </c>
      <c r="H53">
        <v>87.555999999999997</v>
      </c>
      <c r="I53">
        <v>4396.9761399999998</v>
      </c>
      <c r="J53">
        <v>5782.6499020000001</v>
      </c>
      <c r="K53">
        <v>408.67999300000002</v>
      </c>
      <c r="L53">
        <v>13920.690430000001</v>
      </c>
    </row>
    <row r="54" spans="1:12" x14ac:dyDescent="0.25">
      <c r="A54" s="1">
        <v>44263</v>
      </c>
      <c r="B54">
        <v>3155.8040000000001</v>
      </c>
      <c r="C54">
        <v>234.45500000000001</v>
      </c>
      <c r="D54">
        <v>3890.779</v>
      </c>
      <c r="E54">
        <v>433.28300000000002</v>
      </c>
      <c r="F54">
        <v>170.57400000000001</v>
      </c>
      <c r="G54">
        <v>237.03200000000001</v>
      </c>
      <c r="H54">
        <v>89.033000000000001</v>
      </c>
      <c r="I54">
        <v>4372.3129669999998</v>
      </c>
      <c r="J54">
        <v>5902.9902339999999</v>
      </c>
      <c r="K54">
        <v>417.25</v>
      </c>
      <c r="L54">
        <v>14380.910159999999</v>
      </c>
    </row>
    <row r="55" spans="1:12" x14ac:dyDescent="0.25">
      <c r="A55" s="1">
        <v>44264</v>
      </c>
      <c r="B55">
        <v>3165.0329999999999</v>
      </c>
      <c r="C55">
        <v>237.31800000000001</v>
      </c>
      <c r="D55">
        <v>3883.779</v>
      </c>
      <c r="E55">
        <v>435.56400000000002</v>
      </c>
      <c r="F55">
        <v>172.21</v>
      </c>
      <c r="G55">
        <v>239.708</v>
      </c>
      <c r="H55">
        <v>89.387</v>
      </c>
      <c r="I55">
        <v>4442.1979490000003</v>
      </c>
      <c r="J55">
        <v>5924.9702150000003</v>
      </c>
      <c r="K55">
        <v>420.41000400000001</v>
      </c>
      <c r="L55">
        <v>14437.940430000001</v>
      </c>
    </row>
    <row r="56" spans="1:12" x14ac:dyDescent="0.25">
      <c r="A56" s="1">
        <v>44265</v>
      </c>
      <c r="B56">
        <v>3177.373</v>
      </c>
      <c r="C56">
        <v>238.22</v>
      </c>
      <c r="D56">
        <v>3904.2150000000001</v>
      </c>
      <c r="E56">
        <v>437.41399999999999</v>
      </c>
      <c r="F56">
        <v>172.58099999999999</v>
      </c>
      <c r="G56">
        <v>240.63300000000001</v>
      </c>
      <c r="H56">
        <v>89.26</v>
      </c>
      <c r="I56">
        <v>4471.6226699999997</v>
      </c>
      <c r="J56">
        <v>5990.5498049999997</v>
      </c>
      <c r="K56">
        <v>422.10998499999999</v>
      </c>
      <c r="L56">
        <v>14540.25</v>
      </c>
    </row>
    <row r="57" spans="1:12" x14ac:dyDescent="0.25">
      <c r="A57" s="1">
        <v>44266</v>
      </c>
      <c r="B57">
        <v>3268.1410000000001</v>
      </c>
      <c r="C57">
        <v>239.56899999999999</v>
      </c>
      <c r="D57">
        <v>3949.7060000000001</v>
      </c>
      <c r="E57">
        <v>445.81099999999998</v>
      </c>
      <c r="F57">
        <v>172.161</v>
      </c>
      <c r="G57">
        <v>242.42699999999999</v>
      </c>
      <c r="H57">
        <v>89.210999999999999</v>
      </c>
      <c r="I57">
        <v>4530.6646760000003</v>
      </c>
      <c r="J57">
        <v>6033.7597660000001</v>
      </c>
      <c r="K57">
        <v>424.17001299999998</v>
      </c>
      <c r="L57">
        <v>14569.389649999999</v>
      </c>
    </row>
    <row r="58" spans="1:12" x14ac:dyDescent="0.25">
      <c r="A58" s="1">
        <v>44267</v>
      </c>
      <c r="B58">
        <v>3233.819</v>
      </c>
      <c r="C58">
        <v>240.11799999999999</v>
      </c>
      <c r="D58">
        <v>3961.547</v>
      </c>
      <c r="E58">
        <v>443.56099999999998</v>
      </c>
      <c r="F58">
        <v>174.29</v>
      </c>
      <c r="G58">
        <v>242.744</v>
      </c>
      <c r="H58">
        <v>89.281999999999996</v>
      </c>
      <c r="I58">
        <v>4537.2900540000001</v>
      </c>
      <c r="J58">
        <v>6046.5498049999997</v>
      </c>
      <c r="K58">
        <v>423.07998700000002</v>
      </c>
      <c r="L58">
        <v>14502.389649999999</v>
      </c>
    </row>
    <row r="59" spans="1:12" x14ac:dyDescent="0.25">
      <c r="A59" s="1">
        <v>44270</v>
      </c>
      <c r="B59">
        <v>3191.5039999999999</v>
      </c>
      <c r="C59">
        <v>241.80600000000001</v>
      </c>
      <c r="D59">
        <v>3957.8440000000001</v>
      </c>
      <c r="E59">
        <v>441.73899999999998</v>
      </c>
      <c r="F59">
        <v>175.65799999999999</v>
      </c>
      <c r="G59">
        <v>244.09100000000001</v>
      </c>
      <c r="H59">
        <v>89.007999999999996</v>
      </c>
      <c r="I59">
        <v>4570.8076119999996</v>
      </c>
      <c r="J59">
        <v>6035.9702150000003</v>
      </c>
      <c r="K59">
        <v>423.07998700000002</v>
      </c>
      <c r="L59">
        <v>14461.41992</v>
      </c>
    </row>
    <row r="60" spans="1:12" x14ac:dyDescent="0.25">
      <c r="A60" s="1">
        <v>44271</v>
      </c>
      <c r="B60">
        <v>3227.0949999999998</v>
      </c>
      <c r="C60">
        <v>242.411</v>
      </c>
      <c r="D60">
        <v>3985.0880000000002</v>
      </c>
      <c r="E60">
        <v>445.46800000000002</v>
      </c>
      <c r="F60">
        <v>177.233</v>
      </c>
      <c r="G60">
        <v>244.892</v>
      </c>
      <c r="H60">
        <v>90.131</v>
      </c>
      <c r="I60">
        <v>4553.8532420000001</v>
      </c>
      <c r="J60">
        <v>6055.4301759999998</v>
      </c>
      <c r="K60">
        <v>426.82000699999998</v>
      </c>
      <c r="L60">
        <v>14557.58008</v>
      </c>
    </row>
    <row r="61" spans="1:12" x14ac:dyDescent="0.25">
      <c r="A61" s="1">
        <v>44272</v>
      </c>
      <c r="B61">
        <v>3239.3820000000001</v>
      </c>
      <c r="C61">
        <v>242.47300000000001</v>
      </c>
      <c r="D61">
        <v>3941.05</v>
      </c>
      <c r="E61">
        <v>443.02600000000001</v>
      </c>
      <c r="F61">
        <v>176.84200000000001</v>
      </c>
      <c r="G61">
        <v>244.76900000000001</v>
      </c>
      <c r="H61">
        <v>89.522999999999996</v>
      </c>
      <c r="I61">
        <v>4568.9792310000003</v>
      </c>
      <c r="J61">
        <v>6054.8198240000002</v>
      </c>
      <c r="K61">
        <v>424.91000400000001</v>
      </c>
      <c r="L61">
        <v>14596.610350000001</v>
      </c>
    </row>
    <row r="62" spans="1:12" x14ac:dyDescent="0.25">
      <c r="A62" s="1">
        <v>44273</v>
      </c>
      <c r="B62">
        <v>3251.8510000000001</v>
      </c>
      <c r="C62">
        <v>239.95699999999999</v>
      </c>
      <c r="D62">
        <v>3946.471</v>
      </c>
      <c r="E62">
        <v>443.75599999999997</v>
      </c>
      <c r="F62">
        <v>179.22499999999999</v>
      </c>
      <c r="G62">
        <v>242.61699999999999</v>
      </c>
      <c r="H62">
        <v>89.906999999999996</v>
      </c>
      <c r="I62">
        <v>4488.8695019999996</v>
      </c>
      <c r="J62">
        <v>6062.7900390000004</v>
      </c>
      <c r="K62">
        <v>426.58999599999999</v>
      </c>
      <c r="L62">
        <v>14775.51953</v>
      </c>
    </row>
    <row r="63" spans="1:12" x14ac:dyDescent="0.25">
      <c r="A63" s="1">
        <v>44274</v>
      </c>
      <c r="B63">
        <v>3208.2570000000001</v>
      </c>
      <c r="C63">
        <v>239.74299999999999</v>
      </c>
      <c r="D63">
        <v>3926.1390000000001</v>
      </c>
      <c r="E63">
        <v>440.87400000000002</v>
      </c>
      <c r="F63">
        <v>179.54499999999999</v>
      </c>
      <c r="G63">
        <v>242.22</v>
      </c>
      <c r="H63">
        <v>88.685000000000002</v>
      </c>
      <c r="I63">
        <v>4492.7934939999996</v>
      </c>
      <c r="J63">
        <v>5997.9599609999996</v>
      </c>
      <c r="K63">
        <v>423.35000600000001</v>
      </c>
      <c r="L63">
        <v>14621</v>
      </c>
    </row>
    <row r="64" spans="1:12" x14ac:dyDescent="0.25">
      <c r="A64" s="1">
        <v>44277</v>
      </c>
      <c r="B64">
        <v>3211.1480000000001</v>
      </c>
      <c r="C64">
        <v>240.447</v>
      </c>
      <c r="D64">
        <v>3914.98</v>
      </c>
      <c r="E64">
        <v>439.85599999999999</v>
      </c>
      <c r="F64">
        <v>177.18100000000001</v>
      </c>
      <c r="G64">
        <v>242.76300000000001</v>
      </c>
      <c r="H64">
        <v>88.616</v>
      </c>
      <c r="I64">
        <v>4518.0141450000001</v>
      </c>
      <c r="J64">
        <v>5968.4799800000001</v>
      </c>
      <c r="K64">
        <v>424.17001299999998</v>
      </c>
      <c r="L64">
        <v>14657.20996</v>
      </c>
    </row>
    <row r="65" spans="1:12" x14ac:dyDescent="0.25">
      <c r="A65" s="1">
        <v>44278</v>
      </c>
      <c r="B65">
        <v>3183.3240000000001</v>
      </c>
      <c r="C65">
        <v>239.80099999999999</v>
      </c>
      <c r="D65">
        <v>3914.145</v>
      </c>
      <c r="E65">
        <v>437.94200000000001</v>
      </c>
      <c r="F65">
        <v>176.792</v>
      </c>
      <c r="G65">
        <v>242.05699999999999</v>
      </c>
      <c r="H65">
        <v>88.367999999999995</v>
      </c>
      <c r="I65">
        <v>4468.9854649999997</v>
      </c>
      <c r="J65">
        <v>5945.2998049999997</v>
      </c>
      <c r="K65">
        <v>423.30999800000001</v>
      </c>
      <c r="L65">
        <v>14662.01953</v>
      </c>
    </row>
    <row r="66" spans="1:12" x14ac:dyDescent="0.25">
      <c r="A66" s="1">
        <v>44279</v>
      </c>
      <c r="B66">
        <v>3107.3679999999999</v>
      </c>
      <c r="C66">
        <v>238.851</v>
      </c>
      <c r="D66">
        <v>3883.6480000000001</v>
      </c>
      <c r="E66">
        <v>431.07</v>
      </c>
      <c r="F66">
        <v>173.48099999999999</v>
      </c>
      <c r="G66">
        <v>240.72399999999999</v>
      </c>
      <c r="H66">
        <v>88.429000000000002</v>
      </c>
      <c r="I66">
        <v>4432.1979940000001</v>
      </c>
      <c r="J66">
        <v>5947.2900390000004</v>
      </c>
      <c r="K66">
        <v>423.39001500000001</v>
      </c>
      <c r="L66">
        <v>14610.389649999999</v>
      </c>
    </row>
    <row r="67" spans="1:12" x14ac:dyDescent="0.25">
      <c r="A67" s="1">
        <v>44280</v>
      </c>
      <c r="B67">
        <v>3095.636</v>
      </c>
      <c r="C67">
        <v>240.643</v>
      </c>
      <c r="D67">
        <v>3883.5169999999998</v>
      </c>
      <c r="E67">
        <v>429.74099999999999</v>
      </c>
      <c r="F67">
        <v>175.989</v>
      </c>
      <c r="G67">
        <v>242.19800000000001</v>
      </c>
      <c r="H67">
        <v>88.332999999999998</v>
      </c>
      <c r="I67">
        <v>4462.3683920000003</v>
      </c>
      <c r="J67">
        <v>5952.4101559999999</v>
      </c>
      <c r="K67">
        <v>423.07998700000002</v>
      </c>
      <c r="L67">
        <v>14621.360350000001</v>
      </c>
    </row>
    <row r="68" spans="1:12" x14ac:dyDescent="0.25">
      <c r="A68" s="1">
        <v>44281</v>
      </c>
      <c r="B68">
        <v>3149.3679999999999</v>
      </c>
      <c r="C68">
        <v>243.65</v>
      </c>
      <c r="D68">
        <v>3925.5790000000002</v>
      </c>
      <c r="E68">
        <v>435.303</v>
      </c>
      <c r="F68">
        <v>177.66399999999999</v>
      </c>
      <c r="G68">
        <v>245.238</v>
      </c>
      <c r="H68">
        <v>89.48</v>
      </c>
      <c r="I68">
        <v>4536.1034689999997</v>
      </c>
      <c r="J68">
        <v>5988.8100590000004</v>
      </c>
      <c r="K68">
        <v>426.92999300000002</v>
      </c>
      <c r="L68">
        <v>14748.940430000001</v>
      </c>
    </row>
    <row r="69" spans="1:12" x14ac:dyDescent="0.25">
      <c r="A69" s="1">
        <v>44284</v>
      </c>
      <c r="B69">
        <v>3152.6979999999999</v>
      </c>
      <c r="C69">
        <v>244.05500000000001</v>
      </c>
      <c r="D69">
        <v>3955.6260000000002</v>
      </c>
      <c r="E69">
        <v>437.423</v>
      </c>
      <c r="F69">
        <v>178.76599999999999</v>
      </c>
      <c r="G69">
        <v>245.74799999999999</v>
      </c>
      <c r="H69">
        <v>89.63</v>
      </c>
      <c r="I69">
        <v>4516.5156980000002</v>
      </c>
      <c r="J69">
        <v>6015.5097660000001</v>
      </c>
      <c r="K69">
        <v>427.60998499999999</v>
      </c>
      <c r="L69">
        <v>14817.719730000001</v>
      </c>
    </row>
    <row r="70" spans="1:12" x14ac:dyDescent="0.25">
      <c r="A70" s="1">
        <v>44285</v>
      </c>
      <c r="B70">
        <v>3192.5880000000002</v>
      </c>
      <c r="C70">
        <v>244.244</v>
      </c>
      <c r="D70">
        <v>3989.5070000000001</v>
      </c>
      <c r="E70">
        <v>441.90800000000002</v>
      </c>
      <c r="F70">
        <v>177.233</v>
      </c>
      <c r="G70">
        <v>246.24</v>
      </c>
      <c r="H70">
        <v>90.004999999999995</v>
      </c>
      <c r="I70">
        <v>4513.0226510000002</v>
      </c>
      <c r="J70">
        <v>6088.0400390000004</v>
      </c>
      <c r="K70">
        <v>430.64999399999999</v>
      </c>
      <c r="L70">
        <v>15008.610350000001</v>
      </c>
    </row>
    <row r="71" spans="1:12" x14ac:dyDescent="0.25">
      <c r="A71" s="1">
        <v>44286</v>
      </c>
      <c r="B71">
        <v>3169.3409999999999</v>
      </c>
      <c r="C71">
        <v>244.28700000000001</v>
      </c>
      <c r="D71">
        <v>3975.0349999999999</v>
      </c>
      <c r="E71">
        <v>439.923</v>
      </c>
      <c r="F71">
        <v>174.55600000000001</v>
      </c>
      <c r="G71">
        <v>246.13300000000001</v>
      </c>
      <c r="H71">
        <v>89.537999999999997</v>
      </c>
      <c r="I71">
        <v>4535.8871859999999</v>
      </c>
      <c r="J71">
        <v>6067.2299800000001</v>
      </c>
      <c r="K71">
        <v>429.60000600000001</v>
      </c>
      <c r="L71">
        <v>15008.339840000001</v>
      </c>
    </row>
    <row r="72" spans="1:12" x14ac:dyDescent="0.25">
      <c r="A72" s="1">
        <v>44287</v>
      </c>
      <c r="B72">
        <v>3230.7910000000002</v>
      </c>
      <c r="C72">
        <v>246.60499999999999</v>
      </c>
      <c r="D72">
        <v>4003.49</v>
      </c>
      <c r="E72">
        <v>445.92500000000001</v>
      </c>
      <c r="F72">
        <v>174.79</v>
      </c>
      <c r="G72">
        <v>248.602</v>
      </c>
      <c r="H72">
        <v>89.891000000000005</v>
      </c>
      <c r="I72">
        <v>4593.931071</v>
      </c>
      <c r="J72">
        <v>6102.9599609999996</v>
      </c>
      <c r="K72">
        <v>432.22000100000002</v>
      </c>
      <c r="L72">
        <v>15107.16992</v>
      </c>
    </row>
    <row r="73" spans="1:12" x14ac:dyDescent="0.25">
      <c r="A73" s="1">
        <v>44288</v>
      </c>
      <c r="B73">
        <v>3245.873</v>
      </c>
      <c r="C73">
        <v>246.75299999999999</v>
      </c>
      <c r="D73">
        <v>4014.7</v>
      </c>
      <c r="E73">
        <v>446.923</v>
      </c>
      <c r="F73">
        <v>176.19399999999999</v>
      </c>
      <c r="G73">
        <v>248.804</v>
      </c>
      <c r="H73">
        <v>89.891000000000005</v>
      </c>
      <c r="I73">
        <v>4593.931071</v>
      </c>
      <c r="J73">
        <v>6102.9599609999996</v>
      </c>
      <c r="K73">
        <v>432.22000100000002</v>
      </c>
      <c r="L73">
        <v>15107.16992</v>
      </c>
    </row>
    <row r="74" spans="1:12" x14ac:dyDescent="0.25">
      <c r="A74" s="1">
        <v>44291</v>
      </c>
      <c r="B74">
        <v>3231.9589999999998</v>
      </c>
      <c r="C74">
        <v>248.648</v>
      </c>
      <c r="D74">
        <v>4007.7080000000001</v>
      </c>
      <c r="E74">
        <v>445.67099999999999</v>
      </c>
      <c r="F74">
        <v>177.405</v>
      </c>
      <c r="G74">
        <v>250.374</v>
      </c>
      <c r="H74">
        <v>90.072000000000003</v>
      </c>
      <c r="I74">
        <v>4651.2447160000002</v>
      </c>
      <c r="J74">
        <v>6102.9599609999996</v>
      </c>
      <c r="K74">
        <v>432.22000100000002</v>
      </c>
      <c r="L74">
        <v>15107.16992</v>
      </c>
    </row>
    <row r="75" spans="1:12" x14ac:dyDescent="0.25">
      <c r="A75" s="1">
        <v>44292</v>
      </c>
      <c r="B75">
        <v>3235.6559999999999</v>
      </c>
      <c r="C75">
        <v>248.07900000000001</v>
      </c>
      <c r="D75">
        <v>4015.7280000000001</v>
      </c>
      <c r="E75">
        <v>446.84</v>
      </c>
      <c r="F75">
        <v>174.744</v>
      </c>
      <c r="G75">
        <v>249.96</v>
      </c>
      <c r="H75">
        <v>90.688000000000002</v>
      </c>
      <c r="I75">
        <v>4651.333329</v>
      </c>
      <c r="J75">
        <v>6131.3398440000001</v>
      </c>
      <c r="K75">
        <v>435.26001000000002</v>
      </c>
      <c r="L75">
        <v>15212.679690000001</v>
      </c>
    </row>
    <row r="76" spans="1:12" x14ac:dyDescent="0.25">
      <c r="A76" s="1">
        <v>44293</v>
      </c>
      <c r="B76">
        <v>3172.4009999999998</v>
      </c>
      <c r="C76">
        <v>247.21899999999999</v>
      </c>
      <c r="D76">
        <v>4001.2379999999998</v>
      </c>
      <c r="E76">
        <v>441.84100000000001</v>
      </c>
      <c r="F76">
        <v>174.94</v>
      </c>
      <c r="G76">
        <v>248.84200000000001</v>
      </c>
      <c r="H76">
        <v>90.555000000000007</v>
      </c>
      <c r="I76">
        <v>4649.8568720000003</v>
      </c>
      <c r="J76">
        <v>6130.6601559999999</v>
      </c>
      <c r="K76">
        <v>434.32000699999998</v>
      </c>
      <c r="L76">
        <v>15176.360350000001</v>
      </c>
    </row>
    <row r="77" spans="1:12" x14ac:dyDescent="0.25">
      <c r="A77" s="1">
        <v>44294</v>
      </c>
      <c r="B77">
        <v>3186.3389999999999</v>
      </c>
      <c r="C77">
        <v>248.523</v>
      </c>
      <c r="D77">
        <v>4012.8409999999999</v>
      </c>
      <c r="E77">
        <v>443.471</v>
      </c>
      <c r="F77">
        <v>174.58699999999999</v>
      </c>
      <c r="G77">
        <v>250.10300000000001</v>
      </c>
      <c r="H77">
        <v>90.981999999999999</v>
      </c>
      <c r="I77">
        <v>4674.512205</v>
      </c>
      <c r="J77">
        <v>6165.7202150000003</v>
      </c>
      <c r="K77">
        <v>436.85998499999999</v>
      </c>
      <c r="L77">
        <v>15202.679690000001</v>
      </c>
    </row>
    <row r="78" spans="1:12" x14ac:dyDescent="0.25">
      <c r="A78" s="1">
        <v>44295</v>
      </c>
      <c r="B78">
        <v>3141.3789999999999</v>
      </c>
      <c r="C78">
        <v>249.934</v>
      </c>
      <c r="D78">
        <v>3987.4</v>
      </c>
      <c r="E78">
        <v>439.47699999999998</v>
      </c>
      <c r="F78">
        <v>174.869</v>
      </c>
      <c r="G78">
        <v>251.04900000000001</v>
      </c>
      <c r="H78">
        <v>90.677999999999997</v>
      </c>
      <c r="I78">
        <v>4705.9816659999997</v>
      </c>
      <c r="J78">
        <v>6169.4101559999999</v>
      </c>
      <c r="K78">
        <v>437.23001099999999</v>
      </c>
      <c r="L78">
        <v>15234.160159999999</v>
      </c>
    </row>
    <row r="79" spans="1:12" x14ac:dyDescent="0.25">
      <c r="A79" s="1">
        <v>44298</v>
      </c>
      <c r="B79">
        <v>3118.1350000000002</v>
      </c>
      <c r="C79">
        <v>249.31200000000001</v>
      </c>
      <c r="D79">
        <v>3944.3629999999998</v>
      </c>
      <c r="E79">
        <v>436.15800000000002</v>
      </c>
      <c r="F79">
        <v>174.26400000000001</v>
      </c>
      <c r="G79">
        <v>250.26300000000001</v>
      </c>
      <c r="H79">
        <v>90.323999999999998</v>
      </c>
      <c r="I79">
        <v>4705.280041</v>
      </c>
      <c r="J79">
        <v>6161.6801759999998</v>
      </c>
      <c r="K79">
        <v>435.23998999999998</v>
      </c>
      <c r="L79">
        <v>15215</v>
      </c>
    </row>
    <row r="80" spans="1:12" x14ac:dyDescent="0.25">
      <c r="A80" s="1">
        <v>44299</v>
      </c>
      <c r="B80">
        <v>3107.116</v>
      </c>
      <c r="C80">
        <v>249.87200000000001</v>
      </c>
      <c r="D80">
        <v>3953.1970000000001</v>
      </c>
      <c r="E80">
        <v>436.036</v>
      </c>
      <c r="F80">
        <v>174.69900000000001</v>
      </c>
      <c r="G80">
        <v>250.745</v>
      </c>
      <c r="H80">
        <v>90.016999999999996</v>
      </c>
      <c r="I80">
        <v>4722.2195279999996</v>
      </c>
      <c r="J80">
        <v>6184.1000979999999</v>
      </c>
      <c r="K80">
        <v>435.75</v>
      </c>
      <c r="L80">
        <v>15234.360350000001</v>
      </c>
    </row>
    <row r="81" spans="1:12" x14ac:dyDescent="0.25">
      <c r="A81" s="1">
        <v>44300</v>
      </c>
      <c r="B81">
        <v>3127.817</v>
      </c>
      <c r="C81">
        <v>248.59800000000001</v>
      </c>
      <c r="D81">
        <v>3977.8209999999999</v>
      </c>
      <c r="E81">
        <v>438.65499999999997</v>
      </c>
      <c r="F81">
        <v>173.90799999999999</v>
      </c>
      <c r="G81">
        <v>249.81899999999999</v>
      </c>
      <c r="H81">
        <v>90.682000000000002</v>
      </c>
      <c r="I81">
        <v>4706.7439869999998</v>
      </c>
      <c r="J81">
        <v>6208.580078</v>
      </c>
      <c r="K81">
        <v>436.57000699999998</v>
      </c>
      <c r="L81">
        <v>15209.150390000001</v>
      </c>
    </row>
    <row r="82" spans="1:12" x14ac:dyDescent="0.25">
      <c r="A82" s="1">
        <v>44301</v>
      </c>
      <c r="B82">
        <v>3110.1260000000002</v>
      </c>
      <c r="C82">
        <v>250.953</v>
      </c>
      <c r="D82">
        <v>4009.6610000000001</v>
      </c>
      <c r="E82">
        <v>440.04</v>
      </c>
      <c r="F82">
        <v>174.87899999999999</v>
      </c>
      <c r="G82">
        <v>251.983</v>
      </c>
      <c r="H82">
        <v>91.304000000000002</v>
      </c>
      <c r="I82">
        <v>4758.4655519999997</v>
      </c>
      <c r="J82">
        <v>6234.1401370000003</v>
      </c>
      <c r="K82">
        <v>438.54998799999998</v>
      </c>
      <c r="L82">
        <v>15255.33008</v>
      </c>
    </row>
    <row r="83" spans="1:12" x14ac:dyDescent="0.25">
      <c r="A83" s="1">
        <v>44302</v>
      </c>
      <c r="B83">
        <v>3132.7249999999999</v>
      </c>
      <c r="C83">
        <v>251.74299999999999</v>
      </c>
      <c r="D83">
        <v>4021.105</v>
      </c>
      <c r="E83">
        <v>442.185</v>
      </c>
      <c r="F83">
        <v>174.78100000000001</v>
      </c>
      <c r="G83">
        <v>252.83199999999999</v>
      </c>
      <c r="H83">
        <v>91.861000000000004</v>
      </c>
      <c r="I83">
        <v>4772.3948650000002</v>
      </c>
      <c r="J83">
        <v>6287.0698240000002</v>
      </c>
      <c r="K83">
        <v>442.48998999999998</v>
      </c>
      <c r="L83">
        <v>15459.75</v>
      </c>
    </row>
    <row r="84" spans="1:12" x14ac:dyDescent="0.25">
      <c r="A84" s="1">
        <v>44305</v>
      </c>
      <c r="B84">
        <v>3159.038</v>
      </c>
      <c r="C84">
        <v>250.11500000000001</v>
      </c>
      <c r="D84">
        <v>3994.7530000000002</v>
      </c>
      <c r="E84">
        <v>440.66699999999997</v>
      </c>
      <c r="F84">
        <v>175.08500000000001</v>
      </c>
      <c r="G84">
        <v>251.29499999999999</v>
      </c>
      <c r="H84">
        <v>92.478999999999999</v>
      </c>
      <c r="I84">
        <v>4742.2792650000001</v>
      </c>
      <c r="J84">
        <v>6296.6899409999996</v>
      </c>
      <c r="K84">
        <v>442.17999300000002</v>
      </c>
      <c r="L84">
        <v>15368.389649999999</v>
      </c>
    </row>
    <row r="85" spans="1:12" x14ac:dyDescent="0.25">
      <c r="A85" s="1">
        <v>44306</v>
      </c>
      <c r="B85">
        <v>3144.6419999999998</v>
      </c>
      <c r="C85">
        <v>247.11699999999999</v>
      </c>
      <c r="D85">
        <v>3991.89</v>
      </c>
      <c r="E85">
        <v>439.298</v>
      </c>
      <c r="F85">
        <v>171.79900000000001</v>
      </c>
      <c r="G85">
        <v>248.56800000000001</v>
      </c>
      <c r="H85">
        <v>90.180999999999997</v>
      </c>
      <c r="I85">
        <v>4703.209441</v>
      </c>
      <c r="J85">
        <v>6165.1098629999997</v>
      </c>
      <c r="K85">
        <v>433.79998799999998</v>
      </c>
      <c r="L85">
        <v>15129.509770000001</v>
      </c>
    </row>
    <row r="86" spans="1:12" x14ac:dyDescent="0.25">
      <c r="A86" s="1">
        <v>44307</v>
      </c>
      <c r="B86">
        <v>3141.386</v>
      </c>
      <c r="C86">
        <v>248.988</v>
      </c>
      <c r="D86">
        <v>3961.0810000000001</v>
      </c>
      <c r="E86">
        <v>436.52100000000002</v>
      </c>
      <c r="F86">
        <v>168.642</v>
      </c>
      <c r="G86">
        <v>250.005</v>
      </c>
      <c r="H86">
        <v>90.694000000000003</v>
      </c>
      <c r="I86">
        <v>4753.1084780000001</v>
      </c>
      <c r="J86">
        <v>6210.5498049999997</v>
      </c>
      <c r="K86">
        <v>436.64001500000001</v>
      </c>
      <c r="L86">
        <v>15195.969730000001</v>
      </c>
    </row>
    <row r="87" spans="1:12" x14ac:dyDescent="0.25">
      <c r="A87" s="1">
        <v>44308</v>
      </c>
      <c r="B87">
        <v>3158.1379999999999</v>
      </c>
      <c r="C87">
        <v>248.34200000000001</v>
      </c>
      <c r="D87">
        <v>3967.81</v>
      </c>
      <c r="E87">
        <v>438.22899999999998</v>
      </c>
      <c r="F87">
        <v>172.274</v>
      </c>
      <c r="G87">
        <v>249.56399999999999</v>
      </c>
      <c r="H87">
        <v>90.685000000000002</v>
      </c>
      <c r="I87">
        <v>4715.4494640000003</v>
      </c>
      <c r="J87">
        <v>6267.2797849999997</v>
      </c>
      <c r="K87">
        <v>439.63000499999998</v>
      </c>
      <c r="L87">
        <v>15320.51953</v>
      </c>
    </row>
    <row r="88" spans="1:12" x14ac:dyDescent="0.25">
      <c r="A88" s="1">
        <v>44309</v>
      </c>
      <c r="B88">
        <v>3192.6120000000001</v>
      </c>
      <c r="C88">
        <v>249.667</v>
      </c>
      <c r="D88">
        <v>3976.5250000000001</v>
      </c>
      <c r="E88">
        <v>441.02600000000001</v>
      </c>
      <c r="F88">
        <v>171.07499999999999</v>
      </c>
      <c r="G88">
        <v>250.929</v>
      </c>
      <c r="H88">
        <v>90.388999999999996</v>
      </c>
      <c r="I88">
        <v>4772.1966709999997</v>
      </c>
      <c r="J88">
        <v>6257.9399409999996</v>
      </c>
      <c r="K88">
        <v>439.040009</v>
      </c>
      <c r="L88">
        <v>15279.62012</v>
      </c>
    </row>
    <row r="89" spans="1:12" x14ac:dyDescent="0.25">
      <c r="A89" s="1">
        <v>44312</v>
      </c>
      <c r="B89">
        <v>3163.8739999999998</v>
      </c>
      <c r="C89">
        <v>249.83199999999999</v>
      </c>
      <c r="D89">
        <v>4012.9270000000001</v>
      </c>
      <c r="E89">
        <v>442.298</v>
      </c>
      <c r="F89">
        <v>170.92</v>
      </c>
      <c r="G89">
        <v>251.166</v>
      </c>
      <c r="H89">
        <v>90.784999999999997</v>
      </c>
      <c r="I89">
        <v>4788.0265600000002</v>
      </c>
      <c r="J89">
        <v>6275.5200199999999</v>
      </c>
      <c r="K89">
        <v>440.20001200000002</v>
      </c>
      <c r="L89">
        <v>15296.339840000001</v>
      </c>
    </row>
    <row r="90" spans="1:12" x14ac:dyDescent="0.25">
      <c r="A90" s="1">
        <v>44313</v>
      </c>
      <c r="B90">
        <v>3170.6170000000002</v>
      </c>
      <c r="C90">
        <v>249.50399999999999</v>
      </c>
      <c r="D90">
        <v>4016.7829999999999</v>
      </c>
      <c r="E90">
        <v>442.76400000000001</v>
      </c>
      <c r="F90">
        <v>168.90899999999999</v>
      </c>
      <c r="G90">
        <v>250.91200000000001</v>
      </c>
      <c r="H90">
        <v>90.712000000000003</v>
      </c>
      <c r="I90">
        <v>4787.3472689999999</v>
      </c>
      <c r="J90">
        <v>6273.7597660000001</v>
      </c>
      <c r="K90">
        <v>439.85000600000001</v>
      </c>
      <c r="L90">
        <v>15249.26953</v>
      </c>
    </row>
    <row r="91" spans="1:12" x14ac:dyDescent="0.25">
      <c r="A91" s="1">
        <v>44314</v>
      </c>
      <c r="B91">
        <v>3184.0309999999999</v>
      </c>
      <c r="C91">
        <v>249.328</v>
      </c>
      <c r="D91">
        <v>4018.893</v>
      </c>
      <c r="E91">
        <v>443.44600000000003</v>
      </c>
      <c r="F91">
        <v>168.84</v>
      </c>
      <c r="G91">
        <v>250.80799999999999</v>
      </c>
      <c r="H91">
        <v>90.820999999999998</v>
      </c>
      <c r="I91">
        <v>4783.6189210000002</v>
      </c>
      <c r="J91">
        <v>6306.9799800000001</v>
      </c>
      <c r="K91">
        <v>439.92001299999998</v>
      </c>
      <c r="L91">
        <v>15292.179690000001</v>
      </c>
    </row>
    <row r="92" spans="1:12" x14ac:dyDescent="0.25">
      <c r="A92" s="1">
        <v>44315</v>
      </c>
      <c r="B92">
        <v>3183.0859999999998</v>
      </c>
      <c r="C92">
        <v>249.82900000000001</v>
      </c>
      <c r="D92">
        <v>4016.3150000000001</v>
      </c>
      <c r="E92">
        <v>442.48599999999999</v>
      </c>
      <c r="F92">
        <v>168.464</v>
      </c>
      <c r="G92">
        <v>251.17699999999999</v>
      </c>
      <c r="H92">
        <v>90.924999999999997</v>
      </c>
      <c r="I92">
        <v>4806.6349730000002</v>
      </c>
      <c r="J92">
        <v>6302.5698240000002</v>
      </c>
      <c r="K92">
        <v>438.76998900000001</v>
      </c>
      <c r="L92">
        <v>15154.200199999999</v>
      </c>
    </row>
    <row r="93" spans="1:12" x14ac:dyDescent="0.25">
      <c r="A93" s="1">
        <v>44316</v>
      </c>
      <c r="B93">
        <v>3164.0050000000001</v>
      </c>
      <c r="C93">
        <v>249.28200000000001</v>
      </c>
      <c r="D93">
        <v>3997.5410000000002</v>
      </c>
      <c r="E93">
        <v>439.68299999999999</v>
      </c>
      <c r="F93">
        <v>167.82599999999999</v>
      </c>
      <c r="G93">
        <v>250.49299999999999</v>
      </c>
      <c r="H93">
        <v>90.984999999999999</v>
      </c>
      <c r="I93">
        <v>4768.4078229999996</v>
      </c>
      <c r="J93">
        <v>6269.4799800000001</v>
      </c>
      <c r="K93">
        <v>437.39001500000001</v>
      </c>
      <c r="L93">
        <v>15135.910159999999</v>
      </c>
    </row>
    <row r="94" spans="1:12" x14ac:dyDescent="0.25">
      <c r="A94" s="1">
        <v>44319</v>
      </c>
      <c r="B94">
        <v>3143.424</v>
      </c>
      <c r="C94">
        <v>249.36699999999999</v>
      </c>
      <c r="D94">
        <v>3956.9119999999998</v>
      </c>
      <c r="E94">
        <v>435.517</v>
      </c>
      <c r="F94">
        <v>167.90199999999999</v>
      </c>
      <c r="G94">
        <v>250.26400000000001</v>
      </c>
      <c r="H94">
        <v>91.248000000000005</v>
      </c>
      <c r="I94">
        <v>4778.770681</v>
      </c>
      <c r="J94">
        <v>6307.8999020000001</v>
      </c>
      <c r="K94">
        <v>439.92001299999998</v>
      </c>
      <c r="L94">
        <v>15236.469730000001</v>
      </c>
    </row>
    <row r="95" spans="1:12" x14ac:dyDescent="0.25">
      <c r="A95" s="1">
        <v>44320</v>
      </c>
      <c r="B95">
        <v>3150.0250000000001</v>
      </c>
      <c r="C95">
        <v>248.02600000000001</v>
      </c>
      <c r="D95">
        <v>3958.239</v>
      </c>
      <c r="E95">
        <v>435.78199999999998</v>
      </c>
      <c r="F95">
        <v>168.071</v>
      </c>
      <c r="G95">
        <v>249.108</v>
      </c>
      <c r="H95">
        <v>90.774000000000001</v>
      </c>
      <c r="I95">
        <v>4740.7457109999996</v>
      </c>
      <c r="J95">
        <v>6251.75</v>
      </c>
      <c r="K95">
        <v>433.64999399999999</v>
      </c>
      <c r="L95">
        <v>14856.48047</v>
      </c>
    </row>
    <row r="96" spans="1:12" x14ac:dyDescent="0.25">
      <c r="A96" s="1">
        <v>44321</v>
      </c>
      <c r="B96">
        <v>3140.7260000000001</v>
      </c>
      <c r="C96">
        <v>249.464</v>
      </c>
      <c r="D96">
        <v>3976.62</v>
      </c>
      <c r="E96">
        <v>436.12700000000001</v>
      </c>
      <c r="F96">
        <v>168.42599999999999</v>
      </c>
      <c r="G96">
        <v>250.39400000000001</v>
      </c>
      <c r="H96">
        <v>92.631</v>
      </c>
      <c r="I96">
        <v>4739.3012289999997</v>
      </c>
      <c r="J96">
        <v>6339.4702150000003</v>
      </c>
      <c r="K96">
        <v>441.54998799999998</v>
      </c>
      <c r="L96">
        <v>15170.780269999999</v>
      </c>
    </row>
    <row r="97" spans="1:12" x14ac:dyDescent="0.25">
      <c r="A97" s="1">
        <v>44322</v>
      </c>
      <c r="B97">
        <v>3113.74</v>
      </c>
      <c r="C97">
        <v>249.971</v>
      </c>
      <c r="D97">
        <v>3994.3180000000002</v>
      </c>
      <c r="E97">
        <v>436.69799999999998</v>
      </c>
      <c r="F97">
        <v>170.524</v>
      </c>
      <c r="G97">
        <v>250.87899999999999</v>
      </c>
      <c r="H97">
        <v>92.623000000000005</v>
      </c>
      <c r="I97">
        <v>4767.1843760000002</v>
      </c>
      <c r="J97">
        <v>6357.0898440000001</v>
      </c>
      <c r="K97">
        <v>441.01998900000001</v>
      </c>
      <c r="L97">
        <v>15196.740229999999</v>
      </c>
    </row>
    <row r="98" spans="1:12" x14ac:dyDescent="0.25">
      <c r="A98" s="1">
        <v>44323</v>
      </c>
      <c r="B98">
        <v>3063.6039999999998</v>
      </c>
      <c r="C98">
        <v>250.565</v>
      </c>
      <c r="D98">
        <v>4020.8359999999998</v>
      </c>
      <c r="E98">
        <v>436.22699999999998</v>
      </c>
      <c r="F98">
        <v>170.315</v>
      </c>
      <c r="G98">
        <v>251.36600000000001</v>
      </c>
      <c r="H98">
        <v>93.257999999999996</v>
      </c>
      <c r="I98">
        <v>4806.9417869999997</v>
      </c>
      <c r="J98">
        <v>6385.5097660000001</v>
      </c>
      <c r="K98">
        <v>444.92999300000002</v>
      </c>
      <c r="L98">
        <v>15399.650390000001</v>
      </c>
    </row>
    <row r="99" spans="1:12" x14ac:dyDescent="0.25">
      <c r="A99" s="1">
        <v>44326</v>
      </c>
      <c r="B99">
        <v>3037.3870000000002</v>
      </c>
      <c r="C99">
        <v>248.697</v>
      </c>
      <c r="D99">
        <v>4036.6060000000002</v>
      </c>
      <c r="E99">
        <v>434.86599999999999</v>
      </c>
      <c r="F99">
        <v>171.49799999999999</v>
      </c>
      <c r="G99">
        <v>249.62899999999999</v>
      </c>
      <c r="H99">
        <v>94.278999999999996</v>
      </c>
      <c r="I99">
        <v>4748.2408390000001</v>
      </c>
      <c r="J99">
        <v>6385.9902339999999</v>
      </c>
      <c r="K99">
        <v>445.39001500000001</v>
      </c>
      <c r="L99">
        <v>15400.410159999999</v>
      </c>
    </row>
    <row r="100" spans="1:12" x14ac:dyDescent="0.25">
      <c r="A100" s="1">
        <v>44327</v>
      </c>
      <c r="B100">
        <v>3029.6849999999999</v>
      </c>
      <c r="C100">
        <v>245.875</v>
      </c>
      <c r="D100">
        <v>3968.9630000000002</v>
      </c>
      <c r="E100">
        <v>429.233</v>
      </c>
      <c r="F100">
        <v>167.697</v>
      </c>
      <c r="G100">
        <v>246.74600000000001</v>
      </c>
      <c r="H100">
        <v>92.040999999999997</v>
      </c>
      <c r="I100">
        <v>4713.1148480000002</v>
      </c>
      <c r="J100">
        <v>6267.3901370000003</v>
      </c>
      <c r="K100">
        <v>436.60998499999999</v>
      </c>
      <c r="L100">
        <v>15119.75</v>
      </c>
    </row>
    <row r="101" spans="1:12" x14ac:dyDescent="0.25">
      <c r="A101" s="1">
        <v>44328</v>
      </c>
      <c r="B101">
        <v>3059.0149999999999</v>
      </c>
      <c r="C101">
        <v>243.25700000000001</v>
      </c>
      <c r="D101">
        <v>3927.0619999999999</v>
      </c>
      <c r="E101">
        <v>427.774</v>
      </c>
      <c r="F101">
        <v>165.21799999999999</v>
      </c>
      <c r="G101">
        <v>244.346</v>
      </c>
      <c r="H101">
        <v>93.296000000000006</v>
      </c>
      <c r="I101">
        <v>4603.8282840000002</v>
      </c>
      <c r="J101">
        <v>6279.3500979999999</v>
      </c>
      <c r="K101">
        <v>437.92999300000002</v>
      </c>
      <c r="L101">
        <v>15150.219730000001</v>
      </c>
    </row>
    <row r="102" spans="1:12" x14ac:dyDescent="0.25">
      <c r="A102" s="1">
        <v>44329</v>
      </c>
      <c r="B102">
        <v>2986.056</v>
      </c>
      <c r="C102">
        <v>244.625</v>
      </c>
      <c r="D102">
        <v>3891.799</v>
      </c>
      <c r="E102">
        <v>420.536</v>
      </c>
      <c r="F102">
        <v>162.286</v>
      </c>
      <c r="G102">
        <v>245.01599999999999</v>
      </c>
      <c r="H102">
        <v>92.393000000000001</v>
      </c>
      <c r="I102">
        <v>4657.8950450000002</v>
      </c>
      <c r="J102">
        <v>6288.330078</v>
      </c>
      <c r="K102">
        <v>437.92999300000002</v>
      </c>
      <c r="L102">
        <v>15199.679690000001</v>
      </c>
    </row>
    <row r="103" spans="1:12" x14ac:dyDescent="0.25">
      <c r="A103" s="1">
        <v>44330</v>
      </c>
      <c r="B103">
        <v>3030.8420000000001</v>
      </c>
      <c r="C103">
        <v>247.309</v>
      </c>
      <c r="D103">
        <v>3903.913</v>
      </c>
      <c r="E103">
        <v>423.24900000000002</v>
      </c>
      <c r="F103">
        <v>164.756</v>
      </c>
      <c r="G103">
        <v>247.566</v>
      </c>
      <c r="H103">
        <v>93.247</v>
      </c>
      <c r="I103">
        <v>4734.9088700000002</v>
      </c>
      <c r="J103">
        <v>6385.1401370000003</v>
      </c>
      <c r="K103">
        <v>442.52999899999998</v>
      </c>
      <c r="L103">
        <v>15416.639649999999</v>
      </c>
    </row>
    <row r="104" spans="1:12" x14ac:dyDescent="0.25">
      <c r="A104" s="1">
        <v>44333</v>
      </c>
      <c r="B104">
        <v>3073.2530000000002</v>
      </c>
      <c r="C104">
        <v>246.70099999999999</v>
      </c>
      <c r="D104">
        <v>3885.7159999999999</v>
      </c>
      <c r="E104">
        <v>424.11599999999999</v>
      </c>
      <c r="F104">
        <v>164.57599999999999</v>
      </c>
      <c r="G104">
        <v>247.096</v>
      </c>
      <c r="H104">
        <v>93.271000000000001</v>
      </c>
      <c r="I104">
        <v>4723.4663719999999</v>
      </c>
      <c r="J104">
        <v>6367.3500979999999</v>
      </c>
      <c r="K104">
        <v>442.290009</v>
      </c>
      <c r="L104">
        <v>15396.62012</v>
      </c>
    </row>
    <row r="105" spans="1:12" x14ac:dyDescent="0.25">
      <c r="A105" s="1">
        <v>44334</v>
      </c>
      <c r="B105">
        <v>3082.5549999999998</v>
      </c>
      <c r="C105">
        <v>244.75700000000001</v>
      </c>
      <c r="D105">
        <v>3935.4</v>
      </c>
      <c r="E105">
        <v>428.54899999999998</v>
      </c>
      <c r="F105">
        <v>166.643</v>
      </c>
      <c r="G105">
        <v>245.71600000000001</v>
      </c>
      <c r="H105">
        <v>93.257000000000005</v>
      </c>
      <c r="I105">
        <v>4686.7596100000001</v>
      </c>
      <c r="J105">
        <v>6353.669922</v>
      </c>
      <c r="K105">
        <v>443.040009</v>
      </c>
      <c r="L105">
        <v>15386.58008</v>
      </c>
    </row>
    <row r="106" spans="1:12" x14ac:dyDescent="0.25">
      <c r="A106" s="1">
        <v>44335</v>
      </c>
      <c r="B106">
        <v>3077.9609999999998</v>
      </c>
      <c r="C106">
        <v>243.334</v>
      </c>
      <c r="D106">
        <v>3911.13</v>
      </c>
      <c r="E106">
        <v>426.84</v>
      </c>
      <c r="F106">
        <v>166.089</v>
      </c>
      <c r="G106">
        <v>244.345</v>
      </c>
      <c r="H106">
        <v>91.78</v>
      </c>
      <c r="I106">
        <v>4670.8825720000004</v>
      </c>
      <c r="J106">
        <v>6262.5498049999997</v>
      </c>
      <c r="K106">
        <v>436.33999599999999</v>
      </c>
      <c r="L106">
        <v>15113.559569999999</v>
      </c>
    </row>
    <row r="107" spans="1:12" x14ac:dyDescent="0.25">
      <c r="A107" s="1">
        <v>44336</v>
      </c>
      <c r="B107">
        <v>3096.38</v>
      </c>
      <c r="C107">
        <v>245.94800000000001</v>
      </c>
      <c r="D107">
        <v>3901.1260000000002</v>
      </c>
      <c r="E107">
        <v>427.40800000000002</v>
      </c>
      <c r="F107">
        <v>165.66900000000001</v>
      </c>
      <c r="G107">
        <v>246.67699999999999</v>
      </c>
      <c r="H107">
        <v>92.718000000000004</v>
      </c>
      <c r="I107">
        <v>4721.9622170000002</v>
      </c>
      <c r="J107">
        <v>6343.580078</v>
      </c>
      <c r="K107">
        <v>441.89999399999999</v>
      </c>
      <c r="L107">
        <v>15370.259770000001</v>
      </c>
    </row>
    <row r="108" spans="1:12" x14ac:dyDescent="0.25">
      <c r="A108" s="1">
        <v>44337</v>
      </c>
      <c r="B108">
        <v>3073.9630000000002</v>
      </c>
      <c r="C108">
        <v>246.57</v>
      </c>
      <c r="D108">
        <v>3936.1790000000001</v>
      </c>
      <c r="E108">
        <v>428.59199999999998</v>
      </c>
      <c r="F108">
        <v>166.71</v>
      </c>
      <c r="G108">
        <v>247.30799999999999</v>
      </c>
      <c r="H108">
        <v>92.906000000000006</v>
      </c>
      <c r="I108">
        <v>4719.4634759999999</v>
      </c>
      <c r="J108">
        <v>6386.4101559999999</v>
      </c>
      <c r="K108">
        <v>444.44000199999999</v>
      </c>
      <c r="L108">
        <v>15437.509770000001</v>
      </c>
    </row>
    <row r="109" spans="1:12" x14ac:dyDescent="0.25">
      <c r="A109" s="1">
        <v>44340</v>
      </c>
      <c r="B109">
        <v>3063.8530000000001</v>
      </c>
      <c r="C109">
        <v>247.90199999999999</v>
      </c>
      <c r="D109">
        <v>3920.0160000000001</v>
      </c>
      <c r="E109">
        <v>426.44099999999997</v>
      </c>
      <c r="F109">
        <v>167.273</v>
      </c>
      <c r="G109">
        <v>248.31899999999999</v>
      </c>
      <c r="H109">
        <v>93.045000000000002</v>
      </c>
      <c r="I109">
        <v>4764.9707660000004</v>
      </c>
      <c r="J109">
        <v>6408.4902339999999</v>
      </c>
      <c r="K109">
        <v>444.44000199999999</v>
      </c>
      <c r="L109">
        <v>15437.509770000001</v>
      </c>
    </row>
    <row r="110" spans="1:12" x14ac:dyDescent="0.25">
      <c r="A110" s="1">
        <v>44341</v>
      </c>
      <c r="B110">
        <v>3137.482</v>
      </c>
      <c r="C110">
        <v>247.309</v>
      </c>
      <c r="D110">
        <v>3949.393</v>
      </c>
      <c r="E110">
        <v>431.58800000000002</v>
      </c>
      <c r="F110">
        <v>167.40100000000001</v>
      </c>
      <c r="G110">
        <v>248.17400000000001</v>
      </c>
      <c r="H110">
        <v>92.322000000000003</v>
      </c>
      <c r="I110">
        <v>4751.7247820000002</v>
      </c>
      <c r="J110">
        <v>6390.2700199999999</v>
      </c>
      <c r="K110">
        <v>445.20001200000002</v>
      </c>
      <c r="L110">
        <v>15465.089840000001</v>
      </c>
    </row>
    <row r="111" spans="1:12" x14ac:dyDescent="0.25">
      <c r="A111" s="1">
        <v>44342</v>
      </c>
      <c r="B111">
        <v>3158.913</v>
      </c>
      <c r="C111">
        <v>248.18899999999999</v>
      </c>
      <c r="D111">
        <v>3973.1840000000002</v>
      </c>
      <c r="E111">
        <v>434.61900000000003</v>
      </c>
      <c r="F111">
        <v>167.85599999999999</v>
      </c>
      <c r="G111">
        <v>249.167</v>
      </c>
      <c r="H111">
        <v>92.397000000000006</v>
      </c>
      <c r="I111">
        <v>4769.6065090000002</v>
      </c>
      <c r="J111">
        <v>6391.6000979999999</v>
      </c>
      <c r="K111">
        <v>445.22000100000002</v>
      </c>
      <c r="L111">
        <v>15450.719730000001</v>
      </c>
    </row>
    <row r="112" spans="1:12" x14ac:dyDescent="0.25">
      <c r="A112" s="1">
        <v>44343</v>
      </c>
      <c r="B112">
        <v>3172.973</v>
      </c>
      <c r="C112">
        <v>248.61</v>
      </c>
      <c r="D112">
        <v>3988.8969999999999</v>
      </c>
      <c r="E112">
        <v>435.94900000000001</v>
      </c>
      <c r="F112">
        <v>166.48599999999999</v>
      </c>
      <c r="G112">
        <v>249.63200000000001</v>
      </c>
      <c r="H112">
        <v>92.855999999999995</v>
      </c>
      <c r="I112">
        <v>4778.9976139999999</v>
      </c>
      <c r="J112">
        <v>6435.7099609999996</v>
      </c>
      <c r="K112">
        <v>446.44000199999999</v>
      </c>
      <c r="L112">
        <v>15406.73047</v>
      </c>
    </row>
    <row r="113" spans="1:12" x14ac:dyDescent="0.25">
      <c r="A113" s="1">
        <v>44344</v>
      </c>
      <c r="B113">
        <v>3170.7719999999999</v>
      </c>
      <c r="C113">
        <v>249.74299999999999</v>
      </c>
      <c r="D113">
        <v>4033.72</v>
      </c>
      <c r="E113">
        <v>438.75</v>
      </c>
      <c r="F113">
        <v>169.459</v>
      </c>
      <c r="G113">
        <v>250.83</v>
      </c>
      <c r="H113">
        <v>92.968999999999994</v>
      </c>
      <c r="I113">
        <v>4782.697889</v>
      </c>
      <c r="J113">
        <v>6484.1098629999997</v>
      </c>
      <c r="K113">
        <v>448.98001099999999</v>
      </c>
      <c r="L113">
        <v>15519.98047</v>
      </c>
    </row>
    <row r="114" spans="1:12" x14ac:dyDescent="0.25">
      <c r="A114" s="1">
        <v>44347</v>
      </c>
      <c r="B114">
        <v>3196.645</v>
      </c>
      <c r="C114">
        <v>248.524</v>
      </c>
      <c r="D114">
        <v>4056.933</v>
      </c>
      <c r="E114">
        <v>442.09</v>
      </c>
      <c r="F114">
        <v>167.68299999999999</v>
      </c>
      <c r="G114">
        <v>250.012</v>
      </c>
      <c r="H114">
        <v>92.864999999999995</v>
      </c>
      <c r="I114">
        <v>4782.697889</v>
      </c>
      <c r="J114">
        <v>6447.169922</v>
      </c>
      <c r="K114">
        <v>446.76001000000002</v>
      </c>
      <c r="L114">
        <v>15421.12988</v>
      </c>
    </row>
    <row r="115" spans="1:12" x14ac:dyDescent="0.25">
      <c r="A115" s="1">
        <v>44348</v>
      </c>
      <c r="B115">
        <v>3229.029</v>
      </c>
      <c r="C115">
        <v>248.67599999999999</v>
      </c>
      <c r="D115">
        <v>4075.7959999999998</v>
      </c>
      <c r="E115">
        <v>446.11799999999999</v>
      </c>
      <c r="F115">
        <v>167.64699999999999</v>
      </c>
      <c r="G115">
        <v>250.44300000000001</v>
      </c>
      <c r="H115">
        <v>93.215000000000003</v>
      </c>
      <c r="I115">
        <v>4785.7614999999996</v>
      </c>
      <c r="J115">
        <v>6489.3999020000001</v>
      </c>
      <c r="K115">
        <v>450.10000600000001</v>
      </c>
      <c r="L115">
        <v>15567.360350000001</v>
      </c>
    </row>
    <row r="116" spans="1:12" x14ac:dyDescent="0.25">
      <c r="A116" s="1">
        <v>44349</v>
      </c>
      <c r="B116">
        <v>3207.777</v>
      </c>
      <c r="C116">
        <v>249.79</v>
      </c>
      <c r="D116">
        <v>4098.2359999999999</v>
      </c>
      <c r="E116">
        <v>446.75900000000001</v>
      </c>
      <c r="F116">
        <v>169.256</v>
      </c>
      <c r="G116">
        <v>251.465</v>
      </c>
      <c r="H116">
        <v>93.844999999999999</v>
      </c>
      <c r="I116">
        <v>4791.7558909999998</v>
      </c>
      <c r="J116">
        <v>6521.5200199999999</v>
      </c>
      <c r="K116">
        <v>451.33999599999999</v>
      </c>
      <c r="L116">
        <v>15602.70996</v>
      </c>
    </row>
    <row r="117" spans="1:12" x14ac:dyDescent="0.25">
      <c r="A117" s="1">
        <v>44350</v>
      </c>
      <c r="B117">
        <v>3186.788</v>
      </c>
      <c r="C117">
        <v>250.11799999999999</v>
      </c>
      <c r="D117">
        <v>4136.5349999999999</v>
      </c>
      <c r="E117">
        <v>447.73399999999998</v>
      </c>
      <c r="F117">
        <v>170.80500000000001</v>
      </c>
      <c r="G117">
        <v>251.82400000000001</v>
      </c>
      <c r="H117">
        <v>93.477000000000004</v>
      </c>
      <c r="I117">
        <v>4768.7792630000004</v>
      </c>
      <c r="J117">
        <v>6507.919922</v>
      </c>
      <c r="K117">
        <v>450.790009</v>
      </c>
      <c r="L117">
        <v>15632.66992</v>
      </c>
    </row>
    <row r="118" spans="1:12" x14ac:dyDescent="0.25">
      <c r="A118" s="1">
        <v>44351</v>
      </c>
      <c r="B118">
        <v>3181.0630000000001</v>
      </c>
      <c r="C118">
        <v>251.62899999999999</v>
      </c>
      <c r="D118">
        <v>4120.451</v>
      </c>
      <c r="E118">
        <v>446.108</v>
      </c>
      <c r="F118">
        <v>171.375</v>
      </c>
      <c r="G118">
        <v>253.024</v>
      </c>
      <c r="H118">
        <v>93.712999999999994</v>
      </c>
      <c r="I118">
        <v>4809.7947700000004</v>
      </c>
      <c r="J118">
        <v>6515.6601559999999</v>
      </c>
      <c r="K118">
        <v>452.57000699999998</v>
      </c>
      <c r="L118">
        <v>15692.900390000001</v>
      </c>
    </row>
    <row r="119" spans="1:12" x14ac:dyDescent="0.25">
      <c r="A119" s="1">
        <v>44354</v>
      </c>
      <c r="B119">
        <v>3167.2649999999999</v>
      </c>
      <c r="C119">
        <v>251.447</v>
      </c>
      <c r="D119">
        <v>4120.3329999999996</v>
      </c>
      <c r="E119">
        <v>444.93599999999998</v>
      </c>
      <c r="F119">
        <v>171.54400000000001</v>
      </c>
      <c r="G119">
        <v>252.77799999999999</v>
      </c>
      <c r="H119">
        <v>93.608999999999995</v>
      </c>
      <c r="I119">
        <v>4815.8312260000002</v>
      </c>
      <c r="J119">
        <v>6543.5600590000004</v>
      </c>
      <c r="K119">
        <v>453.55999800000001</v>
      </c>
      <c r="L119">
        <v>15677.150390000001</v>
      </c>
    </row>
    <row r="120" spans="1:12" x14ac:dyDescent="0.25">
      <c r="A120" s="1">
        <v>44355</v>
      </c>
      <c r="B120">
        <v>3149.3220000000001</v>
      </c>
      <c r="C120">
        <v>251.529</v>
      </c>
      <c r="D120">
        <v>4114.2449999999999</v>
      </c>
      <c r="E120">
        <v>443.93599999999998</v>
      </c>
      <c r="F120">
        <v>171.386</v>
      </c>
      <c r="G120">
        <v>252.77600000000001</v>
      </c>
      <c r="H120">
        <v>93.661000000000001</v>
      </c>
      <c r="I120">
        <v>4823.143814</v>
      </c>
      <c r="J120">
        <v>6551.0097660000001</v>
      </c>
      <c r="K120">
        <v>454.01001000000002</v>
      </c>
      <c r="L120">
        <v>15640.599609999999</v>
      </c>
    </row>
    <row r="121" spans="1:12" x14ac:dyDescent="0.25">
      <c r="A121" s="1">
        <v>44356</v>
      </c>
      <c r="B121">
        <v>3149.3589999999999</v>
      </c>
      <c r="C121">
        <v>251.11500000000001</v>
      </c>
      <c r="D121">
        <v>4095.7939999999999</v>
      </c>
      <c r="E121">
        <v>442.48099999999999</v>
      </c>
      <c r="F121">
        <v>170.52</v>
      </c>
      <c r="G121">
        <v>252.30600000000001</v>
      </c>
      <c r="H121">
        <v>93.325999999999993</v>
      </c>
      <c r="I121">
        <v>4810.6849739999998</v>
      </c>
      <c r="J121">
        <v>6563.4501950000003</v>
      </c>
      <c r="K121">
        <v>454.44000199999999</v>
      </c>
      <c r="L121">
        <v>15581.139649999999</v>
      </c>
    </row>
    <row r="122" spans="1:12" x14ac:dyDescent="0.25">
      <c r="A122" s="1">
        <v>44357</v>
      </c>
      <c r="B122">
        <v>3168.8850000000002</v>
      </c>
      <c r="C122">
        <v>252.30099999999999</v>
      </c>
      <c r="D122">
        <v>4123.1390000000001</v>
      </c>
      <c r="E122">
        <v>444.923</v>
      </c>
      <c r="F122">
        <v>170.684</v>
      </c>
      <c r="G122">
        <v>253.524</v>
      </c>
      <c r="H122">
        <v>93.635999999999996</v>
      </c>
      <c r="I122">
        <v>4830.6205570000002</v>
      </c>
      <c r="J122">
        <v>6546.4902339999999</v>
      </c>
      <c r="K122">
        <v>454.55999800000001</v>
      </c>
      <c r="L122">
        <v>15571.219730000001</v>
      </c>
    </row>
    <row r="123" spans="1:12" x14ac:dyDescent="0.25">
      <c r="A123" s="1">
        <v>44358</v>
      </c>
      <c r="B123">
        <v>3177.5709999999999</v>
      </c>
      <c r="C123">
        <v>254.02199999999999</v>
      </c>
      <c r="D123">
        <v>4158.3419999999996</v>
      </c>
      <c r="E123">
        <v>448.20100000000002</v>
      </c>
      <c r="F123">
        <v>171.15</v>
      </c>
      <c r="G123">
        <v>255.27099999999999</v>
      </c>
      <c r="H123">
        <v>94.570999999999998</v>
      </c>
      <c r="I123">
        <v>4846.3836229999997</v>
      </c>
      <c r="J123">
        <v>6600.6601559999999</v>
      </c>
      <c r="K123">
        <v>457.51001000000002</v>
      </c>
      <c r="L123">
        <v>15693.26953</v>
      </c>
    </row>
    <row r="124" spans="1:12" x14ac:dyDescent="0.25">
      <c r="A124" s="1">
        <v>44361</v>
      </c>
      <c r="B124">
        <v>3176.4319999999998</v>
      </c>
      <c r="C124">
        <v>254.33500000000001</v>
      </c>
      <c r="D124">
        <v>4156.884</v>
      </c>
      <c r="E124">
        <v>448.072</v>
      </c>
      <c r="F124">
        <v>171.285</v>
      </c>
      <c r="G124">
        <v>255.536</v>
      </c>
      <c r="H124">
        <v>94.659000000000006</v>
      </c>
      <c r="I124">
        <v>4852.5336340000003</v>
      </c>
      <c r="J124">
        <v>6616.3500979999999</v>
      </c>
      <c r="K124">
        <v>458.32000699999998</v>
      </c>
      <c r="L124">
        <v>15673.639649999999</v>
      </c>
    </row>
    <row r="125" spans="1:12" x14ac:dyDescent="0.25">
      <c r="A125" s="1">
        <v>44362</v>
      </c>
      <c r="B125">
        <v>3145.2689999999998</v>
      </c>
      <c r="C125">
        <v>254.07400000000001</v>
      </c>
      <c r="D125">
        <v>4152.05</v>
      </c>
      <c r="E125">
        <v>446.40300000000002</v>
      </c>
      <c r="F125">
        <v>172.661</v>
      </c>
      <c r="G125">
        <v>255.18299999999999</v>
      </c>
      <c r="H125">
        <v>94.853999999999999</v>
      </c>
      <c r="I125">
        <v>4839.0498180000004</v>
      </c>
      <c r="J125">
        <v>6639.5200199999999</v>
      </c>
      <c r="K125">
        <v>458.80999800000001</v>
      </c>
      <c r="L125">
        <v>15729.51953</v>
      </c>
    </row>
    <row r="126" spans="1:12" x14ac:dyDescent="0.25">
      <c r="A126" s="1">
        <v>44363</v>
      </c>
      <c r="B126">
        <v>3097.87</v>
      </c>
      <c r="C126">
        <v>253.49</v>
      </c>
      <c r="D126">
        <v>4149.3329999999996</v>
      </c>
      <c r="E126">
        <v>444</v>
      </c>
      <c r="F126">
        <v>172.87</v>
      </c>
      <c r="G126">
        <v>254.495</v>
      </c>
      <c r="H126">
        <v>95.146000000000001</v>
      </c>
      <c r="I126">
        <v>4815.7475100000001</v>
      </c>
      <c r="J126">
        <v>6652.6499020000001</v>
      </c>
      <c r="K126">
        <v>459.85998499999999</v>
      </c>
      <c r="L126">
        <v>15710.570309999999</v>
      </c>
    </row>
    <row r="127" spans="1:12" x14ac:dyDescent="0.25">
      <c r="A127" s="1">
        <v>44364</v>
      </c>
      <c r="B127">
        <v>3158.24</v>
      </c>
      <c r="C127">
        <v>256.22399999999999</v>
      </c>
      <c r="D127">
        <v>4163.2389999999996</v>
      </c>
      <c r="E127">
        <v>448.24099999999999</v>
      </c>
      <c r="F127">
        <v>173.869</v>
      </c>
      <c r="G127">
        <v>257.19900000000001</v>
      </c>
      <c r="H127">
        <v>95.1</v>
      </c>
      <c r="I127">
        <v>4812.1643139999996</v>
      </c>
      <c r="J127">
        <v>6666.2597660000001</v>
      </c>
      <c r="K127">
        <v>459.32998700000002</v>
      </c>
      <c r="L127">
        <v>15727.66992</v>
      </c>
    </row>
    <row r="128" spans="1:12" x14ac:dyDescent="0.25">
      <c r="A128" s="1">
        <v>44365</v>
      </c>
      <c r="B128">
        <v>3191.585</v>
      </c>
      <c r="C128">
        <v>254.43700000000001</v>
      </c>
      <c r="D128">
        <v>4173.1459999999997</v>
      </c>
      <c r="E128">
        <v>450.94900000000001</v>
      </c>
      <c r="F128">
        <v>173.74600000000001</v>
      </c>
      <c r="G128">
        <v>255.83799999999999</v>
      </c>
      <c r="H128">
        <v>92.947999999999993</v>
      </c>
      <c r="I128">
        <v>4749.431243</v>
      </c>
      <c r="J128">
        <v>6569.1601559999999</v>
      </c>
      <c r="K128">
        <v>452.04998799999998</v>
      </c>
      <c r="L128">
        <v>15448.04004</v>
      </c>
    </row>
    <row r="129" spans="1:12" x14ac:dyDescent="0.25">
      <c r="A129" s="1">
        <v>44368</v>
      </c>
      <c r="B129">
        <v>3155.8330000000001</v>
      </c>
      <c r="C129">
        <v>255.65600000000001</v>
      </c>
      <c r="D129">
        <v>4121.2669999999998</v>
      </c>
      <c r="E129">
        <v>445.33100000000002</v>
      </c>
      <c r="F129">
        <v>168.72</v>
      </c>
      <c r="G129">
        <v>256.48700000000002</v>
      </c>
      <c r="H129">
        <v>93.798000000000002</v>
      </c>
      <c r="I129">
        <v>4817.3374329999997</v>
      </c>
      <c r="J129">
        <v>6602.5400390000004</v>
      </c>
      <c r="K129">
        <v>455.23001099999999</v>
      </c>
      <c r="L129">
        <v>15603.240229999999</v>
      </c>
    </row>
    <row r="130" spans="1:12" x14ac:dyDescent="0.25">
      <c r="A130" s="1">
        <v>44369</v>
      </c>
      <c r="B130">
        <v>3150.6260000000002</v>
      </c>
      <c r="C130">
        <v>257.54700000000003</v>
      </c>
      <c r="D130">
        <v>4127.1480000000001</v>
      </c>
      <c r="E130">
        <v>444.565</v>
      </c>
      <c r="F130">
        <v>173.423</v>
      </c>
      <c r="G130">
        <v>258.08300000000003</v>
      </c>
      <c r="H130">
        <v>94.302999999999997</v>
      </c>
      <c r="I130">
        <v>4843.3133369999996</v>
      </c>
      <c r="J130">
        <v>6611.5</v>
      </c>
      <c r="K130">
        <v>456.42001299999998</v>
      </c>
      <c r="L130">
        <v>15636.33008</v>
      </c>
    </row>
    <row r="131" spans="1:12" x14ac:dyDescent="0.25">
      <c r="A131" s="1">
        <v>44370</v>
      </c>
      <c r="B131">
        <v>3176.136</v>
      </c>
      <c r="C131">
        <v>256.22300000000001</v>
      </c>
      <c r="D131">
        <v>4135.0630000000001</v>
      </c>
      <c r="E131">
        <v>447.23</v>
      </c>
      <c r="F131">
        <v>171.68</v>
      </c>
      <c r="G131">
        <v>257.12299999999999</v>
      </c>
      <c r="H131">
        <v>94.087000000000003</v>
      </c>
      <c r="I131">
        <v>4841.9417370000001</v>
      </c>
      <c r="J131">
        <v>6551.0698240000002</v>
      </c>
      <c r="K131">
        <v>453.10000600000001</v>
      </c>
      <c r="L131">
        <v>15456.389649999999</v>
      </c>
    </row>
    <row r="132" spans="1:12" x14ac:dyDescent="0.25">
      <c r="A132" s="1">
        <v>44371</v>
      </c>
      <c r="B132">
        <v>3196.8890000000001</v>
      </c>
      <c r="C132">
        <v>258</v>
      </c>
      <c r="D132">
        <v>4159.2340000000004</v>
      </c>
      <c r="E132">
        <v>450.30799999999999</v>
      </c>
      <c r="F132">
        <v>171.79400000000001</v>
      </c>
      <c r="G132">
        <v>258.904</v>
      </c>
      <c r="H132">
        <v>94.150999999999996</v>
      </c>
      <c r="I132">
        <v>4873.9179439999998</v>
      </c>
      <c r="J132">
        <v>6631.1499020000001</v>
      </c>
      <c r="K132">
        <v>457.040009</v>
      </c>
      <c r="L132">
        <v>15589.23047</v>
      </c>
    </row>
    <row r="133" spans="1:12" x14ac:dyDescent="0.25">
      <c r="A133" s="1">
        <v>44372</v>
      </c>
      <c r="B133">
        <v>3245.2979999999998</v>
      </c>
      <c r="C133">
        <v>258.45999999999998</v>
      </c>
      <c r="D133">
        <v>4168.3119999999999</v>
      </c>
      <c r="E133">
        <v>453.392</v>
      </c>
      <c r="F133">
        <v>172.89699999999999</v>
      </c>
      <c r="G133">
        <v>259.53500000000003</v>
      </c>
      <c r="H133">
        <v>94.472999999999999</v>
      </c>
      <c r="I133">
        <v>4891.2646789999999</v>
      </c>
      <c r="J133">
        <v>6622.8701170000004</v>
      </c>
      <c r="K133">
        <v>457.63000499999998</v>
      </c>
      <c r="L133">
        <v>15607.969730000001</v>
      </c>
    </row>
    <row r="134" spans="1:12" x14ac:dyDescent="0.25">
      <c r="A134" s="1">
        <v>44375</v>
      </c>
      <c r="B134">
        <v>3269.7550000000001</v>
      </c>
      <c r="C134">
        <v>259.01499999999999</v>
      </c>
      <c r="D134">
        <v>4166.8249999999998</v>
      </c>
      <c r="E134">
        <v>454.75700000000001</v>
      </c>
      <c r="F134">
        <v>173.614</v>
      </c>
      <c r="G134">
        <v>260.12099999999998</v>
      </c>
      <c r="H134">
        <v>93.703999999999994</v>
      </c>
      <c r="I134">
        <v>4898.9308799999999</v>
      </c>
      <c r="J134">
        <v>6558.0200199999999</v>
      </c>
      <c r="K134">
        <v>454.94000199999999</v>
      </c>
      <c r="L134">
        <v>15554.179690000001</v>
      </c>
    </row>
    <row r="135" spans="1:12" x14ac:dyDescent="0.25">
      <c r="A135" s="1">
        <v>44376</v>
      </c>
      <c r="B135">
        <v>3254.84</v>
      </c>
      <c r="C135">
        <v>259.416</v>
      </c>
      <c r="D135">
        <v>4168.3220000000001</v>
      </c>
      <c r="E135">
        <v>454.34</v>
      </c>
      <c r="F135">
        <v>172.87299999999999</v>
      </c>
      <c r="G135">
        <v>260.44099999999997</v>
      </c>
      <c r="H135">
        <v>93.646000000000001</v>
      </c>
      <c r="I135">
        <v>4898.72138</v>
      </c>
      <c r="J135">
        <v>6567.4301759999998</v>
      </c>
      <c r="K135">
        <v>456.36999500000002</v>
      </c>
      <c r="L135">
        <v>15690.589840000001</v>
      </c>
    </row>
    <row r="136" spans="1:12" x14ac:dyDescent="0.25">
      <c r="A136" s="1">
        <v>44377</v>
      </c>
      <c r="B136">
        <v>3265.0569999999998</v>
      </c>
      <c r="C136">
        <v>259.80099999999999</v>
      </c>
      <c r="D136">
        <v>4183.9639999999999</v>
      </c>
      <c r="E136">
        <v>455.27</v>
      </c>
      <c r="F136">
        <v>172.215</v>
      </c>
      <c r="G136">
        <v>260.84699999999998</v>
      </c>
      <c r="H136">
        <v>93.262</v>
      </c>
      <c r="I136">
        <v>4901.3495160000002</v>
      </c>
      <c r="J136">
        <v>6507.830078</v>
      </c>
      <c r="K136">
        <v>452.83999599999999</v>
      </c>
      <c r="L136">
        <v>15531.04004</v>
      </c>
    </row>
    <row r="137" spans="1:12" x14ac:dyDescent="0.25">
      <c r="A137" s="1">
        <v>44378</v>
      </c>
      <c r="B137">
        <v>3253.3670000000002</v>
      </c>
      <c r="C137">
        <v>260.548</v>
      </c>
      <c r="D137">
        <v>4159.6850000000004</v>
      </c>
      <c r="E137">
        <v>452.80099999999999</v>
      </c>
      <c r="F137">
        <v>170.898</v>
      </c>
      <c r="G137">
        <v>261.31700000000001</v>
      </c>
      <c r="H137">
        <v>94.114000000000004</v>
      </c>
      <c r="I137">
        <v>4925.5368529999996</v>
      </c>
      <c r="J137">
        <v>6553.8198240000002</v>
      </c>
      <c r="K137">
        <v>455.63000499999998</v>
      </c>
      <c r="L137">
        <v>15603.809569999999</v>
      </c>
    </row>
    <row r="138" spans="1:12" x14ac:dyDescent="0.25">
      <c r="A138" s="1">
        <v>44379</v>
      </c>
      <c r="B138">
        <v>3177.2</v>
      </c>
      <c r="C138">
        <v>262.64100000000002</v>
      </c>
      <c r="D138">
        <v>4163.3779999999997</v>
      </c>
      <c r="E138">
        <v>449.5</v>
      </c>
      <c r="F138">
        <v>173.04300000000001</v>
      </c>
      <c r="G138">
        <v>262.90199999999999</v>
      </c>
      <c r="H138">
        <v>94.319000000000003</v>
      </c>
      <c r="I138">
        <v>4953.7631620000002</v>
      </c>
      <c r="J138">
        <v>6552.8598629999997</v>
      </c>
      <c r="K138">
        <v>456.80999800000001</v>
      </c>
      <c r="L138">
        <v>15650.089840000001</v>
      </c>
    </row>
    <row r="139" spans="1:12" x14ac:dyDescent="0.25">
      <c r="A139" s="1">
        <v>44382</v>
      </c>
      <c r="B139">
        <v>3155.7139999999999</v>
      </c>
      <c r="C139">
        <v>262.55399999999997</v>
      </c>
      <c r="D139">
        <v>4180.6319999999996</v>
      </c>
      <c r="E139">
        <v>448.495</v>
      </c>
      <c r="F139">
        <v>172.71899999999999</v>
      </c>
      <c r="G139">
        <v>262.75099999999998</v>
      </c>
      <c r="H139">
        <v>95.149000000000001</v>
      </c>
      <c r="I139">
        <v>4953.7631620000002</v>
      </c>
      <c r="J139">
        <v>6567.5400390000004</v>
      </c>
      <c r="K139">
        <v>458.35998499999999</v>
      </c>
      <c r="L139">
        <v>15661.969730000001</v>
      </c>
    </row>
    <row r="140" spans="1:12" x14ac:dyDescent="0.25">
      <c r="A140" s="1">
        <v>44383</v>
      </c>
      <c r="B140">
        <v>3148.3150000000001</v>
      </c>
      <c r="C140">
        <v>262.63099999999997</v>
      </c>
      <c r="D140">
        <v>4169.4970000000003</v>
      </c>
      <c r="E140">
        <v>447.07100000000003</v>
      </c>
      <c r="F140">
        <v>174.274</v>
      </c>
      <c r="G140">
        <v>262.71300000000002</v>
      </c>
      <c r="H140">
        <v>94.325999999999993</v>
      </c>
      <c r="I140">
        <v>4941.1805670000003</v>
      </c>
      <c r="J140">
        <v>6507.4799800000001</v>
      </c>
      <c r="K140">
        <v>455.98001099999999</v>
      </c>
      <c r="L140">
        <v>15511.37988</v>
      </c>
    </row>
    <row r="141" spans="1:12" x14ac:dyDescent="0.25">
      <c r="A141" s="1">
        <v>44384</v>
      </c>
      <c r="B141">
        <v>3154.9740000000002</v>
      </c>
      <c r="C141">
        <v>263.91800000000001</v>
      </c>
      <c r="D141">
        <v>4169.8249999999998</v>
      </c>
      <c r="E141">
        <v>446.26299999999998</v>
      </c>
      <c r="F141">
        <v>173.16900000000001</v>
      </c>
      <c r="G141">
        <v>263.77800000000002</v>
      </c>
      <c r="H141">
        <v>95.05</v>
      </c>
      <c r="I141">
        <v>4949.3312379999998</v>
      </c>
      <c r="J141">
        <v>6527.7202150000003</v>
      </c>
      <c r="K141">
        <v>459.52999899999998</v>
      </c>
      <c r="L141">
        <v>15692.70996</v>
      </c>
    </row>
    <row r="142" spans="1:12" x14ac:dyDescent="0.25">
      <c r="A142" s="1">
        <v>44385</v>
      </c>
      <c r="B142">
        <v>3067.3980000000001</v>
      </c>
      <c r="C142">
        <v>260.33199999999999</v>
      </c>
      <c r="D142">
        <v>4104.4070000000002</v>
      </c>
      <c r="E142">
        <v>436.09699999999998</v>
      </c>
      <c r="F142">
        <v>172.62799999999999</v>
      </c>
      <c r="G142">
        <v>259.88900000000001</v>
      </c>
      <c r="H142">
        <v>92.974000000000004</v>
      </c>
      <c r="I142">
        <v>4905.3996900000002</v>
      </c>
      <c r="J142">
        <v>6396.7299800000001</v>
      </c>
      <c r="K142">
        <v>451.60998499999999</v>
      </c>
      <c r="L142">
        <v>15420.639649999999</v>
      </c>
    </row>
    <row r="143" spans="1:12" x14ac:dyDescent="0.25">
      <c r="A143" s="1">
        <v>44386</v>
      </c>
      <c r="B143">
        <v>3079.0419999999999</v>
      </c>
      <c r="C143">
        <v>262.77</v>
      </c>
      <c r="D143">
        <v>4086.64</v>
      </c>
      <c r="E143">
        <v>436.36799999999999</v>
      </c>
      <c r="F143">
        <v>170.78299999999999</v>
      </c>
      <c r="G143">
        <v>262.04000000000002</v>
      </c>
      <c r="H143">
        <v>94.619</v>
      </c>
      <c r="I143">
        <v>4967.2189950000002</v>
      </c>
      <c r="J143">
        <v>6529.419922</v>
      </c>
      <c r="K143">
        <v>457.67001299999998</v>
      </c>
      <c r="L143">
        <v>15687.929690000001</v>
      </c>
    </row>
    <row r="144" spans="1:12" x14ac:dyDescent="0.25">
      <c r="A144" s="1">
        <v>44389</v>
      </c>
      <c r="B144">
        <v>3108.2849999999999</v>
      </c>
      <c r="C144">
        <v>263.995</v>
      </c>
      <c r="D144">
        <v>4113.2719999999999</v>
      </c>
      <c r="E144">
        <v>439.10300000000001</v>
      </c>
      <c r="F144">
        <v>174.15100000000001</v>
      </c>
      <c r="G144">
        <v>263.31400000000002</v>
      </c>
      <c r="H144">
        <v>95.105000000000004</v>
      </c>
      <c r="I144">
        <v>4980.2979310000001</v>
      </c>
      <c r="J144">
        <v>6559.25</v>
      </c>
      <c r="K144">
        <v>460.82998700000002</v>
      </c>
      <c r="L144">
        <v>15790.509770000001</v>
      </c>
    </row>
    <row r="145" spans="1:12" x14ac:dyDescent="0.25">
      <c r="A145" s="1">
        <v>44390</v>
      </c>
      <c r="B145">
        <v>3158.2860000000001</v>
      </c>
      <c r="C145">
        <v>264.19</v>
      </c>
      <c r="D145">
        <v>4149.5309999999999</v>
      </c>
      <c r="E145">
        <v>444.93200000000002</v>
      </c>
      <c r="F145">
        <v>175.852</v>
      </c>
      <c r="G145">
        <v>263.91699999999997</v>
      </c>
      <c r="H145">
        <v>95.081000000000003</v>
      </c>
      <c r="I145">
        <v>4952.809878</v>
      </c>
      <c r="J145">
        <v>6558.4702150000003</v>
      </c>
      <c r="K145">
        <v>460.959991</v>
      </c>
      <c r="L145">
        <v>15789.639649999999</v>
      </c>
    </row>
    <row r="146" spans="1:12" x14ac:dyDescent="0.25">
      <c r="A146" s="1">
        <v>44391</v>
      </c>
      <c r="B146">
        <v>3135.3270000000002</v>
      </c>
      <c r="C146">
        <v>264.25400000000002</v>
      </c>
      <c r="D146">
        <v>4156.808</v>
      </c>
      <c r="E146">
        <v>444.68</v>
      </c>
      <c r="F146">
        <v>175.881</v>
      </c>
      <c r="G146">
        <v>263.95400000000001</v>
      </c>
      <c r="H146">
        <v>94.835999999999999</v>
      </c>
      <c r="I146">
        <v>4946.8782259999998</v>
      </c>
      <c r="J146">
        <v>6558.3798829999996</v>
      </c>
      <c r="K146">
        <v>460.55999800000001</v>
      </c>
      <c r="L146">
        <v>15788.98047</v>
      </c>
    </row>
    <row r="147" spans="1:12" x14ac:dyDescent="0.25">
      <c r="A147" s="1">
        <v>44392</v>
      </c>
      <c r="B147">
        <v>3176.14</v>
      </c>
      <c r="C147">
        <v>262.96300000000002</v>
      </c>
      <c r="D147">
        <v>4178.6689999999999</v>
      </c>
      <c r="E147">
        <v>448.13900000000001</v>
      </c>
      <c r="F147">
        <v>173.905</v>
      </c>
      <c r="G147">
        <v>263.08300000000003</v>
      </c>
      <c r="H147">
        <v>93.831000000000003</v>
      </c>
      <c r="I147">
        <v>4929.8177400000004</v>
      </c>
      <c r="J147">
        <v>6493.3598629999997</v>
      </c>
      <c r="K147">
        <v>456.20001200000002</v>
      </c>
      <c r="L147">
        <v>15629.660159999999</v>
      </c>
    </row>
    <row r="148" spans="1:12" x14ac:dyDescent="0.25">
      <c r="A148" s="1">
        <v>44393</v>
      </c>
      <c r="B148">
        <v>3147.319</v>
      </c>
      <c r="C148">
        <v>261.54300000000001</v>
      </c>
      <c r="D148">
        <v>4159.6589999999997</v>
      </c>
      <c r="E148">
        <v>445.70499999999998</v>
      </c>
      <c r="F148">
        <v>173.083</v>
      </c>
      <c r="G148">
        <v>261.661</v>
      </c>
      <c r="H148">
        <v>93.350999999999999</v>
      </c>
      <c r="I148">
        <v>4892.8947200000002</v>
      </c>
      <c r="J148">
        <v>6460.080078</v>
      </c>
      <c r="K148">
        <v>454.73998999999998</v>
      </c>
      <c r="L148">
        <v>15540.309569999999</v>
      </c>
    </row>
    <row r="149" spans="1:12" x14ac:dyDescent="0.25">
      <c r="A149" s="1">
        <v>44396</v>
      </c>
      <c r="B149">
        <v>3112.3710000000001</v>
      </c>
      <c r="C149">
        <v>257.37400000000002</v>
      </c>
      <c r="D149">
        <v>4090.3960000000002</v>
      </c>
      <c r="E149">
        <v>438.23099999999999</v>
      </c>
      <c r="F149">
        <v>172.14</v>
      </c>
      <c r="G149">
        <v>257.46199999999999</v>
      </c>
      <c r="H149">
        <v>90.396000000000001</v>
      </c>
      <c r="I149">
        <v>4819.1963500000002</v>
      </c>
      <c r="J149">
        <v>6295.9702150000003</v>
      </c>
      <c r="K149">
        <v>444.290009</v>
      </c>
      <c r="L149">
        <v>15133.200199999999</v>
      </c>
    </row>
    <row r="150" spans="1:12" x14ac:dyDescent="0.25">
      <c r="A150" s="1">
        <v>44397</v>
      </c>
      <c r="B150">
        <v>3112.6689999999999</v>
      </c>
      <c r="C150">
        <v>260.94600000000003</v>
      </c>
      <c r="D150">
        <v>4089.0509999999999</v>
      </c>
      <c r="E150">
        <v>437.78100000000001</v>
      </c>
      <c r="F150">
        <v>170.244</v>
      </c>
      <c r="G150">
        <v>260.55099999999999</v>
      </c>
      <c r="H150">
        <v>90.808000000000007</v>
      </c>
      <c r="I150">
        <v>4902.6587010000003</v>
      </c>
      <c r="J150">
        <v>6346.8500979999999</v>
      </c>
      <c r="K150">
        <v>446.60998499999999</v>
      </c>
      <c r="L150">
        <v>15216.26953</v>
      </c>
    </row>
    <row r="151" spans="1:12" x14ac:dyDescent="0.25">
      <c r="A151" s="1">
        <v>44398</v>
      </c>
      <c r="B151">
        <v>3122.877</v>
      </c>
      <c r="C151">
        <v>263.04300000000001</v>
      </c>
      <c r="D151">
        <v>4078.1170000000002</v>
      </c>
      <c r="E151">
        <v>437.17399999999998</v>
      </c>
      <c r="F151">
        <v>170.541</v>
      </c>
      <c r="G151">
        <v>262.339</v>
      </c>
      <c r="H151">
        <v>92.570999999999998</v>
      </c>
      <c r="I151">
        <v>4947.4231600000003</v>
      </c>
      <c r="J151">
        <v>6464.4799800000001</v>
      </c>
      <c r="K151">
        <v>453.97000100000002</v>
      </c>
      <c r="L151">
        <v>15422.5</v>
      </c>
    </row>
    <row r="152" spans="1:12" x14ac:dyDescent="0.25">
      <c r="A152" s="1">
        <v>44399</v>
      </c>
      <c r="B152">
        <v>3144.6509999999998</v>
      </c>
      <c r="C152">
        <v>263.80900000000003</v>
      </c>
      <c r="D152">
        <v>4123.2759999999998</v>
      </c>
      <c r="E152">
        <v>441.76400000000001</v>
      </c>
      <c r="F152">
        <v>170.79300000000001</v>
      </c>
      <c r="G152">
        <v>263.34899999999999</v>
      </c>
      <c r="H152">
        <v>92.566000000000003</v>
      </c>
      <c r="I152">
        <v>4950.6881819999999</v>
      </c>
      <c r="J152">
        <v>6481.5898440000001</v>
      </c>
      <c r="K152">
        <v>456.52999899999998</v>
      </c>
      <c r="L152">
        <v>15514.54004</v>
      </c>
    </row>
    <row r="153" spans="1:12" x14ac:dyDescent="0.25">
      <c r="A153" s="1">
        <v>44400</v>
      </c>
      <c r="B153">
        <v>3083.2730000000001</v>
      </c>
      <c r="C153">
        <v>266.74299999999999</v>
      </c>
      <c r="D153">
        <v>4124.6270000000004</v>
      </c>
      <c r="E153">
        <v>437.89400000000001</v>
      </c>
      <c r="F153">
        <v>170.56899999999999</v>
      </c>
      <c r="G153">
        <v>265.625</v>
      </c>
      <c r="H153">
        <v>93.587999999999994</v>
      </c>
      <c r="I153">
        <v>5000.8235869999999</v>
      </c>
      <c r="J153">
        <v>6568.8198240000002</v>
      </c>
      <c r="K153">
        <v>461.51001000000002</v>
      </c>
      <c r="L153">
        <v>15669.29004</v>
      </c>
    </row>
    <row r="154" spans="1:12" x14ac:dyDescent="0.25">
      <c r="A154" s="1">
        <v>44403</v>
      </c>
      <c r="B154">
        <v>2925.3119999999999</v>
      </c>
      <c r="C154">
        <v>266.387</v>
      </c>
      <c r="D154">
        <v>4087.0450000000001</v>
      </c>
      <c r="E154">
        <v>425.75400000000002</v>
      </c>
      <c r="F154">
        <v>172.095</v>
      </c>
      <c r="G154">
        <v>264.41300000000001</v>
      </c>
      <c r="H154">
        <v>93.698999999999998</v>
      </c>
      <c r="I154">
        <v>5010.7551880000001</v>
      </c>
      <c r="J154">
        <v>6578.6000979999999</v>
      </c>
      <c r="K154">
        <v>461.14001500000001</v>
      </c>
      <c r="L154">
        <v>15618.98047</v>
      </c>
    </row>
    <row r="155" spans="1:12" x14ac:dyDescent="0.25">
      <c r="A155" s="1">
        <v>44404</v>
      </c>
      <c r="B155">
        <v>2774.43</v>
      </c>
      <c r="C155">
        <v>264.99599999999998</v>
      </c>
      <c r="D155">
        <v>4073.2170000000001</v>
      </c>
      <c r="E155">
        <v>415.97199999999998</v>
      </c>
      <c r="F155">
        <v>173.60300000000001</v>
      </c>
      <c r="G155">
        <v>262.471</v>
      </c>
      <c r="H155">
        <v>93.6</v>
      </c>
      <c r="I155">
        <v>4983.0705820000003</v>
      </c>
      <c r="J155">
        <v>6531.919922</v>
      </c>
      <c r="K155">
        <v>458.64999399999999</v>
      </c>
      <c r="L155">
        <v>15519.12988</v>
      </c>
    </row>
    <row r="156" spans="1:12" x14ac:dyDescent="0.25">
      <c r="A156" s="1">
        <v>44405</v>
      </c>
      <c r="B156">
        <v>2840.03</v>
      </c>
      <c r="C156">
        <v>265.63400000000001</v>
      </c>
      <c r="D156">
        <v>4090.8530000000001</v>
      </c>
      <c r="E156">
        <v>422.13900000000001</v>
      </c>
      <c r="F156">
        <v>171.88399999999999</v>
      </c>
      <c r="G156">
        <v>263.48700000000002</v>
      </c>
      <c r="H156">
        <v>93.899000000000001</v>
      </c>
      <c r="I156">
        <v>4992.1275439999999</v>
      </c>
      <c r="J156">
        <v>6609.3100590000004</v>
      </c>
      <c r="K156">
        <v>461.70001200000002</v>
      </c>
      <c r="L156">
        <v>15570.360350000001</v>
      </c>
    </row>
    <row r="157" spans="1:12" x14ac:dyDescent="0.25">
      <c r="A157" s="1">
        <v>44406</v>
      </c>
      <c r="B157">
        <v>2919.7280000000001</v>
      </c>
      <c r="C157">
        <v>265.48099999999999</v>
      </c>
      <c r="D157">
        <v>4109.0370000000003</v>
      </c>
      <c r="E157">
        <v>428.11099999999999</v>
      </c>
      <c r="F157">
        <v>172.24</v>
      </c>
      <c r="G157">
        <v>263.79599999999999</v>
      </c>
      <c r="H157">
        <v>94.869</v>
      </c>
      <c r="I157">
        <v>5013.659259</v>
      </c>
      <c r="J157">
        <v>6633.7700199999999</v>
      </c>
      <c r="K157">
        <v>463.83999599999999</v>
      </c>
      <c r="L157">
        <v>15640.469730000001</v>
      </c>
    </row>
    <row r="158" spans="1:12" x14ac:dyDescent="0.25">
      <c r="A158" s="1">
        <v>44407</v>
      </c>
      <c r="B158">
        <v>2889.4630000000002</v>
      </c>
      <c r="C158">
        <v>264.303</v>
      </c>
      <c r="D158">
        <v>4068</v>
      </c>
      <c r="E158">
        <v>423.23599999999999</v>
      </c>
      <c r="F158">
        <v>170.036</v>
      </c>
      <c r="G158">
        <v>262.404</v>
      </c>
      <c r="H158">
        <v>93.988</v>
      </c>
      <c r="I158">
        <v>4985.4498059999996</v>
      </c>
      <c r="J158">
        <v>6612.7597660000001</v>
      </c>
      <c r="K158">
        <v>461.73998999999998</v>
      </c>
      <c r="L158">
        <v>15544.389649999999</v>
      </c>
    </row>
    <row r="159" spans="1:12" x14ac:dyDescent="0.25">
      <c r="A159" s="1">
        <v>44410</v>
      </c>
      <c r="B159">
        <v>2934.1480000000001</v>
      </c>
      <c r="C159">
        <v>264.45600000000002</v>
      </c>
      <c r="D159">
        <v>4103.0910000000003</v>
      </c>
      <c r="E159">
        <v>427.45800000000003</v>
      </c>
      <c r="F159">
        <v>173.857</v>
      </c>
      <c r="G159">
        <v>262.851</v>
      </c>
      <c r="H159">
        <v>94.415999999999997</v>
      </c>
      <c r="I159">
        <v>4976.5213599999997</v>
      </c>
      <c r="J159">
        <v>6675.8999020000001</v>
      </c>
      <c r="K159">
        <v>464.45001200000002</v>
      </c>
      <c r="L159">
        <v>15568.73047</v>
      </c>
    </row>
    <row r="160" spans="1:12" x14ac:dyDescent="0.25">
      <c r="A160" s="1">
        <v>44411</v>
      </c>
      <c r="B160">
        <v>2919.8490000000002</v>
      </c>
      <c r="C160">
        <v>266.27199999999999</v>
      </c>
      <c r="D160">
        <v>4134.9189999999999</v>
      </c>
      <c r="E160">
        <v>428.60500000000002</v>
      </c>
      <c r="F160">
        <v>173.94900000000001</v>
      </c>
      <c r="G160">
        <v>264.524</v>
      </c>
      <c r="H160">
        <v>95.001000000000005</v>
      </c>
      <c r="I160">
        <v>5012.8579680000003</v>
      </c>
      <c r="J160">
        <v>6723.8100590000004</v>
      </c>
      <c r="K160">
        <v>465.38000499999998</v>
      </c>
      <c r="L160">
        <v>15555.08008</v>
      </c>
    </row>
    <row r="161" spans="1:12" x14ac:dyDescent="0.25">
      <c r="A161" s="1">
        <v>44412</v>
      </c>
      <c r="B161">
        <v>2955.518</v>
      </c>
      <c r="C161">
        <v>266</v>
      </c>
      <c r="D161">
        <v>4164.817</v>
      </c>
      <c r="E161">
        <v>432.34699999999998</v>
      </c>
      <c r="F161">
        <v>172.48</v>
      </c>
      <c r="G161">
        <v>264.56400000000002</v>
      </c>
      <c r="H161">
        <v>95.43</v>
      </c>
      <c r="I161">
        <v>4989.6102979999996</v>
      </c>
      <c r="J161">
        <v>6746.2299800000001</v>
      </c>
      <c r="K161">
        <v>468.22000100000002</v>
      </c>
      <c r="L161">
        <v>15692.12988</v>
      </c>
    </row>
    <row r="162" spans="1:12" x14ac:dyDescent="0.25">
      <c r="A162" s="1">
        <v>44413</v>
      </c>
      <c r="B162">
        <v>2927.6379999999999</v>
      </c>
      <c r="C162">
        <v>267.58300000000003</v>
      </c>
      <c r="D162">
        <v>4175.6580000000004</v>
      </c>
      <c r="E162">
        <v>431.32799999999997</v>
      </c>
      <c r="F162">
        <v>173.28399999999999</v>
      </c>
      <c r="G162">
        <v>265.87099999999998</v>
      </c>
      <c r="H162">
        <v>95.543999999999997</v>
      </c>
      <c r="I162">
        <v>5025.9836809999997</v>
      </c>
      <c r="J162">
        <v>6781.1899409999996</v>
      </c>
      <c r="K162">
        <v>469.959991</v>
      </c>
      <c r="L162">
        <v>15744.66992</v>
      </c>
    </row>
    <row r="163" spans="1:12" x14ac:dyDescent="0.25">
      <c r="A163" s="1">
        <v>44414</v>
      </c>
      <c r="B163">
        <v>2933.6129999999998</v>
      </c>
      <c r="C163">
        <v>269.00700000000001</v>
      </c>
      <c r="D163">
        <v>4175.3729999999996</v>
      </c>
      <c r="E163">
        <v>431.68099999999998</v>
      </c>
      <c r="F163">
        <v>173.44300000000001</v>
      </c>
      <c r="G163">
        <v>267.14299999999997</v>
      </c>
      <c r="H163">
        <v>95.754000000000005</v>
      </c>
      <c r="I163">
        <v>5031.1719880000001</v>
      </c>
      <c r="J163">
        <v>6816.9599609999996</v>
      </c>
      <c r="K163">
        <v>469.97000100000002</v>
      </c>
      <c r="L163">
        <v>15761.450199999999</v>
      </c>
    </row>
    <row r="164" spans="1:12" x14ac:dyDescent="0.25">
      <c r="A164" s="1">
        <v>44417</v>
      </c>
      <c r="B164">
        <v>2962.0810000000001</v>
      </c>
      <c r="C164">
        <v>269.27499999999998</v>
      </c>
      <c r="D164">
        <v>4170.53</v>
      </c>
      <c r="E164">
        <v>432.81</v>
      </c>
      <c r="F164">
        <v>173.727</v>
      </c>
      <c r="G164">
        <v>267.46100000000001</v>
      </c>
      <c r="H164">
        <v>95.888000000000005</v>
      </c>
      <c r="I164">
        <v>5025.9258479999999</v>
      </c>
      <c r="J164">
        <v>6813.1801759999998</v>
      </c>
      <c r="K164">
        <v>470.67999300000002</v>
      </c>
      <c r="L164">
        <v>15745.410159999999</v>
      </c>
    </row>
    <row r="165" spans="1:12" x14ac:dyDescent="0.25">
      <c r="A165" s="1">
        <v>44418</v>
      </c>
      <c r="B165">
        <v>3014.0390000000002</v>
      </c>
      <c r="C165">
        <v>270.06200000000001</v>
      </c>
      <c r="D165">
        <v>4169.7889999999998</v>
      </c>
      <c r="E165">
        <v>435.78699999999998</v>
      </c>
      <c r="F165">
        <v>174.148</v>
      </c>
      <c r="G165">
        <v>268.36900000000003</v>
      </c>
      <c r="H165">
        <v>96.372</v>
      </c>
      <c r="I165">
        <v>5029.2232530000001</v>
      </c>
      <c r="J165">
        <v>6820.2099609999996</v>
      </c>
      <c r="K165">
        <v>472.32000699999998</v>
      </c>
      <c r="L165">
        <v>15770.70996</v>
      </c>
    </row>
    <row r="166" spans="1:12" x14ac:dyDescent="0.25">
      <c r="A166" s="1">
        <v>44419</v>
      </c>
      <c r="B166">
        <v>2999.8519999999999</v>
      </c>
      <c r="C166">
        <v>270.524</v>
      </c>
      <c r="D166">
        <v>4154.5240000000003</v>
      </c>
      <c r="E166">
        <v>434.14400000000001</v>
      </c>
      <c r="F166">
        <v>175.65899999999999</v>
      </c>
      <c r="G166">
        <v>268.65100000000001</v>
      </c>
      <c r="H166">
        <v>97.131</v>
      </c>
      <c r="I166">
        <v>5041.7356980000004</v>
      </c>
      <c r="J166">
        <v>6857.9902339999999</v>
      </c>
      <c r="K166">
        <v>474.32000699999998</v>
      </c>
      <c r="L166">
        <v>15826.089840000001</v>
      </c>
    </row>
    <row r="167" spans="1:12" x14ac:dyDescent="0.25">
      <c r="A167" s="1">
        <v>44420</v>
      </c>
      <c r="B167">
        <v>2978.442</v>
      </c>
      <c r="C167">
        <v>271.245</v>
      </c>
      <c r="D167">
        <v>4146.4260000000004</v>
      </c>
      <c r="E167">
        <v>432.26100000000002</v>
      </c>
      <c r="F167">
        <v>175.83799999999999</v>
      </c>
      <c r="G167">
        <v>269.142</v>
      </c>
      <c r="H167">
        <v>96.522000000000006</v>
      </c>
      <c r="I167">
        <v>5054.3213180000002</v>
      </c>
      <c r="J167">
        <v>6882.4702150000003</v>
      </c>
      <c r="K167">
        <v>474.83999599999999</v>
      </c>
      <c r="L167">
        <v>15937.509770000001</v>
      </c>
    </row>
    <row r="168" spans="1:12" x14ac:dyDescent="0.25">
      <c r="A168" s="1">
        <v>44421</v>
      </c>
      <c r="B168">
        <v>2932.52</v>
      </c>
      <c r="C168">
        <v>270.59699999999998</v>
      </c>
      <c r="D168">
        <v>4102.8649999999998</v>
      </c>
      <c r="E168">
        <v>426.58699999999999</v>
      </c>
      <c r="F168">
        <v>175.935</v>
      </c>
      <c r="G168">
        <v>268.154</v>
      </c>
      <c r="H168">
        <v>96.478999999999999</v>
      </c>
      <c r="I168">
        <v>5057.2162440000002</v>
      </c>
      <c r="J168">
        <v>6896.0400390000004</v>
      </c>
      <c r="K168">
        <v>475.82998700000002</v>
      </c>
      <c r="L168">
        <v>15977.440430000001</v>
      </c>
    </row>
    <row r="169" spans="1:12" x14ac:dyDescent="0.25">
      <c r="A169" s="1">
        <v>44424</v>
      </c>
      <c r="B169">
        <v>2899.3029999999999</v>
      </c>
      <c r="C169">
        <v>270.42899999999997</v>
      </c>
      <c r="D169">
        <v>4099.5609999999997</v>
      </c>
      <c r="E169">
        <v>423.85899999999998</v>
      </c>
      <c r="F169">
        <v>174.363</v>
      </c>
      <c r="G169">
        <v>267.80500000000001</v>
      </c>
      <c r="H169">
        <v>95.718999999999994</v>
      </c>
      <c r="I169">
        <v>5060.9770129999997</v>
      </c>
      <c r="J169">
        <v>6838.7700199999999</v>
      </c>
      <c r="K169">
        <v>473.45001200000002</v>
      </c>
      <c r="L169">
        <v>15925.73047</v>
      </c>
    </row>
    <row r="170" spans="1:12" x14ac:dyDescent="0.25">
      <c r="A170" s="1">
        <v>44425</v>
      </c>
      <c r="B170">
        <v>2843.1</v>
      </c>
      <c r="C170">
        <v>270.185</v>
      </c>
      <c r="D170">
        <v>4102.5349999999999</v>
      </c>
      <c r="E170">
        <v>420.96300000000002</v>
      </c>
      <c r="F170">
        <v>173.99199999999999</v>
      </c>
      <c r="G170">
        <v>267.37599999999998</v>
      </c>
      <c r="H170">
        <v>95.831999999999994</v>
      </c>
      <c r="I170">
        <v>5022.5027479999999</v>
      </c>
      <c r="J170">
        <v>6819.8398440000001</v>
      </c>
      <c r="K170">
        <v>473.77999899999998</v>
      </c>
      <c r="L170">
        <v>15921.950199999999</v>
      </c>
    </row>
    <row r="171" spans="1:12" x14ac:dyDescent="0.25">
      <c r="A171" s="1">
        <v>44426</v>
      </c>
      <c r="B171">
        <v>2870.9830000000002</v>
      </c>
      <c r="C171">
        <v>268.37299999999999</v>
      </c>
      <c r="D171">
        <v>4113.6390000000001</v>
      </c>
      <c r="E171">
        <v>423.096</v>
      </c>
      <c r="F171">
        <v>174.3</v>
      </c>
      <c r="G171">
        <v>265.95</v>
      </c>
      <c r="H171">
        <v>95.8</v>
      </c>
      <c r="I171">
        <v>4970.8567750000002</v>
      </c>
      <c r="J171">
        <v>6770.1098629999997</v>
      </c>
      <c r="K171">
        <v>474.42001299999998</v>
      </c>
      <c r="L171">
        <v>15965.969730000001</v>
      </c>
    </row>
    <row r="172" spans="1:12" x14ac:dyDescent="0.25">
      <c r="A172" s="1">
        <v>44427</v>
      </c>
      <c r="B172">
        <v>2820.1109999999999</v>
      </c>
      <c r="C172">
        <v>267.74700000000001</v>
      </c>
      <c r="D172">
        <v>4041.3539999999998</v>
      </c>
      <c r="E172">
        <v>414.33300000000003</v>
      </c>
      <c r="F172">
        <v>172.535</v>
      </c>
      <c r="G172">
        <v>264.75400000000002</v>
      </c>
      <c r="H172">
        <v>93.786000000000001</v>
      </c>
      <c r="I172">
        <v>4968.2234150000004</v>
      </c>
      <c r="J172">
        <v>6605.8901370000003</v>
      </c>
      <c r="K172">
        <v>467.23998999999998</v>
      </c>
      <c r="L172">
        <v>15765.809569999999</v>
      </c>
    </row>
    <row r="173" spans="1:12" x14ac:dyDescent="0.25">
      <c r="A173" s="1">
        <v>44428</v>
      </c>
      <c r="B173">
        <v>2773.1779999999999</v>
      </c>
      <c r="C173">
        <v>269.28399999999999</v>
      </c>
      <c r="D173">
        <v>4016.0520000000001</v>
      </c>
      <c r="E173">
        <v>410.52699999999999</v>
      </c>
      <c r="F173">
        <v>170.965</v>
      </c>
      <c r="G173">
        <v>265.81700000000001</v>
      </c>
      <c r="H173">
        <v>93.876999999999995</v>
      </c>
      <c r="I173">
        <v>5012.9699520000004</v>
      </c>
      <c r="J173">
        <v>6626.1098629999997</v>
      </c>
      <c r="K173">
        <v>468.79998799999998</v>
      </c>
      <c r="L173">
        <v>15808.04004</v>
      </c>
    </row>
    <row r="174" spans="1:12" x14ac:dyDescent="0.25">
      <c r="A174" s="1">
        <v>44431</v>
      </c>
      <c r="B174">
        <v>2803.2809999999999</v>
      </c>
      <c r="C174">
        <v>270.72699999999998</v>
      </c>
      <c r="D174">
        <v>4046.8069999999998</v>
      </c>
      <c r="E174">
        <v>414.01600000000002</v>
      </c>
      <c r="F174">
        <v>173.36</v>
      </c>
      <c r="G174">
        <v>267.33699999999999</v>
      </c>
      <c r="H174">
        <v>94.391999999999996</v>
      </c>
      <c r="I174">
        <v>5061.2555570000004</v>
      </c>
      <c r="J174">
        <v>6683.1000979999999</v>
      </c>
      <c r="K174">
        <v>471.88000499999998</v>
      </c>
      <c r="L174">
        <v>15852.79004</v>
      </c>
    </row>
    <row r="175" spans="1:12" x14ac:dyDescent="0.25">
      <c r="A175" s="1">
        <v>44432</v>
      </c>
      <c r="B175">
        <v>2897.6120000000001</v>
      </c>
      <c r="C175">
        <v>271.07400000000001</v>
      </c>
      <c r="D175">
        <v>4099.616</v>
      </c>
      <c r="E175">
        <v>424.142</v>
      </c>
      <c r="F175">
        <v>174.71799999999999</v>
      </c>
      <c r="G175">
        <v>268.38900000000001</v>
      </c>
      <c r="H175">
        <v>94.516999999999996</v>
      </c>
      <c r="I175">
        <v>5077.3058979999996</v>
      </c>
      <c r="J175">
        <v>6664.3100590000004</v>
      </c>
      <c r="K175">
        <v>471.790009</v>
      </c>
      <c r="L175">
        <v>15905.849609999999</v>
      </c>
    </row>
    <row r="176" spans="1:12" x14ac:dyDescent="0.25">
      <c r="A176" s="1">
        <v>44433</v>
      </c>
      <c r="B176">
        <v>2908.0770000000002</v>
      </c>
      <c r="C176">
        <v>271.61399999999998</v>
      </c>
      <c r="D176">
        <v>4126.0219999999999</v>
      </c>
      <c r="E176">
        <v>426.23599999999999</v>
      </c>
      <c r="F176">
        <v>174.322</v>
      </c>
      <c r="G176">
        <v>269.017</v>
      </c>
      <c r="H176">
        <v>94.863</v>
      </c>
      <c r="I176">
        <v>5091.0766519999997</v>
      </c>
      <c r="J176">
        <v>6676.4799800000001</v>
      </c>
      <c r="K176">
        <v>471.83999599999999</v>
      </c>
      <c r="L176">
        <v>15860.660159999999</v>
      </c>
    </row>
    <row r="177" spans="1:12" x14ac:dyDescent="0.25">
      <c r="A177" s="1">
        <v>44434</v>
      </c>
      <c r="B177">
        <v>2860.8029999999999</v>
      </c>
      <c r="C177">
        <v>270.19400000000002</v>
      </c>
      <c r="D177">
        <v>4110.0259999999998</v>
      </c>
      <c r="E177">
        <v>423.06299999999999</v>
      </c>
      <c r="F177">
        <v>174.251</v>
      </c>
      <c r="G177">
        <v>267.54000000000002</v>
      </c>
      <c r="H177">
        <v>94.34</v>
      </c>
      <c r="I177">
        <v>5059.0417770000004</v>
      </c>
      <c r="J177">
        <v>6666.0297849999997</v>
      </c>
      <c r="K177">
        <v>470.33999599999999</v>
      </c>
      <c r="L177">
        <v>15793.62012</v>
      </c>
    </row>
    <row r="178" spans="1:12" x14ac:dyDescent="0.25">
      <c r="A178" s="1">
        <v>44435</v>
      </c>
      <c r="B178">
        <v>2852.2950000000001</v>
      </c>
      <c r="C178">
        <v>271.49900000000002</v>
      </c>
      <c r="D178">
        <v>4138.32</v>
      </c>
      <c r="E178">
        <v>424.11099999999999</v>
      </c>
      <c r="F178">
        <v>173.31100000000001</v>
      </c>
      <c r="G178">
        <v>268.75799999999998</v>
      </c>
      <c r="H178">
        <v>94.659000000000006</v>
      </c>
      <c r="I178">
        <v>5112.7018170000001</v>
      </c>
      <c r="J178">
        <v>6681.919922</v>
      </c>
      <c r="K178">
        <v>472.33999599999999</v>
      </c>
      <c r="L178">
        <v>15851.75</v>
      </c>
    </row>
    <row r="179" spans="1:12" x14ac:dyDescent="0.25">
      <c r="A179" s="1">
        <v>44438</v>
      </c>
      <c r="B179">
        <v>2864.172</v>
      </c>
      <c r="C179">
        <v>272.32100000000003</v>
      </c>
      <c r="D179">
        <v>4180.3329999999996</v>
      </c>
      <c r="E179">
        <v>427.87700000000001</v>
      </c>
      <c r="F179">
        <v>174.892</v>
      </c>
      <c r="G179">
        <v>269.75599999999997</v>
      </c>
      <c r="H179">
        <v>94.650999999999996</v>
      </c>
      <c r="I179">
        <v>5130.2714649999998</v>
      </c>
      <c r="J179">
        <v>6687.2998049999997</v>
      </c>
      <c r="K179">
        <v>472.67999300000002</v>
      </c>
      <c r="L179">
        <v>15887.309569999999</v>
      </c>
    </row>
    <row r="180" spans="1:12" x14ac:dyDescent="0.25">
      <c r="A180" s="1">
        <v>44439</v>
      </c>
      <c r="B180">
        <v>2906.5320000000002</v>
      </c>
      <c r="C180">
        <v>271.738</v>
      </c>
      <c r="D180">
        <v>4238.8440000000001</v>
      </c>
      <c r="E180">
        <v>435.42399999999998</v>
      </c>
      <c r="F180">
        <v>175.98699999999999</v>
      </c>
      <c r="G180">
        <v>269.80399999999997</v>
      </c>
      <c r="H180">
        <v>94.257000000000005</v>
      </c>
      <c r="I180">
        <v>5122.2379229999997</v>
      </c>
      <c r="J180">
        <v>6680.1801759999998</v>
      </c>
      <c r="K180">
        <v>470.88000499999998</v>
      </c>
      <c r="L180">
        <v>15835.089840000001</v>
      </c>
    </row>
    <row r="181" spans="1:12" x14ac:dyDescent="0.25">
      <c r="A181" s="1">
        <v>44440</v>
      </c>
      <c r="B181">
        <v>2916.8980000000001</v>
      </c>
      <c r="C181">
        <v>271.49099999999999</v>
      </c>
      <c r="D181">
        <v>4218.7049999999999</v>
      </c>
      <c r="E181">
        <v>434.85500000000002</v>
      </c>
      <c r="F181">
        <v>176.923</v>
      </c>
      <c r="G181">
        <v>269.54599999999999</v>
      </c>
      <c r="H181">
        <v>94.36</v>
      </c>
      <c r="I181">
        <v>5127.9937419999997</v>
      </c>
      <c r="J181">
        <v>6758.6899409999996</v>
      </c>
      <c r="K181">
        <v>473.11999500000002</v>
      </c>
      <c r="L181">
        <v>15824.29004</v>
      </c>
    </row>
    <row r="182" spans="1:12" x14ac:dyDescent="0.25">
      <c r="A182" s="1">
        <v>44441</v>
      </c>
      <c r="B182">
        <v>2931.3270000000002</v>
      </c>
      <c r="C182">
        <v>272.02499999999998</v>
      </c>
      <c r="D182">
        <v>4195.0190000000002</v>
      </c>
      <c r="E182">
        <v>434.185</v>
      </c>
      <c r="F182">
        <v>177.13800000000001</v>
      </c>
      <c r="G182">
        <v>269.96300000000002</v>
      </c>
      <c r="H182">
        <v>94.768000000000001</v>
      </c>
      <c r="I182">
        <v>5145.2950689999998</v>
      </c>
      <c r="J182">
        <v>6763.080078</v>
      </c>
      <c r="K182">
        <v>474.60000600000001</v>
      </c>
      <c r="L182">
        <v>15840.589840000001</v>
      </c>
    </row>
    <row r="183" spans="1:12" x14ac:dyDescent="0.25">
      <c r="A183" s="1">
        <v>44442</v>
      </c>
      <c r="B183">
        <v>2908.8470000000002</v>
      </c>
      <c r="C183">
        <v>271.93299999999999</v>
      </c>
      <c r="D183">
        <v>4225.3050000000003</v>
      </c>
      <c r="E183">
        <v>435.01499999999999</v>
      </c>
      <c r="F183">
        <v>180.38399999999999</v>
      </c>
      <c r="G183">
        <v>269.94400000000002</v>
      </c>
      <c r="H183">
        <v>94.558000000000007</v>
      </c>
      <c r="I183">
        <v>5143.3713719999996</v>
      </c>
      <c r="J183">
        <v>6689.9902339999999</v>
      </c>
      <c r="K183">
        <v>471.92999300000002</v>
      </c>
      <c r="L183">
        <v>15781.200199999999</v>
      </c>
    </row>
    <row r="184" spans="1:12" x14ac:dyDescent="0.25">
      <c r="A184" s="1">
        <v>44445</v>
      </c>
      <c r="B184">
        <v>2957.2979999999998</v>
      </c>
      <c r="C184">
        <v>272.86799999999999</v>
      </c>
      <c r="D184">
        <v>4247.4610000000002</v>
      </c>
      <c r="E184">
        <v>438.53</v>
      </c>
      <c r="F184">
        <v>182.84299999999999</v>
      </c>
      <c r="G184">
        <v>271.02199999999999</v>
      </c>
      <c r="H184">
        <v>95.040999999999997</v>
      </c>
      <c r="I184">
        <v>5143.3713719999996</v>
      </c>
      <c r="J184">
        <v>6743.5</v>
      </c>
      <c r="K184">
        <v>475.19000199999999</v>
      </c>
      <c r="L184">
        <v>15932.12012</v>
      </c>
    </row>
    <row r="185" spans="1:12" x14ac:dyDescent="0.25">
      <c r="A185" s="1">
        <v>44446</v>
      </c>
      <c r="B185">
        <v>2999.665</v>
      </c>
      <c r="C185">
        <v>272.31299999999999</v>
      </c>
      <c r="D185">
        <v>4228.3919999999998</v>
      </c>
      <c r="E185">
        <v>439.54500000000002</v>
      </c>
      <c r="F185">
        <v>184.386</v>
      </c>
      <c r="G185">
        <v>270.61200000000002</v>
      </c>
      <c r="H185">
        <v>94.361999999999995</v>
      </c>
      <c r="I185">
        <v>5122.1108400000003</v>
      </c>
      <c r="J185">
        <v>6726.0698240000002</v>
      </c>
      <c r="K185">
        <v>472.86999500000002</v>
      </c>
      <c r="L185">
        <v>15843.089840000001</v>
      </c>
    </row>
    <row r="186" spans="1:12" x14ac:dyDescent="0.25">
      <c r="A186" s="1">
        <v>44447</v>
      </c>
      <c r="B186">
        <v>2994.8649999999998</v>
      </c>
      <c r="C186">
        <v>272.05</v>
      </c>
      <c r="D186">
        <v>4191.0559999999996</v>
      </c>
      <c r="E186">
        <v>436.78699999999998</v>
      </c>
      <c r="F186">
        <v>186.053</v>
      </c>
      <c r="G186">
        <v>270.178</v>
      </c>
      <c r="H186">
        <v>93.617000000000004</v>
      </c>
      <c r="I186">
        <v>5108.7186670000001</v>
      </c>
      <c r="J186">
        <v>6668.8901370000003</v>
      </c>
      <c r="K186">
        <v>467.86999500000002</v>
      </c>
      <c r="L186">
        <v>15610.280269999999</v>
      </c>
    </row>
    <row r="187" spans="1:12" x14ac:dyDescent="0.25">
      <c r="A187" s="1">
        <v>44448</v>
      </c>
      <c r="B187">
        <v>2949.8110000000001</v>
      </c>
      <c r="C187">
        <v>270.98</v>
      </c>
      <c r="D187">
        <v>4179.5609999999997</v>
      </c>
      <c r="E187">
        <v>432.053</v>
      </c>
      <c r="F187">
        <v>185.43899999999999</v>
      </c>
      <c r="G187">
        <v>268.89100000000002</v>
      </c>
      <c r="H187">
        <v>93.325999999999993</v>
      </c>
      <c r="I187">
        <v>5089.2462130000004</v>
      </c>
      <c r="J187">
        <v>6684.7202150000003</v>
      </c>
      <c r="K187">
        <v>467.57000699999998</v>
      </c>
      <c r="L187">
        <v>15623.150390000001</v>
      </c>
    </row>
    <row r="188" spans="1:12" x14ac:dyDescent="0.25">
      <c r="A188" s="1">
        <v>44449</v>
      </c>
      <c r="B188">
        <v>2982.2080000000001</v>
      </c>
      <c r="C188">
        <v>269.38499999999999</v>
      </c>
      <c r="D188">
        <v>4186.7659999999996</v>
      </c>
      <c r="E188">
        <v>434.41</v>
      </c>
      <c r="F188">
        <v>187.417</v>
      </c>
      <c r="G188">
        <v>267.67200000000003</v>
      </c>
      <c r="H188">
        <v>93.334999999999994</v>
      </c>
      <c r="I188">
        <v>5048.6187799999998</v>
      </c>
      <c r="J188">
        <v>6663.7700199999999</v>
      </c>
      <c r="K188">
        <v>466.33999599999999</v>
      </c>
      <c r="L188">
        <v>15609.809569999999</v>
      </c>
    </row>
    <row r="189" spans="1:12" x14ac:dyDescent="0.25">
      <c r="A189" s="1">
        <v>44452</v>
      </c>
      <c r="B189">
        <v>2953.413</v>
      </c>
      <c r="C189">
        <v>270.29300000000001</v>
      </c>
      <c r="D189">
        <v>4195.0339999999997</v>
      </c>
      <c r="E189">
        <v>432.851</v>
      </c>
      <c r="F189">
        <v>188.06800000000001</v>
      </c>
      <c r="G189">
        <v>268.35000000000002</v>
      </c>
      <c r="H189">
        <v>94.067999999999998</v>
      </c>
      <c r="I189">
        <v>5059.5729030000002</v>
      </c>
      <c r="J189">
        <v>6676.9301759999998</v>
      </c>
      <c r="K189">
        <v>467.69000199999999</v>
      </c>
      <c r="L189">
        <v>15701.41992</v>
      </c>
    </row>
    <row r="190" spans="1:12" x14ac:dyDescent="0.25">
      <c r="A190" s="1">
        <v>44453</v>
      </c>
      <c r="B190">
        <v>2914.2370000000001</v>
      </c>
      <c r="C190">
        <v>269.16399999999999</v>
      </c>
      <c r="D190">
        <v>4195.9830000000002</v>
      </c>
      <c r="E190">
        <v>430.637</v>
      </c>
      <c r="F190">
        <v>190.15199999999999</v>
      </c>
      <c r="G190">
        <v>267.19900000000001</v>
      </c>
      <c r="H190">
        <v>93.507999999999996</v>
      </c>
      <c r="I190">
        <v>5027.1901660000003</v>
      </c>
      <c r="J190">
        <v>6652.9702150000003</v>
      </c>
      <c r="K190">
        <v>467.64999399999999</v>
      </c>
      <c r="L190">
        <v>15722.990229999999</v>
      </c>
    </row>
    <row r="191" spans="1:12" x14ac:dyDescent="0.25">
      <c r="A191" s="1">
        <v>44454</v>
      </c>
      <c r="B191">
        <v>2875.7950000000001</v>
      </c>
      <c r="C191">
        <v>270.226</v>
      </c>
      <c r="D191">
        <v>4199.4089999999997</v>
      </c>
      <c r="E191">
        <v>428.24599999999998</v>
      </c>
      <c r="F191">
        <v>189.107</v>
      </c>
      <c r="G191">
        <v>267.95</v>
      </c>
      <c r="H191">
        <v>93.194999999999993</v>
      </c>
      <c r="I191">
        <v>5070.698308</v>
      </c>
      <c r="J191">
        <v>6583.6201170000004</v>
      </c>
      <c r="K191">
        <v>463.91000400000001</v>
      </c>
      <c r="L191">
        <v>15616</v>
      </c>
    </row>
    <row r="192" spans="1:12" x14ac:dyDescent="0.25">
      <c r="A192" s="1">
        <v>44455</v>
      </c>
      <c r="B192">
        <v>2843.9180000000001</v>
      </c>
      <c r="C192">
        <v>271.05500000000001</v>
      </c>
      <c r="D192">
        <v>4194.607</v>
      </c>
      <c r="E192">
        <v>426.29399999999998</v>
      </c>
      <c r="F192">
        <v>188.75299999999999</v>
      </c>
      <c r="G192">
        <v>268.52999999999997</v>
      </c>
      <c r="H192">
        <v>93.278000000000006</v>
      </c>
      <c r="I192">
        <v>5066.1662999999999</v>
      </c>
      <c r="J192">
        <v>6622.5898440000001</v>
      </c>
      <c r="K192">
        <v>465.95001200000002</v>
      </c>
      <c r="L192">
        <v>15651.75</v>
      </c>
    </row>
    <row r="193" spans="1:12" x14ac:dyDescent="0.25">
      <c r="A193" s="1">
        <v>44456</v>
      </c>
      <c r="B193">
        <v>2885.4059999999999</v>
      </c>
      <c r="C193">
        <v>269.40800000000002</v>
      </c>
      <c r="D193">
        <v>4183.7</v>
      </c>
      <c r="E193">
        <v>428.11500000000001</v>
      </c>
      <c r="F193">
        <v>189.51</v>
      </c>
      <c r="G193">
        <v>267.226</v>
      </c>
      <c r="H193">
        <v>92.481999999999999</v>
      </c>
      <c r="I193">
        <v>5026.7546249999996</v>
      </c>
      <c r="J193">
        <v>6570.1899409999996</v>
      </c>
      <c r="K193">
        <v>461.83999599999999</v>
      </c>
      <c r="L193">
        <v>15490.16992</v>
      </c>
    </row>
    <row r="194" spans="1:12" x14ac:dyDescent="0.25">
      <c r="A194" s="1">
        <v>44459</v>
      </c>
      <c r="B194">
        <v>2839.087</v>
      </c>
      <c r="C194">
        <v>265.29399999999998</v>
      </c>
      <c r="D194">
        <v>4143.585</v>
      </c>
      <c r="E194">
        <v>421.47899999999998</v>
      </c>
      <c r="F194">
        <v>190.49199999999999</v>
      </c>
      <c r="G194">
        <v>263.137</v>
      </c>
      <c r="H194">
        <v>91.322999999999993</v>
      </c>
      <c r="I194">
        <v>4937.6528920000001</v>
      </c>
      <c r="J194">
        <v>6455.8100590000004</v>
      </c>
      <c r="K194">
        <v>454.11999500000002</v>
      </c>
      <c r="L194">
        <v>15132.059569999999</v>
      </c>
    </row>
    <row r="195" spans="1:12" x14ac:dyDescent="0.25">
      <c r="A195" s="1">
        <v>44460</v>
      </c>
      <c r="B195">
        <v>2838.8560000000002</v>
      </c>
      <c r="C195">
        <v>265.60700000000003</v>
      </c>
      <c r="D195">
        <v>4160.3</v>
      </c>
      <c r="E195">
        <v>422.56099999999998</v>
      </c>
      <c r="F195">
        <v>187.845</v>
      </c>
      <c r="G195">
        <v>263.49200000000002</v>
      </c>
      <c r="H195">
        <v>92.14</v>
      </c>
      <c r="I195">
        <v>4937.000728</v>
      </c>
      <c r="J195">
        <v>6552.7299800000001</v>
      </c>
      <c r="K195">
        <v>458.67999300000002</v>
      </c>
      <c r="L195">
        <v>15348.530269999999</v>
      </c>
    </row>
    <row r="196" spans="1:12" x14ac:dyDescent="0.25">
      <c r="A196" s="1">
        <v>44461</v>
      </c>
      <c r="B196">
        <v>2834.741</v>
      </c>
      <c r="C196">
        <v>267.55200000000002</v>
      </c>
      <c r="D196">
        <v>4156.4080000000004</v>
      </c>
      <c r="E196">
        <v>422.70100000000002</v>
      </c>
      <c r="F196">
        <v>185.19</v>
      </c>
      <c r="G196">
        <v>265.20100000000002</v>
      </c>
      <c r="H196">
        <v>93.382999999999996</v>
      </c>
      <c r="I196">
        <v>4987.3288750000002</v>
      </c>
      <c r="J196">
        <v>6637</v>
      </c>
      <c r="K196">
        <v>463.20001200000002</v>
      </c>
      <c r="L196">
        <v>15506.740229999999</v>
      </c>
    </row>
    <row r="197" spans="1:12" x14ac:dyDescent="0.25">
      <c r="A197" s="1">
        <v>44462</v>
      </c>
      <c r="B197">
        <v>2855.607</v>
      </c>
      <c r="C197">
        <v>269.97399999999999</v>
      </c>
      <c r="D197">
        <v>4176.3710000000001</v>
      </c>
      <c r="E197">
        <v>425.37799999999999</v>
      </c>
      <c r="F197">
        <v>184.09</v>
      </c>
      <c r="G197">
        <v>267.517</v>
      </c>
      <c r="H197">
        <v>93.864999999999995</v>
      </c>
      <c r="I197">
        <v>5048.9785250000004</v>
      </c>
      <c r="J197">
        <v>6701.9799800000001</v>
      </c>
      <c r="K197">
        <v>467.5</v>
      </c>
      <c r="L197">
        <v>15643.969730000001</v>
      </c>
    </row>
    <row r="198" spans="1:12" x14ac:dyDescent="0.25">
      <c r="A198" s="1">
        <v>44463</v>
      </c>
      <c r="B198">
        <v>2837.5160000000001</v>
      </c>
      <c r="C198">
        <v>270.55200000000002</v>
      </c>
      <c r="D198">
        <v>4182.63</v>
      </c>
      <c r="E198">
        <v>424.19799999999998</v>
      </c>
      <c r="F198">
        <v>187.80199999999999</v>
      </c>
      <c r="G198">
        <v>267.93400000000003</v>
      </c>
      <c r="H198">
        <v>93.361999999999995</v>
      </c>
      <c r="I198">
        <v>5052.0597989999997</v>
      </c>
      <c r="J198">
        <v>6638.4599609999996</v>
      </c>
      <c r="K198">
        <v>463.290009</v>
      </c>
      <c r="L198">
        <v>15531.75</v>
      </c>
    </row>
    <row r="199" spans="1:12" x14ac:dyDescent="0.25">
      <c r="A199" s="1">
        <v>44466</v>
      </c>
      <c r="B199">
        <v>2844.9389999999999</v>
      </c>
      <c r="C199">
        <v>270.15699999999998</v>
      </c>
      <c r="D199">
        <v>4194.7060000000001</v>
      </c>
      <c r="E199">
        <v>425.42599999999999</v>
      </c>
      <c r="F199">
        <v>187.47</v>
      </c>
      <c r="G199">
        <v>267.68</v>
      </c>
      <c r="H199">
        <v>93.869</v>
      </c>
      <c r="I199">
        <v>5043.1874440000001</v>
      </c>
      <c r="J199">
        <v>6650.9101559999999</v>
      </c>
      <c r="K199">
        <v>462.42001299999998</v>
      </c>
      <c r="L199">
        <v>15573.87988</v>
      </c>
    </row>
    <row r="200" spans="1:12" x14ac:dyDescent="0.25">
      <c r="A200" s="1">
        <v>44467</v>
      </c>
      <c r="B200">
        <v>2870.9670000000001</v>
      </c>
      <c r="C200">
        <v>265.28300000000002</v>
      </c>
      <c r="D200">
        <v>4150.183</v>
      </c>
      <c r="E200">
        <v>424.233</v>
      </c>
      <c r="F200">
        <v>186.63499999999999</v>
      </c>
      <c r="G200">
        <v>263.33199999999999</v>
      </c>
      <c r="H200">
        <v>92.509</v>
      </c>
      <c r="I200">
        <v>4936.9689680000001</v>
      </c>
      <c r="J200">
        <v>6506.5</v>
      </c>
      <c r="K200">
        <v>452.35000600000001</v>
      </c>
      <c r="L200">
        <v>15248.559569999999</v>
      </c>
    </row>
    <row r="201" spans="1:12" x14ac:dyDescent="0.25">
      <c r="A201" s="1">
        <v>44468</v>
      </c>
      <c r="B201">
        <v>2856.0540000000001</v>
      </c>
      <c r="C201">
        <v>266.26</v>
      </c>
      <c r="D201">
        <v>4138.7969999999996</v>
      </c>
      <c r="E201">
        <v>423.10300000000001</v>
      </c>
      <c r="F201">
        <v>182.69399999999999</v>
      </c>
      <c r="G201">
        <v>264.10199999999998</v>
      </c>
      <c r="H201">
        <v>93.340999999999994</v>
      </c>
      <c r="I201">
        <v>4940.3543120000004</v>
      </c>
      <c r="J201">
        <v>6560.7998049999997</v>
      </c>
      <c r="K201">
        <v>455.02999899999998</v>
      </c>
      <c r="L201">
        <v>15365.26953</v>
      </c>
    </row>
    <row r="202" spans="1:12" x14ac:dyDescent="0.25">
      <c r="A202" s="1">
        <v>44469</v>
      </c>
      <c r="B202">
        <v>2877.395</v>
      </c>
      <c r="C202">
        <v>264.90600000000001</v>
      </c>
      <c r="D202">
        <v>4154.7330000000002</v>
      </c>
      <c r="E202">
        <v>424.66800000000001</v>
      </c>
      <c r="F202">
        <v>182.94300000000001</v>
      </c>
      <c r="G202">
        <v>263.03500000000003</v>
      </c>
      <c r="H202">
        <v>93.751999999999995</v>
      </c>
      <c r="I202">
        <v>4886.0334030000004</v>
      </c>
      <c r="J202">
        <v>6520.0097660000001</v>
      </c>
      <c r="K202">
        <v>454.80999800000001</v>
      </c>
      <c r="L202">
        <v>15260.690430000001</v>
      </c>
    </row>
    <row r="203" spans="1:12" x14ac:dyDescent="0.25">
      <c r="A203" s="1">
        <v>44470</v>
      </c>
      <c r="B203">
        <v>2871.5610000000001</v>
      </c>
      <c r="C203">
        <v>266.17500000000001</v>
      </c>
      <c r="D203">
        <v>4123.8999999999996</v>
      </c>
      <c r="E203">
        <v>422.21100000000001</v>
      </c>
      <c r="F203">
        <v>179.828</v>
      </c>
      <c r="G203">
        <v>263.96199999999999</v>
      </c>
      <c r="H203">
        <v>93.278000000000006</v>
      </c>
      <c r="I203">
        <v>4943.5307780000003</v>
      </c>
      <c r="J203">
        <v>6517.6899409999996</v>
      </c>
      <c r="K203">
        <v>452.89999399999999</v>
      </c>
      <c r="L203">
        <v>15156.440430000001</v>
      </c>
    </row>
    <row r="204" spans="1:12" x14ac:dyDescent="0.25">
      <c r="A204" s="1">
        <v>44473</v>
      </c>
      <c r="B204">
        <v>2827.8040000000001</v>
      </c>
      <c r="C204">
        <v>262.91500000000002</v>
      </c>
      <c r="D204">
        <v>4108.482</v>
      </c>
      <c r="E204">
        <v>417.77100000000002</v>
      </c>
      <c r="F204">
        <v>178.24799999999999</v>
      </c>
      <c r="G204">
        <v>260.78300000000002</v>
      </c>
      <c r="H204">
        <v>93.338999999999999</v>
      </c>
      <c r="I204">
        <v>4877.2585069999996</v>
      </c>
      <c r="J204">
        <v>6477.6601559999999</v>
      </c>
      <c r="K204">
        <v>450.76998900000001</v>
      </c>
      <c r="L204">
        <v>15036.54981</v>
      </c>
    </row>
    <row r="205" spans="1:12" x14ac:dyDescent="0.25">
      <c r="A205" s="1">
        <v>44474</v>
      </c>
      <c r="B205">
        <v>2837.5540000000001</v>
      </c>
      <c r="C205">
        <v>265.67099999999999</v>
      </c>
      <c r="D205">
        <v>4117.2839999999997</v>
      </c>
      <c r="E205">
        <v>418.92099999999999</v>
      </c>
      <c r="F205">
        <v>175.23500000000001</v>
      </c>
      <c r="G205">
        <v>263.27699999999999</v>
      </c>
      <c r="H205">
        <v>94.62</v>
      </c>
      <c r="I205">
        <v>4925.7721419999998</v>
      </c>
      <c r="J205">
        <v>6576.2797849999997</v>
      </c>
      <c r="K205">
        <v>456.02999899999998</v>
      </c>
      <c r="L205">
        <v>15194.490229999999</v>
      </c>
    </row>
    <row r="206" spans="1:12" x14ac:dyDescent="0.25">
      <c r="A206" s="1">
        <v>44475</v>
      </c>
      <c r="B206">
        <v>2840.8380000000002</v>
      </c>
      <c r="C206">
        <v>266.81200000000001</v>
      </c>
      <c r="D206">
        <v>4099.7520000000004</v>
      </c>
      <c r="E206">
        <v>417.56200000000001</v>
      </c>
      <c r="F206">
        <v>175.749</v>
      </c>
      <c r="G206">
        <v>264.17399999999998</v>
      </c>
      <c r="H206">
        <v>93.569000000000003</v>
      </c>
      <c r="I206">
        <v>4942.9295069999998</v>
      </c>
      <c r="J206">
        <v>6493.1201170000004</v>
      </c>
      <c r="K206">
        <v>451.32998700000002</v>
      </c>
      <c r="L206">
        <v>14973.33008</v>
      </c>
    </row>
    <row r="207" spans="1:12" x14ac:dyDescent="0.25">
      <c r="A207" s="1">
        <v>44476</v>
      </c>
      <c r="B207">
        <v>2900.4520000000002</v>
      </c>
      <c r="C207">
        <v>269.101</v>
      </c>
      <c r="D207">
        <v>4146.5780000000004</v>
      </c>
      <c r="E207">
        <v>425.79500000000002</v>
      </c>
      <c r="F207">
        <v>175.053</v>
      </c>
      <c r="G207">
        <v>266.78500000000003</v>
      </c>
      <c r="H207">
        <v>94.864000000000004</v>
      </c>
      <c r="I207">
        <v>4989.7433389999997</v>
      </c>
      <c r="J207">
        <v>6600.1899409999996</v>
      </c>
      <c r="K207">
        <v>458.57000699999998</v>
      </c>
      <c r="L207">
        <v>15250.860350000001</v>
      </c>
    </row>
    <row r="208" spans="1:12" x14ac:dyDescent="0.25">
      <c r="A208" s="1">
        <v>44477</v>
      </c>
      <c r="B208">
        <v>2922.8980000000001</v>
      </c>
      <c r="C208">
        <v>268.53800000000001</v>
      </c>
      <c r="D208">
        <v>4141.308</v>
      </c>
      <c r="E208">
        <v>426.57499999999999</v>
      </c>
      <c r="F208">
        <v>176.042</v>
      </c>
      <c r="G208">
        <v>266.351</v>
      </c>
      <c r="H208">
        <v>95.15</v>
      </c>
      <c r="I208">
        <v>4975.8127979999999</v>
      </c>
      <c r="J208">
        <v>6559.9902339999999</v>
      </c>
      <c r="K208">
        <v>457.290009</v>
      </c>
      <c r="L208">
        <v>15206.12988</v>
      </c>
    </row>
    <row r="209" spans="1:12" x14ac:dyDescent="0.25">
      <c r="A209" s="1">
        <v>44480</v>
      </c>
      <c r="B209">
        <v>2957.7510000000002</v>
      </c>
      <c r="C209">
        <v>267.49900000000002</v>
      </c>
      <c r="D209">
        <v>4144.2950000000001</v>
      </c>
      <c r="E209">
        <v>429.553</v>
      </c>
      <c r="F209">
        <v>177.30600000000001</v>
      </c>
      <c r="G209">
        <v>265.66300000000001</v>
      </c>
      <c r="H209">
        <v>95.852000000000004</v>
      </c>
      <c r="I209">
        <v>4942.4399329999997</v>
      </c>
      <c r="J209">
        <v>6570.5400390000004</v>
      </c>
      <c r="K209">
        <v>457.52999899999998</v>
      </c>
      <c r="L209">
        <v>15199.139649999999</v>
      </c>
    </row>
    <row r="210" spans="1:12" x14ac:dyDescent="0.25">
      <c r="A210" s="1">
        <v>44481</v>
      </c>
      <c r="B210">
        <v>2917.4029999999998</v>
      </c>
      <c r="C210">
        <v>267.43700000000001</v>
      </c>
      <c r="D210">
        <v>4127.7749999999996</v>
      </c>
      <c r="E210">
        <v>426.33800000000002</v>
      </c>
      <c r="F210">
        <v>176.07499999999999</v>
      </c>
      <c r="G210">
        <v>265.37099999999998</v>
      </c>
      <c r="H210">
        <v>95.653000000000006</v>
      </c>
      <c r="I210">
        <v>4938.9408160000003</v>
      </c>
      <c r="J210">
        <v>6548.1098629999997</v>
      </c>
      <c r="K210">
        <v>457.209991</v>
      </c>
      <c r="L210">
        <v>15146.87012</v>
      </c>
    </row>
    <row r="211" spans="1:12" x14ac:dyDescent="0.25">
      <c r="A211" s="1">
        <v>44482</v>
      </c>
      <c r="B211">
        <v>2939.4589999999998</v>
      </c>
      <c r="C211">
        <v>268.10899999999998</v>
      </c>
      <c r="D211">
        <v>4137.5200000000004</v>
      </c>
      <c r="E211">
        <v>427.63799999999998</v>
      </c>
      <c r="F211">
        <v>175.316</v>
      </c>
      <c r="G211">
        <v>266.05399999999997</v>
      </c>
      <c r="H211">
        <v>95.77</v>
      </c>
      <c r="I211">
        <v>4958.900224</v>
      </c>
      <c r="J211">
        <v>6597.3798829999996</v>
      </c>
      <c r="K211">
        <v>460.39001500000001</v>
      </c>
      <c r="L211">
        <v>15249.37988</v>
      </c>
    </row>
    <row r="212" spans="1:12" x14ac:dyDescent="0.25">
      <c r="A212" s="1">
        <v>44483</v>
      </c>
      <c r="B212">
        <v>2931.9569999999999</v>
      </c>
      <c r="C212">
        <v>271.77800000000002</v>
      </c>
      <c r="D212">
        <v>4168.68</v>
      </c>
      <c r="E212">
        <v>429.267</v>
      </c>
      <c r="F212">
        <v>175.929</v>
      </c>
      <c r="G212">
        <v>269.38200000000001</v>
      </c>
      <c r="H212">
        <v>96.85</v>
      </c>
      <c r="I212">
        <v>5041.7191240000002</v>
      </c>
      <c r="J212">
        <v>6685.2099609999996</v>
      </c>
      <c r="K212">
        <v>465.92001299999998</v>
      </c>
      <c r="L212">
        <v>15462.719730000001</v>
      </c>
    </row>
    <row r="213" spans="1:12" x14ac:dyDescent="0.25">
      <c r="A213" s="1">
        <v>44484</v>
      </c>
      <c r="B213">
        <v>2959.7</v>
      </c>
      <c r="C213">
        <v>273.59199999999998</v>
      </c>
      <c r="D213">
        <v>4218.0460000000003</v>
      </c>
      <c r="E213">
        <v>434.43</v>
      </c>
      <c r="F213">
        <v>178.36500000000001</v>
      </c>
      <c r="G213">
        <v>271.35000000000002</v>
      </c>
      <c r="H213">
        <v>97.658000000000001</v>
      </c>
      <c r="I213">
        <v>5072.8224319999999</v>
      </c>
      <c r="J213">
        <v>6727.5200199999999</v>
      </c>
      <c r="K213">
        <v>469.39001500000001</v>
      </c>
      <c r="L213">
        <v>15587.360350000001</v>
      </c>
    </row>
    <row r="214" spans="1:12" x14ac:dyDescent="0.25">
      <c r="A214" s="1">
        <v>44487</v>
      </c>
      <c r="B214">
        <v>2962.857</v>
      </c>
      <c r="C214">
        <v>274.08600000000001</v>
      </c>
      <c r="D214">
        <v>4203.9269999999997</v>
      </c>
      <c r="E214">
        <v>434.358</v>
      </c>
      <c r="F214">
        <v>177.76300000000001</v>
      </c>
      <c r="G214">
        <v>271.77699999999999</v>
      </c>
      <c r="H214">
        <v>96.936999999999998</v>
      </c>
      <c r="I214">
        <v>5090.846063</v>
      </c>
      <c r="J214">
        <v>6673.1000979999999</v>
      </c>
      <c r="K214">
        <v>467.040009</v>
      </c>
      <c r="L214">
        <v>15474.469730000001</v>
      </c>
    </row>
    <row r="215" spans="1:12" x14ac:dyDescent="0.25">
      <c r="A215" s="1">
        <v>44488</v>
      </c>
      <c r="B215">
        <v>2999.0169999999998</v>
      </c>
      <c r="C215">
        <v>275.01900000000001</v>
      </c>
      <c r="D215">
        <v>4208.2169999999996</v>
      </c>
      <c r="E215">
        <v>436.649</v>
      </c>
      <c r="F215">
        <v>177.74</v>
      </c>
      <c r="G215">
        <v>272.76299999999998</v>
      </c>
      <c r="H215">
        <v>97.337000000000003</v>
      </c>
      <c r="I215">
        <v>5126.3470120000002</v>
      </c>
      <c r="J215">
        <v>6669.8500979999999</v>
      </c>
      <c r="K215">
        <v>468.57998700000002</v>
      </c>
      <c r="L215">
        <v>15515.83008</v>
      </c>
    </row>
    <row r="216" spans="1:12" x14ac:dyDescent="0.25">
      <c r="A216" s="1">
        <v>44489</v>
      </c>
      <c r="B216">
        <v>3022.2930000000001</v>
      </c>
      <c r="C216">
        <v>275.95699999999999</v>
      </c>
      <c r="D216">
        <v>4210.3739999999998</v>
      </c>
      <c r="E216">
        <v>438.75</v>
      </c>
      <c r="F216">
        <v>177.77</v>
      </c>
      <c r="G216">
        <v>273.738</v>
      </c>
      <c r="H216">
        <v>97.516999999999996</v>
      </c>
      <c r="I216">
        <v>5146.2541469999996</v>
      </c>
      <c r="J216">
        <v>6705.6098629999997</v>
      </c>
      <c r="K216">
        <v>470.07000699999998</v>
      </c>
      <c r="L216">
        <v>15522.91992</v>
      </c>
    </row>
    <row r="217" spans="1:12" x14ac:dyDescent="0.25">
      <c r="A217" s="1">
        <v>44490</v>
      </c>
      <c r="B217">
        <v>3016.576</v>
      </c>
      <c r="C217">
        <v>276.39800000000002</v>
      </c>
      <c r="D217">
        <v>4177.6379999999999</v>
      </c>
      <c r="E217">
        <v>436.065</v>
      </c>
      <c r="F217">
        <v>175.976</v>
      </c>
      <c r="G217">
        <v>273.92500000000001</v>
      </c>
      <c r="H217">
        <v>97.120999999999995</v>
      </c>
      <c r="I217">
        <v>5163.8839660000003</v>
      </c>
      <c r="J217">
        <v>6686.169922</v>
      </c>
      <c r="K217">
        <v>469.709991</v>
      </c>
      <c r="L217">
        <v>15472.559569999999</v>
      </c>
    </row>
    <row r="218" spans="1:12" x14ac:dyDescent="0.25">
      <c r="A218" s="1">
        <v>44491</v>
      </c>
      <c r="B218">
        <v>3028.1559999999999</v>
      </c>
      <c r="C218">
        <v>276.28399999999999</v>
      </c>
      <c r="D218">
        <v>4168.8019999999997</v>
      </c>
      <c r="E218">
        <v>436.09300000000002</v>
      </c>
      <c r="F218">
        <v>176.61500000000001</v>
      </c>
      <c r="G218">
        <v>273.827</v>
      </c>
      <c r="H218">
        <v>96.974999999999994</v>
      </c>
      <c r="I218">
        <v>5154.4765989999996</v>
      </c>
      <c r="J218">
        <v>6733.6899409999996</v>
      </c>
      <c r="K218">
        <v>471.88000499999998</v>
      </c>
      <c r="L218">
        <v>15542.98047</v>
      </c>
    </row>
    <row r="219" spans="1:12" x14ac:dyDescent="0.25">
      <c r="A219" s="1">
        <v>44494</v>
      </c>
      <c r="B219">
        <v>3047.5140000000001</v>
      </c>
      <c r="C219">
        <v>277.84800000000001</v>
      </c>
      <c r="D219">
        <v>4200.3209999999999</v>
      </c>
      <c r="E219">
        <v>438.745</v>
      </c>
      <c r="F219">
        <v>176.41</v>
      </c>
      <c r="G219">
        <v>275.39100000000002</v>
      </c>
      <c r="H219">
        <v>97.486000000000004</v>
      </c>
      <c r="I219">
        <v>5180.1426000000001</v>
      </c>
      <c r="J219">
        <v>6712.8701170000004</v>
      </c>
      <c r="K219">
        <v>472.209991</v>
      </c>
      <c r="L219">
        <v>15599.23047</v>
      </c>
    </row>
    <row r="220" spans="1:12" x14ac:dyDescent="0.25">
      <c r="A220" s="1">
        <v>44495</v>
      </c>
      <c r="B220">
        <v>3023.357</v>
      </c>
      <c r="C220">
        <v>278.96899999999999</v>
      </c>
      <c r="D220">
        <v>4232.3739999999998</v>
      </c>
      <c r="E220">
        <v>439.05700000000002</v>
      </c>
      <c r="F220">
        <v>177.857</v>
      </c>
      <c r="G220">
        <v>276.39400000000001</v>
      </c>
      <c r="H220">
        <v>98.507000000000005</v>
      </c>
      <c r="I220">
        <v>5183.2990179999997</v>
      </c>
      <c r="J220">
        <v>6766.5097660000001</v>
      </c>
      <c r="K220">
        <v>475.73998999999998</v>
      </c>
      <c r="L220">
        <v>15757.059569999999</v>
      </c>
    </row>
    <row r="221" spans="1:12" x14ac:dyDescent="0.25">
      <c r="A221" s="1">
        <v>44496</v>
      </c>
      <c r="B221">
        <v>2975.2</v>
      </c>
      <c r="C221">
        <v>277.56599999999997</v>
      </c>
      <c r="D221">
        <v>4208.3239999999996</v>
      </c>
      <c r="E221">
        <v>434.51900000000001</v>
      </c>
      <c r="F221">
        <v>178.42</v>
      </c>
      <c r="G221">
        <v>274.83100000000002</v>
      </c>
      <c r="H221">
        <v>97.65</v>
      </c>
      <c r="I221">
        <v>5144.8722109999999</v>
      </c>
      <c r="J221">
        <v>6753.5200199999999</v>
      </c>
      <c r="K221">
        <v>474.040009</v>
      </c>
      <c r="L221">
        <v>15705.809569999999</v>
      </c>
    </row>
    <row r="222" spans="1:12" x14ac:dyDescent="0.25">
      <c r="A222" s="1">
        <v>44497</v>
      </c>
      <c r="B222">
        <v>2937.3939999999998</v>
      </c>
      <c r="C222">
        <v>278.048</v>
      </c>
      <c r="D222">
        <v>4151.8999999999996</v>
      </c>
      <c r="E222">
        <v>429.23</v>
      </c>
      <c r="F222">
        <v>176.233</v>
      </c>
      <c r="G222">
        <v>274.86</v>
      </c>
      <c r="H222">
        <v>97.536000000000001</v>
      </c>
      <c r="I222">
        <v>5200.9105680000002</v>
      </c>
      <c r="J222">
        <v>6804.2202150000003</v>
      </c>
      <c r="K222">
        <v>475.16000400000001</v>
      </c>
      <c r="L222">
        <v>15696.33008</v>
      </c>
    </row>
    <row r="223" spans="1:12" x14ac:dyDescent="0.25">
      <c r="A223" s="1">
        <v>44498</v>
      </c>
      <c r="B223">
        <v>2960.877</v>
      </c>
      <c r="C223">
        <v>280.13</v>
      </c>
      <c r="D223">
        <v>4152.3580000000002</v>
      </c>
      <c r="E223">
        <v>429.24799999999999</v>
      </c>
      <c r="F223">
        <v>177.03399999999999</v>
      </c>
      <c r="G223">
        <v>276.68200000000002</v>
      </c>
      <c r="H223">
        <v>97.584999999999994</v>
      </c>
      <c r="I223">
        <v>5208.7590499999997</v>
      </c>
      <c r="J223">
        <v>6830.3398440000001</v>
      </c>
      <c r="K223">
        <v>475.51001000000002</v>
      </c>
      <c r="L223">
        <v>15688.76953</v>
      </c>
    </row>
    <row r="224" spans="1:12" x14ac:dyDescent="0.25">
      <c r="A224" s="1">
        <v>44501</v>
      </c>
      <c r="B224">
        <v>2942.5169999999998</v>
      </c>
      <c r="C224">
        <v>281.08800000000002</v>
      </c>
      <c r="D224">
        <v>4154.4459999999999</v>
      </c>
      <c r="E224">
        <v>428.50700000000001</v>
      </c>
      <c r="F224">
        <v>180.42400000000001</v>
      </c>
      <c r="G224">
        <v>277.464</v>
      </c>
      <c r="H224">
        <v>97.911000000000001</v>
      </c>
      <c r="I224">
        <v>5231.8513329999996</v>
      </c>
      <c r="J224">
        <v>6893.2900390000004</v>
      </c>
      <c r="K224">
        <v>478.86999500000002</v>
      </c>
      <c r="L224">
        <v>15806.29004</v>
      </c>
    </row>
    <row r="225" spans="1:12" x14ac:dyDescent="0.25">
      <c r="A225" s="1">
        <v>44502</v>
      </c>
      <c r="B225">
        <v>2919.9920000000002</v>
      </c>
      <c r="C225">
        <v>281.79599999999999</v>
      </c>
      <c r="D225">
        <v>4175.9449999999997</v>
      </c>
      <c r="E225">
        <v>428.69900000000001</v>
      </c>
      <c r="F225">
        <v>180.18899999999999</v>
      </c>
      <c r="G225">
        <v>278.09699999999998</v>
      </c>
      <c r="H225">
        <v>97.427999999999997</v>
      </c>
      <c r="I225">
        <v>5247.5570040000002</v>
      </c>
      <c r="J225">
        <v>6927.0297849999997</v>
      </c>
      <c r="K225">
        <v>479.52999899999998</v>
      </c>
      <c r="L225">
        <v>15954.450199999999</v>
      </c>
    </row>
    <row r="226" spans="1:12" x14ac:dyDescent="0.25">
      <c r="A226" s="1">
        <v>44503</v>
      </c>
      <c r="B226">
        <v>2918.0740000000001</v>
      </c>
      <c r="C226">
        <v>283.15699999999998</v>
      </c>
      <c r="D226">
        <v>4163.2830000000004</v>
      </c>
      <c r="E226">
        <v>428.02499999999998</v>
      </c>
      <c r="F226">
        <v>179.67699999999999</v>
      </c>
      <c r="G226">
        <v>279.23700000000002</v>
      </c>
      <c r="H226">
        <v>97.35</v>
      </c>
      <c r="I226">
        <v>5286.1621910000003</v>
      </c>
      <c r="J226">
        <v>6950.6499020000001</v>
      </c>
      <c r="K226">
        <v>481.22000100000002</v>
      </c>
      <c r="L226">
        <v>15959.98047</v>
      </c>
    </row>
    <row r="227" spans="1:12" x14ac:dyDescent="0.25">
      <c r="A227" s="1">
        <v>44504</v>
      </c>
      <c r="B227">
        <v>2954.587</v>
      </c>
      <c r="C227">
        <v>285.19900000000001</v>
      </c>
      <c r="D227">
        <v>4189.1750000000002</v>
      </c>
      <c r="E227">
        <v>431.50900000000001</v>
      </c>
      <c r="F227">
        <v>183.09</v>
      </c>
      <c r="G227">
        <v>281.28100000000001</v>
      </c>
      <c r="H227">
        <v>96.900999999999996</v>
      </c>
      <c r="I227">
        <v>5303.3541889999997</v>
      </c>
      <c r="J227">
        <v>6987.7900390000004</v>
      </c>
      <c r="K227">
        <v>483.209991</v>
      </c>
      <c r="L227">
        <v>16029.650390000001</v>
      </c>
    </row>
    <row r="228" spans="1:12" x14ac:dyDescent="0.25">
      <c r="A228" s="1">
        <v>44505</v>
      </c>
      <c r="B228">
        <v>2908.29</v>
      </c>
      <c r="C228">
        <v>285.65100000000001</v>
      </c>
      <c r="D228">
        <v>4204.3360000000002</v>
      </c>
      <c r="E228">
        <v>429.68299999999999</v>
      </c>
      <c r="F228">
        <v>182.066</v>
      </c>
      <c r="G228">
        <v>281.54000000000002</v>
      </c>
      <c r="H228">
        <v>97.128</v>
      </c>
      <c r="I228">
        <v>5324.6630949999999</v>
      </c>
      <c r="J228">
        <v>7040.7900390000004</v>
      </c>
      <c r="K228">
        <v>483.44000199999999</v>
      </c>
      <c r="L228">
        <v>16054.360350000001</v>
      </c>
    </row>
    <row r="229" spans="1:12" x14ac:dyDescent="0.25">
      <c r="A229" s="1">
        <v>44508</v>
      </c>
      <c r="B229">
        <v>2897.4940000000001</v>
      </c>
      <c r="C229">
        <v>285.274</v>
      </c>
      <c r="D229">
        <v>4223.1210000000001</v>
      </c>
      <c r="E229">
        <v>430.01600000000002</v>
      </c>
      <c r="F229">
        <v>181.292</v>
      </c>
      <c r="G229">
        <v>281.23599999999999</v>
      </c>
      <c r="H229">
        <v>97.290999999999997</v>
      </c>
      <c r="I229">
        <v>5332.7256289999996</v>
      </c>
      <c r="J229">
        <v>7047.4799800000001</v>
      </c>
      <c r="K229">
        <v>483.60998499999999</v>
      </c>
      <c r="L229">
        <v>16046.51953</v>
      </c>
    </row>
    <row r="230" spans="1:12" x14ac:dyDescent="0.25">
      <c r="A230" s="1">
        <v>44509</v>
      </c>
      <c r="B230">
        <v>2901.89</v>
      </c>
      <c r="C230">
        <v>284.51799999999997</v>
      </c>
      <c r="D230">
        <v>4244.5309999999999</v>
      </c>
      <c r="E230">
        <v>431.584</v>
      </c>
      <c r="F230">
        <v>180.40700000000001</v>
      </c>
      <c r="G230">
        <v>280.69099999999997</v>
      </c>
      <c r="H230">
        <v>96.900999999999996</v>
      </c>
      <c r="I230">
        <v>5316.58</v>
      </c>
      <c r="J230">
        <v>7043.2700199999999</v>
      </c>
      <c r="K230">
        <v>482.709991</v>
      </c>
      <c r="L230">
        <v>16040.469730000001</v>
      </c>
    </row>
    <row r="231" spans="1:12" x14ac:dyDescent="0.25">
      <c r="A231" s="1">
        <v>44510</v>
      </c>
      <c r="B231">
        <v>2932.9960000000001</v>
      </c>
      <c r="C231">
        <v>283.82299999999998</v>
      </c>
      <c r="D231">
        <v>4249.2640000000001</v>
      </c>
      <c r="E231">
        <v>434.54599999999999</v>
      </c>
      <c r="F231">
        <v>179.04599999999999</v>
      </c>
      <c r="G231">
        <v>280.303</v>
      </c>
      <c r="H231">
        <v>97.795000000000002</v>
      </c>
      <c r="I231">
        <v>5263.8595489999998</v>
      </c>
      <c r="J231">
        <v>7045.1601559999999</v>
      </c>
      <c r="K231">
        <v>483.76001000000002</v>
      </c>
      <c r="L231">
        <v>16067.83008</v>
      </c>
    </row>
    <row r="232" spans="1:12" x14ac:dyDescent="0.25">
      <c r="A232" s="1">
        <v>44511</v>
      </c>
      <c r="B232">
        <v>2990.0630000000001</v>
      </c>
      <c r="C232">
        <v>285.036</v>
      </c>
      <c r="D232">
        <v>4261.7910000000002</v>
      </c>
      <c r="E232">
        <v>438.74400000000003</v>
      </c>
      <c r="F232">
        <v>180.35599999999999</v>
      </c>
      <c r="G232">
        <v>281.67500000000001</v>
      </c>
      <c r="H232">
        <v>98.207999999999998</v>
      </c>
      <c r="I232">
        <v>5270.9359009999998</v>
      </c>
      <c r="J232">
        <v>7059.5498049999997</v>
      </c>
      <c r="K232">
        <v>485.290009</v>
      </c>
      <c r="L232">
        <v>16083.110350000001</v>
      </c>
    </row>
    <row r="233" spans="1:12" x14ac:dyDescent="0.25">
      <c r="A233" s="1">
        <v>44512</v>
      </c>
      <c r="B233">
        <v>3009.7649999999999</v>
      </c>
      <c r="C233">
        <v>287.64299999999997</v>
      </c>
      <c r="D233">
        <v>4277.3230000000003</v>
      </c>
      <c r="E233">
        <v>441.161</v>
      </c>
      <c r="F233">
        <v>183.15700000000001</v>
      </c>
      <c r="G233">
        <v>284.13200000000001</v>
      </c>
      <c r="H233">
        <v>97.960999999999999</v>
      </c>
      <c r="I233">
        <v>5307.7165299999997</v>
      </c>
      <c r="J233">
        <v>7091.3999020000001</v>
      </c>
      <c r="K233">
        <v>486.75</v>
      </c>
      <c r="L233">
        <v>16094.070309999999</v>
      </c>
    </row>
    <row r="234" spans="1:12" x14ac:dyDescent="0.25">
      <c r="A234" s="1">
        <v>44515</v>
      </c>
      <c r="B234">
        <v>3006.22</v>
      </c>
      <c r="C234">
        <v>288.483</v>
      </c>
      <c r="D234">
        <v>4301.6890000000003</v>
      </c>
      <c r="E234">
        <v>442.548</v>
      </c>
      <c r="F234">
        <v>184.41399999999999</v>
      </c>
      <c r="G234">
        <v>284.96899999999999</v>
      </c>
      <c r="H234">
        <v>98.506</v>
      </c>
      <c r="I234">
        <v>5306.5812169999999</v>
      </c>
      <c r="J234">
        <v>7128.6298829999996</v>
      </c>
      <c r="K234">
        <v>488.42999300000002</v>
      </c>
      <c r="L234">
        <v>16148.639649999999</v>
      </c>
    </row>
    <row r="235" spans="1:12" x14ac:dyDescent="0.25">
      <c r="A235" s="1">
        <v>44516</v>
      </c>
      <c r="B235">
        <v>3053.3449999999998</v>
      </c>
      <c r="C235">
        <v>290.75700000000001</v>
      </c>
      <c r="D235">
        <v>4313.5460000000003</v>
      </c>
      <c r="E235">
        <v>446.56900000000002</v>
      </c>
      <c r="F235">
        <v>184.97300000000001</v>
      </c>
      <c r="G235">
        <v>287.255</v>
      </c>
      <c r="H235">
        <v>98.680999999999997</v>
      </c>
      <c r="I235">
        <v>5327.4913269999997</v>
      </c>
      <c r="J235">
        <v>7152.6000979999999</v>
      </c>
      <c r="K235">
        <v>489.26998900000001</v>
      </c>
      <c r="L235">
        <v>16247.860350000001</v>
      </c>
    </row>
    <row r="236" spans="1:12" x14ac:dyDescent="0.25">
      <c r="A236" s="1">
        <v>44517</v>
      </c>
      <c r="B236">
        <v>3061.5059999999999</v>
      </c>
      <c r="C236">
        <v>290.86399999999998</v>
      </c>
      <c r="D236">
        <v>4318.326</v>
      </c>
      <c r="E236">
        <v>446.97</v>
      </c>
      <c r="F236">
        <v>184.77199999999999</v>
      </c>
      <c r="G236">
        <v>287.37799999999999</v>
      </c>
      <c r="H236">
        <v>98.906999999999996</v>
      </c>
      <c r="I236">
        <v>5306.7796980000003</v>
      </c>
      <c r="J236">
        <v>7156.8500979999999</v>
      </c>
      <c r="K236">
        <v>489.95001200000002</v>
      </c>
      <c r="L236">
        <v>16251.12988</v>
      </c>
    </row>
    <row r="237" spans="1:12" x14ac:dyDescent="0.25">
      <c r="A237" s="1">
        <v>44518</v>
      </c>
      <c r="B237">
        <v>3005.56</v>
      </c>
      <c r="C237">
        <v>290.30700000000002</v>
      </c>
      <c r="D237">
        <v>4281.348</v>
      </c>
      <c r="E237">
        <v>440.875</v>
      </c>
      <c r="F237">
        <v>184.36099999999999</v>
      </c>
      <c r="G237">
        <v>286.43900000000002</v>
      </c>
      <c r="H237">
        <v>98.165000000000006</v>
      </c>
      <c r="I237">
        <v>5316.7884169999998</v>
      </c>
      <c r="J237">
        <v>7141.9799800000001</v>
      </c>
      <c r="K237">
        <v>487.70001200000002</v>
      </c>
      <c r="L237">
        <v>16221.73047</v>
      </c>
    </row>
    <row r="238" spans="1:12" x14ac:dyDescent="0.25">
      <c r="A238" s="1">
        <v>44519</v>
      </c>
      <c r="B238">
        <v>3011.1219999999998</v>
      </c>
      <c r="C238">
        <v>290.51799999999997</v>
      </c>
      <c r="D238">
        <v>4289.2139999999999</v>
      </c>
      <c r="E238">
        <v>440.47</v>
      </c>
      <c r="F238">
        <v>186.453</v>
      </c>
      <c r="G238">
        <v>286.59399999999999</v>
      </c>
      <c r="H238">
        <v>97.828000000000003</v>
      </c>
      <c r="I238">
        <v>5303.5394409999999</v>
      </c>
      <c r="J238">
        <v>7112.2900390000004</v>
      </c>
      <c r="K238">
        <v>486.07998700000002</v>
      </c>
      <c r="L238">
        <v>16159.969730000001</v>
      </c>
    </row>
    <row r="239" spans="1:12" x14ac:dyDescent="0.25">
      <c r="A239" s="1">
        <v>44522</v>
      </c>
      <c r="B239">
        <v>3033.1869999999999</v>
      </c>
      <c r="C239">
        <v>290.68099999999998</v>
      </c>
      <c r="D239">
        <v>4286.7749999999996</v>
      </c>
      <c r="E239">
        <v>440.57400000000001</v>
      </c>
      <c r="F239">
        <v>185.98</v>
      </c>
      <c r="G239">
        <v>286.74400000000003</v>
      </c>
      <c r="H239">
        <v>98.513000000000005</v>
      </c>
      <c r="I239">
        <v>5279.2450820000004</v>
      </c>
      <c r="J239">
        <v>7105</v>
      </c>
      <c r="K239">
        <v>485.459991</v>
      </c>
      <c r="L239">
        <v>16115.690430000001</v>
      </c>
    </row>
    <row r="240" spans="1:12" x14ac:dyDescent="0.25">
      <c r="A240" s="1">
        <v>44523</v>
      </c>
      <c r="B240">
        <v>3007.5439999999999</v>
      </c>
      <c r="C240">
        <v>289.82400000000001</v>
      </c>
      <c r="D240">
        <v>4271.3810000000003</v>
      </c>
      <c r="E240">
        <v>437.75900000000001</v>
      </c>
      <c r="F240">
        <v>185.29599999999999</v>
      </c>
      <c r="G240">
        <v>285.786</v>
      </c>
      <c r="H240">
        <v>98.320999999999998</v>
      </c>
      <c r="I240">
        <v>5282.7204709999996</v>
      </c>
      <c r="J240">
        <v>7044.6201170000004</v>
      </c>
      <c r="K240">
        <v>479.25</v>
      </c>
      <c r="L240">
        <v>15937</v>
      </c>
    </row>
    <row r="241" spans="1:12" x14ac:dyDescent="0.25">
      <c r="A241" s="1">
        <v>44524</v>
      </c>
      <c r="B241">
        <v>3021.6990000000001</v>
      </c>
      <c r="C241">
        <v>291.67200000000003</v>
      </c>
      <c r="D241">
        <v>4287.991</v>
      </c>
      <c r="E241">
        <v>439.59300000000002</v>
      </c>
      <c r="F241">
        <v>183.55</v>
      </c>
      <c r="G241">
        <v>287.53699999999998</v>
      </c>
      <c r="H241">
        <v>98.905000000000001</v>
      </c>
      <c r="I241">
        <v>5297.1326170000002</v>
      </c>
      <c r="J241">
        <v>7042.2299800000001</v>
      </c>
      <c r="K241">
        <v>479.69000199999999</v>
      </c>
      <c r="L241">
        <v>15878.389649999999</v>
      </c>
    </row>
    <row r="242" spans="1:12" x14ac:dyDescent="0.25">
      <c r="A242" s="1">
        <v>44525</v>
      </c>
      <c r="B242">
        <v>3022.8589999999999</v>
      </c>
      <c r="C242">
        <v>291.71300000000002</v>
      </c>
      <c r="D242">
        <v>4280.32</v>
      </c>
      <c r="E242">
        <v>439.60199999999998</v>
      </c>
      <c r="F242">
        <v>184.16200000000001</v>
      </c>
      <c r="G242">
        <v>287.57400000000001</v>
      </c>
      <c r="H242">
        <v>99.02</v>
      </c>
      <c r="I242">
        <v>5297.1326170000002</v>
      </c>
      <c r="J242">
        <v>7075.8701170000004</v>
      </c>
      <c r="K242">
        <v>481.72000100000002</v>
      </c>
      <c r="L242">
        <v>15917.98047</v>
      </c>
    </row>
    <row r="243" spans="1:12" x14ac:dyDescent="0.25">
      <c r="A243" s="1">
        <v>44526</v>
      </c>
      <c r="B243">
        <v>2942.134</v>
      </c>
      <c r="C243">
        <v>282.63499999999999</v>
      </c>
      <c r="D243">
        <v>4133.777</v>
      </c>
      <c r="E243">
        <v>424.55</v>
      </c>
      <c r="F243">
        <v>182.27099999999999</v>
      </c>
      <c r="G243">
        <v>278.52300000000002</v>
      </c>
      <c r="H243">
        <v>94.614999999999995</v>
      </c>
      <c r="I243">
        <v>5174.419621</v>
      </c>
      <c r="J243">
        <v>6739.7299800000001</v>
      </c>
      <c r="K243">
        <v>464.04998799999998</v>
      </c>
      <c r="L243">
        <v>15257.04004</v>
      </c>
    </row>
    <row r="244" spans="1:12" x14ac:dyDescent="0.25">
      <c r="A244" s="1">
        <v>44529</v>
      </c>
      <c r="B244">
        <v>2949.0079999999998</v>
      </c>
      <c r="C244">
        <v>285.96600000000001</v>
      </c>
      <c r="D244">
        <v>4139.8239999999996</v>
      </c>
      <c r="E244">
        <v>424.87599999999998</v>
      </c>
      <c r="F244">
        <v>179.12</v>
      </c>
      <c r="G244">
        <v>281.459</v>
      </c>
      <c r="H244">
        <v>95.668000000000006</v>
      </c>
      <c r="I244">
        <v>5232.6646309999996</v>
      </c>
      <c r="J244">
        <v>6776.25</v>
      </c>
      <c r="K244">
        <v>467.23998999999998</v>
      </c>
      <c r="L244">
        <v>15280.860350000001</v>
      </c>
    </row>
    <row r="245" spans="1:12" x14ac:dyDescent="0.25">
      <c r="A245" s="1">
        <v>44530</v>
      </c>
      <c r="B245">
        <v>2930.76</v>
      </c>
      <c r="C245">
        <v>281.39100000000002</v>
      </c>
      <c r="D245">
        <v>4134.6530000000002</v>
      </c>
      <c r="E245">
        <v>423.05700000000002</v>
      </c>
      <c r="F245">
        <v>177.47499999999999</v>
      </c>
      <c r="G245">
        <v>277.32499999999999</v>
      </c>
      <c r="H245">
        <v>94.650999999999996</v>
      </c>
      <c r="I245">
        <v>5129.6710030000004</v>
      </c>
      <c r="J245">
        <v>6721.1601559999999</v>
      </c>
      <c r="K245">
        <v>462.959991</v>
      </c>
      <c r="L245">
        <v>15100.12988</v>
      </c>
    </row>
    <row r="246" spans="1:12" x14ac:dyDescent="0.25">
      <c r="A246" s="1">
        <v>44531</v>
      </c>
      <c r="B246">
        <v>2916.84</v>
      </c>
      <c r="C246">
        <v>278.209</v>
      </c>
      <c r="D246">
        <v>4172.8429999999998</v>
      </c>
      <c r="E246">
        <v>425.13200000000001</v>
      </c>
      <c r="F246">
        <v>177.92</v>
      </c>
      <c r="G246">
        <v>274.70299999999997</v>
      </c>
      <c r="H246">
        <v>96.057000000000002</v>
      </c>
      <c r="I246">
        <v>5054.736441</v>
      </c>
      <c r="J246">
        <v>6881.8701170000004</v>
      </c>
      <c r="K246">
        <v>470.85998499999999</v>
      </c>
      <c r="L246">
        <v>15472.66992</v>
      </c>
    </row>
    <row r="247" spans="1:12" x14ac:dyDescent="0.25">
      <c r="A247" s="1">
        <v>44532</v>
      </c>
      <c r="B247">
        <v>2922.39</v>
      </c>
      <c r="C247">
        <v>280.70699999999999</v>
      </c>
      <c r="D247">
        <v>4226.6289999999999</v>
      </c>
      <c r="E247">
        <v>429.00799999999998</v>
      </c>
      <c r="F247">
        <v>177.304</v>
      </c>
      <c r="G247">
        <v>277.17399999999998</v>
      </c>
      <c r="H247">
        <v>95.718999999999994</v>
      </c>
      <c r="I247">
        <v>5135.1733389999999</v>
      </c>
      <c r="J247">
        <v>6795.75</v>
      </c>
      <c r="K247">
        <v>465.44000199999999</v>
      </c>
      <c r="L247">
        <v>15263.110350000001</v>
      </c>
    </row>
    <row r="248" spans="1:12" x14ac:dyDescent="0.25">
      <c r="A248" s="1">
        <v>44533</v>
      </c>
      <c r="B248">
        <v>2916.6770000000001</v>
      </c>
      <c r="C248">
        <v>279.40199999999999</v>
      </c>
      <c r="D248">
        <v>4216.5730000000003</v>
      </c>
      <c r="E248">
        <v>426.41300000000001</v>
      </c>
      <c r="F248">
        <v>179.98599999999999</v>
      </c>
      <c r="G248">
        <v>275.84100000000001</v>
      </c>
      <c r="H248">
        <v>95.343000000000004</v>
      </c>
      <c r="I248">
        <v>5079.378068</v>
      </c>
      <c r="J248">
        <v>6765.5200199999999</v>
      </c>
      <c r="K248">
        <v>462.76998900000001</v>
      </c>
      <c r="L248">
        <v>15169.98047</v>
      </c>
    </row>
    <row r="249" spans="1:12" x14ac:dyDescent="0.25">
      <c r="A249" s="1">
        <v>44536</v>
      </c>
      <c r="B249">
        <v>2876.183</v>
      </c>
      <c r="C249">
        <v>282.43400000000003</v>
      </c>
      <c r="D249">
        <v>4207.5259999999998</v>
      </c>
      <c r="E249">
        <v>423.048</v>
      </c>
      <c r="F249">
        <v>178.71</v>
      </c>
      <c r="G249">
        <v>278.23500000000001</v>
      </c>
      <c r="H249">
        <v>96.983999999999995</v>
      </c>
      <c r="I249">
        <v>5141.7347929999996</v>
      </c>
      <c r="J249">
        <v>6865.7797849999997</v>
      </c>
      <c r="K249">
        <v>468.709991</v>
      </c>
      <c r="L249">
        <v>15380.79004</v>
      </c>
    </row>
    <row r="250" spans="1:12" x14ac:dyDescent="0.25">
      <c r="A250" s="1">
        <v>44537</v>
      </c>
      <c r="B250">
        <v>2936.7429999999999</v>
      </c>
      <c r="C250">
        <v>289.09500000000003</v>
      </c>
      <c r="D250">
        <v>4261.0820000000003</v>
      </c>
      <c r="E250">
        <v>431.476</v>
      </c>
      <c r="F250">
        <v>182.328</v>
      </c>
      <c r="G250">
        <v>284.68099999999998</v>
      </c>
      <c r="H250">
        <v>98.566000000000003</v>
      </c>
      <c r="I250">
        <v>5252.2493139999997</v>
      </c>
      <c r="J250">
        <v>7065.3901370000003</v>
      </c>
      <c r="K250">
        <v>480.17999300000002</v>
      </c>
      <c r="L250">
        <v>15813.940430000001</v>
      </c>
    </row>
    <row r="251" spans="1:12" x14ac:dyDescent="0.25">
      <c r="A251" s="1">
        <v>44538</v>
      </c>
      <c r="B251">
        <v>2944.2579999999998</v>
      </c>
      <c r="C251">
        <v>288.01499999999999</v>
      </c>
      <c r="D251">
        <v>4247.1390000000001</v>
      </c>
      <c r="E251">
        <v>430.10899999999998</v>
      </c>
      <c r="F251">
        <v>181.95</v>
      </c>
      <c r="G251">
        <v>283.63600000000002</v>
      </c>
      <c r="H251">
        <v>97.644000000000005</v>
      </c>
      <c r="I251">
        <v>5275.6095720000003</v>
      </c>
      <c r="J251">
        <v>7014.5698240000002</v>
      </c>
      <c r="K251">
        <v>477.35998499999999</v>
      </c>
      <c r="L251">
        <v>15687.089840000001</v>
      </c>
    </row>
    <row r="252" spans="1:12" x14ac:dyDescent="0.25">
      <c r="A252" s="1">
        <v>44539</v>
      </c>
      <c r="B252">
        <v>2994.93</v>
      </c>
      <c r="C252">
        <v>287.05200000000002</v>
      </c>
      <c r="D252">
        <v>4274.7089999999998</v>
      </c>
      <c r="E252">
        <v>434.233</v>
      </c>
      <c r="F252">
        <v>182.43100000000001</v>
      </c>
      <c r="G252">
        <v>283.10399999999998</v>
      </c>
      <c r="H252">
        <v>97.807000000000002</v>
      </c>
      <c r="I252">
        <v>5224.0547399999996</v>
      </c>
      <c r="J252">
        <v>7008.2299800000001</v>
      </c>
      <c r="K252">
        <v>476.98998999999998</v>
      </c>
      <c r="L252">
        <v>15639.259770000001</v>
      </c>
    </row>
    <row r="253" spans="1:12" x14ac:dyDescent="0.25">
      <c r="A253" s="1">
        <v>44540</v>
      </c>
      <c r="B253">
        <v>2964.1260000000002</v>
      </c>
      <c r="C253">
        <v>287.99400000000003</v>
      </c>
      <c r="D253">
        <v>4242.076</v>
      </c>
      <c r="E253">
        <v>430.315</v>
      </c>
      <c r="F253">
        <v>180.81399999999999</v>
      </c>
      <c r="G253">
        <v>283.63200000000001</v>
      </c>
      <c r="H253">
        <v>97.424999999999997</v>
      </c>
      <c r="I253">
        <v>5261.648381</v>
      </c>
      <c r="J253">
        <v>6991.6801759999998</v>
      </c>
      <c r="K253">
        <v>475.55999800000001</v>
      </c>
      <c r="L253">
        <v>15623.309569999999</v>
      </c>
    </row>
    <row r="254" spans="1:12" x14ac:dyDescent="0.25">
      <c r="A254" s="1">
        <v>44543</v>
      </c>
      <c r="B254">
        <v>2970.1019999999999</v>
      </c>
      <c r="C254">
        <v>286.35599999999999</v>
      </c>
      <c r="D254">
        <v>4224.8810000000003</v>
      </c>
      <c r="E254">
        <v>428.66</v>
      </c>
      <c r="F254">
        <v>181.34200000000001</v>
      </c>
      <c r="G254">
        <v>282.07900000000001</v>
      </c>
      <c r="H254">
        <v>96.897999999999996</v>
      </c>
      <c r="I254">
        <v>5210.8715000000002</v>
      </c>
      <c r="J254">
        <v>6942.9101559999999</v>
      </c>
      <c r="K254">
        <v>473.52999899999998</v>
      </c>
      <c r="L254">
        <v>15621.719730000001</v>
      </c>
    </row>
    <row r="255" spans="1:12" x14ac:dyDescent="0.25">
      <c r="A255" s="1">
        <v>44544</v>
      </c>
      <c r="B255">
        <v>2938.68</v>
      </c>
      <c r="C255">
        <v>284.23899999999998</v>
      </c>
      <c r="D255">
        <v>4211.4290000000001</v>
      </c>
      <c r="E255">
        <v>425.77199999999999</v>
      </c>
      <c r="F255">
        <v>180.78299999999999</v>
      </c>
      <c r="G255">
        <v>280.01400000000001</v>
      </c>
      <c r="H255">
        <v>96.808999999999997</v>
      </c>
      <c r="I255">
        <v>5169.8258370000003</v>
      </c>
      <c r="J255">
        <v>6895.3100590000004</v>
      </c>
      <c r="K255">
        <v>469.55999800000001</v>
      </c>
      <c r="L255">
        <v>15453.559569999999</v>
      </c>
    </row>
    <row r="256" spans="1:12" x14ac:dyDescent="0.25">
      <c r="A256" s="1">
        <v>44545</v>
      </c>
      <c r="B256">
        <v>2911.431</v>
      </c>
      <c r="C256">
        <v>288.15699999999998</v>
      </c>
      <c r="D256">
        <v>4208.6980000000003</v>
      </c>
      <c r="E256">
        <v>423.95</v>
      </c>
      <c r="F256">
        <v>181.917</v>
      </c>
      <c r="G256">
        <v>283.298</v>
      </c>
      <c r="H256">
        <v>96.194000000000003</v>
      </c>
      <c r="I256">
        <v>5253.4143770000001</v>
      </c>
      <c r="J256">
        <v>6927.6298829999996</v>
      </c>
      <c r="K256">
        <v>470.76001000000002</v>
      </c>
      <c r="L256">
        <v>15476.349609999999</v>
      </c>
    </row>
    <row r="257" spans="1:12" x14ac:dyDescent="0.25">
      <c r="A257" s="1">
        <v>44546</v>
      </c>
      <c r="B257">
        <v>2907.3040000000001</v>
      </c>
      <c r="C257">
        <v>286.04000000000002</v>
      </c>
      <c r="D257">
        <v>4231.0150000000003</v>
      </c>
      <c r="E257">
        <v>425.13200000000001</v>
      </c>
      <c r="F257">
        <v>184.01900000000001</v>
      </c>
      <c r="G257">
        <v>281.53899999999999</v>
      </c>
      <c r="H257">
        <v>97.784000000000006</v>
      </c>
      <c r="I257">
        <v>5197.4821810000003</v>
      </c>
      <c r="J257">
        <v>7005.0698240000002</v>
      </c>
      <c r="K257">
        <v>476.55999800000001</v>
      </c>
      <c r="L257">
        <v>15636.400390000001</v>
      </c>
    </row>
    <row r="258" spans="1:12" x14ac:dyDescent="0.25">
      <c r="A258" s="1">
        <v>44547</v>
      </c>
      <c r="B258">
        <v>2867.6579999999999</v>
      </c>
      <c r="C258">
        <v>284.36700000000002</v>
      </c>
      <c r="D258">
        <v>4238.2979999999998</v>
      </c>
      <c r="E258">
        <v>423.71300000000002</v>
      </c>
      <c r="F258">
        <v>182.05699999999999</v>
      </c>
      <c r="G258">
        <v>279.97199999999998</v>
      </c>
      <c r="H258">
        <v>97.647000000000006</v>
      </c>
      <c r="I258">
        <v>5160.5209249999998</v>
      </c>
      <c r="J258">
        <v>6926.6298829999996</v>
      </c>
      <c r="K258">
        <v>473.89999399999999</v>
      </c>
      <c r="L258">
        <v>15531.690430000001</v>
      </c>
    </row>
    <row r="259" spans="1:12" x14ac:dyDescent="0.25">
      <c r="A259" s="1">
        <v>44550</v>
      </c>
      <c r="B259">
        <v>2800.2449999999999</v>
      </c>
      <c r="C259">
        <v>280.43900000000002</v>
      </c>
      <c r="D259">
        <v>4151.2299999999996</v>
      </c>
      <c r="E259">
        <v>414.03</v>
      </c>
      <c r="F259">
        <v>178.376</v>
      </c>
      <c r="G259">
        <v>275.81700000000001</v>
      </c>
      <c r="H259">
        <v>96.284000000000006</v>
      </c>
      <c r="I259">
        <v>5097.4884730000003</v>
      </c>
      <c r="J259">
        <v>6870.1000979999999</v>
      </c>
      <c r="K259">
        <v>467.35000600000001</v>
      </c>
      <c r="L259">
        <v>15239.66992</v>
      </c>
    </row>
    <row r="260" spans="1:12" x14ac:dyDescent="0.25">
      <c r="A260" s="1">
        <v>44551</v>
      </c>
      <c r="B260">
        <v>2847.8609999999999</v>
      </c>
      <c r="C260">
        <v>285.80900000000003</v>
      </c>
      <c r="D260">
        <v>4193.223</v>
      </c>
      <c r="E260">
        <v>419.75700000000001</v>
      </c>
      <c r="F260">
        <v>180.40700000000001</v>
      </c>
      <c r="G260">
        <v>280.93400000000003</v>
      </c>
      <c r="H260">
        <v>97.947000000000003</v>
      </c>
      <c r="I260">
        <v>5198.7800349999998</v>
      </c>
      <c r="J260">
        <v>6964.9902339999999</v>
      </c>
      <c r="K260">
        <v>473.98998999999998</v>
      </c>
      <c r="L260">
        <v>15447.440430000001</v>
      </c>
    </row>
    <row r="261" spans="1:12" x14ac:dyDescent="0.25">
      <c r="A261" s="1">
        <v>44552</v>
      </c>
      <c r="B261">
        <v>2840.915</v>
      </c>
      <c r="C261">
        <v>287.09300000000002</v>
      </c>
      <c r="D261">
        <v>4193.8829999999998</v>
      </c>
      <c r="E261">
        <v>419.65300000000002</v>
      </c>
      <c r="F261">
        <v>179.19900000000001</v>
      </c>
      <c r="G261">
        <v>282.04700000000003</v>
      </c>
      <c r="H261">
        <v>98.823999999999998</v>
      </c>
      <c r="I261">
        <v>5249.4351349999997</v>
      </c>
      <c r="J261">
        <v>7051.669922</v>
      </c>
      <c r="K261">
        <v>478.35998499999999</v>
      </c>
      <c r="L261">
        <v>15593.469730000001</v>
      </c>
    </row>
    <row r="262" spans="1:12" x14ac:dyDescent="0.25">
      <c r="A262" s="1">
        <v>44553</v>
      </c>
      <c r="B262">
        <v>2863.6979999999999</v>
      </c>
      <c r="C262">
        <v>289.50099999999998</v>
      </c>
      <c r="D262">
        <v>4236.6729999999998</v>
      </c>
      <c r="E262">
        <v>423.584</v>
      </c>
      <c r="F262">
        <v>180.97800000000001</v>
      </c>
      <c r="G262">
        <v>284.44400000000002</v>
      </c>
      <c r="H262">
        <v>99.816999999999993</v>
      </c>
      <c r="I262">
        <v>5283.9639040000002</v>
      </c>
      <c r="J262">
        <v>7106.1499020000001</v>
      </c>
      <c r="K262">
        <v>483.01001000000002</v>
      </c>
      <c r="L262">
        <v>15756.309569999999</v>
      </c>
    </row>
    <row r="263" spans="1:12" x14ac:dyDescent="0.25">
      <c r="A263" s="1">
        <v>44554</v>
      </c>
      <c r="B263">
        <v>2845.8110000000001</v>
      </c>
      <c r="C263">
        <v>289.04700000000003</v>
      </c>
      <c r="D263">
        <v>4239.3450000000003</v>
      </c>
      <c r="E263">
        <v>423.14800000000002</v>
      </c>
      <c r="F263">
        <v>180.45099999999999</v>
      </c>
      <c r="G263">
        <v>284.01499999999999</v>
      </c>
      <c r="H263">
        <v>99.632999999999996</v>
      </c>
      <c r="I263">
        <v>5283.9639040000002</v>
      </c>
      <c r="J263">
        <v>7086.580078</v>
      </c>
      <c r="K263">
        <v>483.01001000000002</v>
      </c>
      <c r="L263">
        <v>15756.309569999999</v>
      </c>
    </row>
    <row r="264" spans="1:12" x14ac:dyDescent="0.25">
      <c r="A264" s="1">
        <v>44557</v>
      </c>
      <c r="B264">
        <v>2843.4659999999999</v>
      </c>
      <c r="C264">
        <v>292.08499999999998</v>
      </c>
      <c r="D264">
        <v>4252.4179999999997</v>
      </c>
      <c r="E264">
        <v>423.94099999999997</v>
      </c>
      <c r="F264">
        <v>179.119</v>
      </c>
      <c r="G264">
        <v>286.726</v>
      </c>
      <c r="H264">
        <v>99.769000000000005</v>
      </c>
      <c r="I264">
        <v>5352.2261550000003</v>
      </c>
      <c r="J264">
        <v>7140.3901370000003</v>
      </c>
      <c r="K264">
        <v>485.48998999999998</v>
      </c>
      <c r="L264">
        <v>15835.25</v>
      </c>
    </row>
    <row r="265" spans="1:12" x14ac:dyDescent="0.25">
      <c r="A265" s="1">
        <v>44558</v>
      </c>
      <c r="B265">
        <v>2854.17</v>
      </c>
      <c r="C265">
        <v>292.81</v>
      </c>
      <c r="D265">
        <v>4292.067</v>
      </c>
      <c r="E265">
        <v>426.649</v>
      </c>
      <c r="F265">
        <v>182.083</v>
      </c>
      <c r="G265">
        <v>287.56200000000001</v>
      </c>
      <c r="H265">
        <v>100.02</v>
      </c>
      <c r="I265">
        <v>5341.926426</v>
      </c>
      <c r="J265">
        <v>7181.1098629999997</v>
      </c>
      <c r="K265">
        <v>488.5</v>
      </c>
      <c r="L265">
        <v>15963.700199999999</v>
      </c>
    </row>
    <row r="266" spans="1:12" x14ac:dyDescent="0.25">
      <c r="A266" s="1">
        <v>44559</v>
      </c>
      <c r="B266">
        <v>2798.0459999999998</v>
      </c>
      <c r="C266">
        <v>291.83699999999999</v>
      </c>
      <c r="D266">
        <v>4256.3959999999997</v>
      </c>
      <c r="E266">
        <v>421.44200000000001</v>
      </c>
      <c r="F266">
        <v>180.05699999999999</v>
      </c>
      <c r="G266">
        <v>286.322</v>
      </c>
      <c r="H266">
        <v>100.666</v>
      </c>
      <c r="I266">
        <v>5348.4631870000003</v>
      </c>
      <c r="J266">
        <v>7161.5200199999999</v>
      </c>
      <c r="K266">
        <v>487.98001099999999</v>
      </c>
      <c r="L266">
        <v>15852.25</v>
      </c>
    </row>
    <row r="267" spans="1:12" x14ac:dyDescent="0.25">
      <c r="A267" s="1">
        <v>44560</v>
      </c>
      <c r="B267">
        <v>2828.491</v>
      </c>
      <c r="C267">
        <v>291.71899999999999</v>
      </c>
      <c r="D267">
        <v>4266.7759999999998</v>
      </c>
      <c r="E267">
        <v>423.83600000000001</v>
      </c>
      <c r="F267">
        <v>179.45099999999999</v>
      </c>
      <c r="G267">
        <v>286.399</v>
      </c>
      <c r="H267">
        <v>100.626</v>
      </c>
      <c r="I267">
        <v>5336.9171880000004</v>
      </c>
      <c r="J267">
        <v>7173.2299800000001</v>
      </c>
      <c r="K267">
        <v>488.709991</v>
      </c>
      <c r="L267">
        <v>15884.860350000001</v>
      </c>
    </row>
    <row r="268" spans="1:12" x14ac:dyDescent="0.25">
      <c r="A268" s="1">
        <v>44561</v>
      </c>
      <c r="B268">
        <v>2856.5239999999999</v>
      </c>
      <c r="C268">
        <v>290.18799999999999</v>
      </c>
      <c r="D268">
        <v>4259.5320000000002</v>
      </c>
      <c r="E268">
        <v>425.50599999999997</v>
      </c>
      <c r="F268">
        <v>178.804</v>
      </c>
      <c r="G268">
        <v>285.18700000000001</v>
      </c>
      <c r="H268">
        <v>100.376</v>
      </c>
      <c r="I268">
        <v>5322.1744550000003</v>
      </c>
      <c r="J268">
        <v>7153.0297849999997</v>
      </c>
      <c r="K268">
        <v>488.709991</v>
      </c>
      <c r="L268">
        <v>15884.860350000001</v>
      </c>
    </row>
    <row r="269" spans="1:12" x14ac:dyDescent="0.25">
      <c r="A269" s="1">
        <v>44564</v>
      </c>
      <c r="B269">
        <v>2866.7280000000001</v>
      </c>
      <c r="C269">
        <v>293.12099999999998</v>
      </c>
      <c r="D269">
        <v>4310.5540000000001</v>
      </c>
      <c r="E269">
        <v>429.04</v>
      </c>
      <c r="F269">
        <v>179.84399999999999</v>
      </c>
      <c r="G269">
        <v>288.012</v>
      </c>
      <c r="H269">
        <v>100.364</v>
      </c>
      <c r="I269">
        <v>5355.2011460000003</v>
      </c>
      <c r="J269">
        <v>7217.2202150000003</v>
      </c>
      <c r="K269">
        <v>489.98998999999998</v>
      </c>
      <c r="L269">
        <v>16020.73047</v>
      </c>
    </row>
    <row r="270" spans="1:12" x14ac:dyDescent="0.25">
      <c r="A270" s="1">
        <v>44565</v>
      </c>
      <c r="B270">
        <v>2837.0770000000002</v>
      </c>
      <c r="C270">
        <v>293.27100000000002</v>
      </c>
      <c r="D270">
        <v>4331.2470000000003</v>
      </c>
      <c r="E270">
        <v>428.87900000000002</v>
      </c>
      <c r="F270">
        <v>182.02600000000001</v>
      </c>
      <c r="G270">
        <v>288.13099999999997</v>
      </c>
      <c r="H270">
        <v>102.736</v>
      </c>
      <c r="I270">
        <v>5346.627915</v>
      </c>
      <c r="J270">
        <v>7317.4101559999999</v>
      </c>
      <c r="K270">
        <v>494.01998900000001</v>
      </c>
      <c r="L270">
        <v>16152.610350000001</v>
      </c>
    </row>
    <row r="271" spans="1:12" x14ac:dyDescent="0.25">
      <c r="A271" s="1">
        <v>44566</v>
      </c>
      <c r="B271">
        <v>2773.502</v>
      </c>
      <c r="C271">
        <v>288.51100000000002</v>
      </c>
      <c r="D271">
        <v>4310.0079999999998</v>
      </c>
      <c r="E271">
        <v>423.62599999999998</v>
      </c>
      <c r="F271">
        <v>182.988</v>
      </c>
      <c r="G271">
        <v>283.58300000000003</v>
      </c>
      <c r="H271">
        <v>102.779</v>
      </c>
      <c r="I271">
        <v>5230.0534939999998</v>
      </c>
      <c r="J271">
        <v>7376.3701170000004</v>
      </c>
      <c r="K271">
        <v>494.35000600000001</v>
      </c>
      <c r="L271">
        <v>16271.75</v>
      </c>
    </row>
    <row r="272" spans="1:12" x14ac:dyDescent="0.25">
      <c r="A272" s="1">
        <v>44567</v>
      </c>
      <c r="B272">
        <v>2786.6509999999998</v>
      </c>
      <c r="C272">
        <v>287.88200000000001</v>
      </c>
      <c r="D272">
        <v>4281.2979999999998</v>
      </c>
      <c r="E272">
        <v>423.17599999999999</v>
      </c>
      <c r="F272">
        <v>179.78399999999999</v>
      </c>
      <c r="G272">
        <v>283</v>
      </c>
      <c r="H272">
        <v>102.045</v>
      </c>
      <c r="I272">
        <v>5229.3042750000004</v>
      </c>
      <c r="J272">
        <v>7249.6601559999999</v>
      </c>
      <c r="K272">
        <v>488.16000400000001</v>
      </c>
      <c r="L272">
        <v>16052.030269999999</v>
      </c>
    </row>
    <row r="273" spans="1:12" x14ac:dyDescent="0.25">
      <c r="A273" s="1">
        <v>44568</v>
      </c>
      <c r="B273">
        <v>2797.779</v>
      </c>
      <c r="C273">
        <v>285.92500000000001</v>
      </c>
      <c r="D273">
        <v>4273.2650000000003</v>
      </c>
      <c r="E273">
        <v>424.36200000000002</v>
      </c>
      <c r="F273">
        <v>179.006</v>
      </c>
      <c r="G273">
        <v>281.38099999999997</v>
      </c>
      <c r="H273">
        <v>102.47199999999999</v>
      </c>
      <c r="I273">
        <v>5203.1395409999996</v>
      </c>
      <c r="J273">
        <v>7219.4799800000001</v>
      </c>
      <c r="K273">
        <v>486.25</v>
      </c>
      <c r="L273">
        <v>15947.740229999999</v>
      </c>
    </row>
    <row r="274" spans="1:12" x14ac:dyDescent="0.25">
      <c r="A274" s="1">
        <v>44571</v>
      </c>
      <c r="B274">
        <v>2826.067</v>
      </c>
      <c r="C274">
        <v>285.61700000000002</v>
      </c>
      <c r="D274">
        <v>4294.9740000000002</v>
      </c>
      <c r="E274">
        <v>427.57</v>
      </c>
      <c r="F274">
        <v>180.29900000000001</v>
      </c>
      <c r="G274">
        <v>281.35199999999998</v>
      </c>
      <c r="H274">
        <v>102.188</v>
      </c>
      <c r="I274">
        <v>5195.1349090000003</v>
      </c>
      <c r="J274">
        <v>7115.7700199999999</v>
      </c>
      <c r="K274">
        <v>479.040009</v>
      </c>
      <c r="L274">
        <v>15768.26953</v>
      </c>
    </row>
    <row r="275" spans="1:12" x14ac:dyDescent="0.25">
      <c r="A275" s="1">
        <v>44572</v>
      </c>
      <c r="B275">
        <v>2816.3270000000002</v>
      </c>
      <c r="C275">
        <v>287.54199999999997</v>
      </c>
      <c r="D275">
        <v>4333.6570000000002</v>
      </c>
      <c r="E275">
        <v>430.51</v>
      </c>
      <c r="F275">
        <v>178.392</v>
      </c>
      <c r="G275">
        <v>283.25299999999999</v>
      </c>
      <c r="H275">
        <v>102.89100000000001</v>
      </c>
      <c r="I275">
        <v>5247.662206</v>
      </c>
      <c r="J275">
        <v>7183.3798829999996</v>
      </c>
      <c r="K275">
        <v>483.07998700000002</v>
      </c>
      <c r="L275">
        <v>15941.809569999999</v>
      </c>
    </row>
    <row r="276" spans="1:12" x14ac:dyDescent="0.25">
      <c r="A276" s="1">
        <v>44573</v>
      </c>
      <c r="B276">
        <v>2862.4760000000001</v>
      </c>
      <c r="C276">
        <v>287.387</v>
      </c>
      <c r="D276">
        <v>4363.4859999999999</v>
      </c>
      <c r="E276">
        <v>435.85</v>
      </c>
      <c r="F276">
        <v>180.94499999999999</v>
      </c>
      <c r="G276">
        <v>283.51799999999997</v>
      </c>
      <c r="H276">
        <v>103.613</v>
      </c>
      <c r="I276">
        <v>5256.1431080000002</v>
      </c>
      <c r="J276">
        <v>7237.1899409999996</v>
      </c>
      <c r="K276">
        <v>486.20001200000002</v>
      </c>
      <c r="L276">
        <v>16010.320309999999</v>
      </c>
    </row>
    <row r="277" spans="1:12" x14ac:dyDescent="0.25">
      <c r="A277" s="1">
        <v>44574</v>
      </c>
      <c r="B277">
        <v>2814.4430000000002</v>
      </c>
      <c r="C277">
        <v>283.52199999999999</v>
      </c>
      <c r="D277">
        <v>4351.83</v>
      </c>
      <c r="E277">
        <v>432.94499999999999</v>
      </c>
      <c r="F277">
        <v>180.28</v>
      </c>
      <c r="G277">
        <v>279.92599999999999</v>
      </c>
      <c r="H277">
        <v>103.81699999999999</v>
      </c>
      <c r="I277">
        <v>5179.8625789999996</v>
      </c>
      <c r="J277">
        <v>7201.1401370000003</v>
      </c>
      <c r="K277">
        <v>486.04998799999998</v>
      </c>
      <c r="L277">
        <v>16031.589840000001</v>
      </c>
    </row>
    <row r="278" spans="1:12" x14ac:dyDescent="0.25">
      <c r="A278" s="1">
        <v>44575</v>
      </c>
      <c r="B278">
        <v>2809.48</v>
      </c>
      <c r="C278">
        <v>283.392</v>
      </c>
      <c r="D278">
        <v>4342.4269999999997</v>
      </c>
      <c r="E278">
        <v>431.96199999999999</v>
      </c>
      <c r="F278">
        <v>178.61799999999999</v>
      </c>
      <c r="G278">
        <v>279.73899999999998</v>
      </c>
      <c r="H278">
        <v>103.539</v>
      </c>
      <c r="I278">
        <v>5181.9480750000002</v>
      </c>
      <c r="J278">
        <v>7143</v>
      </c>
      <c r="K278">
        <v>481.16000400000001</v>
      </c>
      <c r="L278">
        <v>15883.240229999999</v>
      </c>
    </row>
    <row r="279" spans="1:12" x14ac:dyDescent="0.25">
      <c r="A279" s="1">
        <v>44578</v>
      </c>
      <c r="B279">
        <v>2812.6170000000002</v>
      </c>
      <c r="C279">
        <v>284.42500000000001</v>
      </c>
      <c r="D279">
        <v>4354.402</v>
      </c>
      <c r="E279">
        <v>432.06200000000001</v>
      </c>
      <c r="F279">
        <v>178.75200000000001</v>
      </c>
      <c r="G279">
        <v>280.649</v>
      </c>
      <c r="H279">
        <v>104.51300000000001</v>
      </c>
      <c r="I279">
        <v>5181.9480750000002</v>
      </c>
      <c r="J279">
        <v>7201.6401370000003</v>
      </c>
      <c r="K279">
        <v>484.51001000000002</v>
      </c>
      <c r="L279">
        <v>15933.719730000001</v>
      </c>
    </row>
    <row r="280" spans="1:12" x14ac:dyDescent="0.25">
      <c r="A280" s="1">
        <v>44579</v>
      </c>
      <c r="B280">
        <v>2828.9479999999999</v>
      </c>
      <c r="C280">
        <v>281.25</v>
      </c>
      <c r="D280">
        <v>4320.5870000000004</v>
      </c>
      <c r="E280">
        <v>429.90699999999998</v>
      </c>
      <c r="F280">
        <v>179.24299999999999</v>
      </c>
      <c r="G280">
        <v>277.71600000000001</v>
      </c>
      <c r="H280">
        <v>104.012</v>
      </c>
      <c r="I280">
        <v>5079.7851140000002</v>
      </c>
      <c r="J280">
        <v>7133.830078</v>
      </c>
      <c r="K280">
        <v>479.790009</v>
      </c>
      <c r="L280">
        <v>15772.559569999999</v>
      </c>
    </row>
    <row r="281" spans="1:12" x14ac:dyDescent="0.25">
      <c r="A281" s="1">
        <v>44580</v>
      </c>
      <c r="B281">
        <v>2814.989</v>
      </c>
      <c r="C281">
        <v>278.89600000000002</v>
      </c>
      <c r="D281">
        <v>4314.326</v>
      </c>
      <c r="E281">
        <v>429.22699999999998</v>
      </c>
      <c r="F281">
        <v>174.07300000000001</v>
      </c>
      <c r="G281">
        <v>275.60899999999998</v>
      </c>
      <c r="H281">
        <v>104.702</v>
      </c>
      <c r="I281">
        <v>5027.9952949999997</v>
      </c>
      <c r="J281">
        <v>7172.9799800000001</v>
      </c>
      <c r="K281">
        <v>480.89999399999999</v>
      </c>
      <c r="L281">
        <v>15809.719730000001</v>
      </c>
    </row>
    <row r="282" spans="1:12" x14ac:dyDescent="0.25">
      <c r="A282" s="1">
        <v>44581</v>
      </c>
      <c r="B282">
        <v>2879.4960000000001</v>
      </c>
      <c r="C282">
        <v>277.351</v>
      </c>
      <c r="D282">
        <v>4323.3980000000001</v>
      </c>
      <c r="E282">
        <v>434.62099999999998</v>
      </c>
      <c r="F282">
        <v>176.28200000000001</v>
      </c>
      <c r="G282">
        <v>274.66500000000002</v>
      </c>
      <c r="H282">
        <v>104.747</v>
      </c>
      <c r="I282">
        <v>4969.3434939999997</v>
      </c>
      <c r="J282">
        <v>7194.1601559999999</v>
      </c>
      <c r="K282">
        <v>483.35000600000001</v>
      </c>
      <c r="L282">
        <v>15912.33008</v>
      </c>
    </row>
    <row r="283" spans="1:12" x14ac:dyDescent="0.25">
      <c r="A283" s="1">
        <v>44582</v>
      </c>
      <c r="B283">
        <v>2860.7060000000001</v>
      </c>
      <c r="C283">
        <v>272.23200000000003</v>
      </c>
      <c r="D283">
        <v>4277.4949999999999</v>
      </c>
      <c r="E283">
        <v>430.70100000000002</v>
      </c>
      <c r="F283">
        <v>175.56800000000001</v>
      </c>
      <c r="G283">
        <v>269.90300000000002</v>
      </c>
      <c r="H283">
        <v>102.819</v>
      </c>
      <c r="I283">
        <v>4872.4306059999999</v>
      </c>
      <c r="J283">
        <v>7068.5898440000001</v>
      </c>
      <c r="K283">
        <v>474.44000199999999</v>
      </c>
      <c r="L283">
        <v>15603.87988</v>
      </c>
    </row>
    <row r="284" spans="1:12" x14ac:dyDescent="0.25">
      <c r="A284" s="1">
        <v>44585</v>
      </c>
      <c r="B284">
        <v>2843.576</v>
      </c>
      <c r="C284">
        <v>271.37900000000002</v>
      </c>
      <c r="D284">
        <v>4217.1949999999997</v>
      </c>
      <c r="E284">
        <v>424.45699999999999</v>
      </c>
      <c r="F284">
        <v>175.77099999999999</v>
      </c>
      <c r="G284">
        <v>268.69</v>
      </c>
      <c r="H284">
        <v>99.908000000000001</v>
      </c>
      <c r="I284">
        <v>4896.9224329999997</v>
      </c>
      <c r="J284">
        <v>6787.7900390000004</v>
      </c>
      <c r="K284">
        <v>456.35998499999999</v>
      </c>
      <c r="L284">
        <v>15011.12988</v>
      </c>
    </row>
    <row r="285" spans="1:12" x14ac:dyDescent="0.25">
      <c r="A285" s="1">
        <v>44586</v>
      </c>
      <c r="B285">
        <v>2793.2869999999998</v>
      </c>
      <c r="C285">
        <v>269.50099999999998</v>
      </c>
      <c r="D285">
        <v>4209.2309999999998</v>
      </c>
      <c r="E285">
        <v>421.69499999999999</v>
      </c>
      <c r="F285">
        <v>173.27500000000001</v>
      </c>
      <c r="G285">
        <v>266.84399999999999</v>
      </c>
      <c r="H285">
        <v>101.455</v>
      </c>
      <c r="I285">
        <v>4831.1548000000003</v>
      </c>
      <c r="J285">
        <v>6837.9599609999996</v>
      </c>
      <c r="K285">
        <v>459.58999599999999</v>
      </c>
      <c r="L285">
        <v>15123.87012</v>
      </c>
    </row>
    <row r="286" spans="1:12" x14ac:dyDescent="0.25">
      <c r="A286" s="1">
        <v>44587</v>
      </c>
      <c r="B286">
        <v>2796.8789999999999</v>
      </c>
      <c r="C286">
        <v>269.67899999999997</v>
      </c>
      <c r="D286">
        <v>4214.692</v>
      </c>
      <c r="E286">
        <v>421.72399999999999</v>
      </c>
      <c r="F286">
        <v>172.136</v>
      </c>
      <c r="G286">
        <v>267.00200000000001</v>
      </c>
      <c r="H286">
        <v>102.913</v>
      </c>
      <c r="I286">
        <v>4815.3683600000004</v>
      </c>
      <c r="J286">
        <v>6981.9599609999996</v>
      </c>
      <c r="K286">
        <v>467.30999800000001</v>
      </c>
      <c r="L286">
        <v>15459.389649999999</v>
      </c>
    </row>
    <row r="287" spans="1:12" x14ac:dyDescent="0.25">
      <c r="A287" s="1">
        <v>44588</v>
      </c>
      <c r="B287">
        <v>2745.4470000000001</v>
      </c>
      <c r="C287">
        <v>270.678</v>
      </c>
      <c r="D287">
        <v>4230.6019999999999</v>
      </c>
      <c r="E287">
        <v>419.94400000000002</v>
      </c>
      <c r="F287">
        <v>168.042</v>
      </c>
      <c r="G287">
        <v>267.74</v>
      </c>
      <c r="H287">
        <v>104.48399999999999</v>
      </c>
      <c r="I287">
        <v>4780.8378259999999</v>
      </c>
      <c r="J287">
        <v>7023.7998049999997</v>
      </c>
      <c r="K287">
        <v>470.32998700000002</v>
      </c>
      <c r="L287">
        <v>15524.26953</v>
      </c>
    </row>
    <row r="288" spans="1:12" x14ac:dyDescent="0.25">
      <c r="A288" s="1">
        <v>44589</v>
      </c>
      <c r="B288">
        <v>2713.578</v>
      </c>
      <c r="C288">
        <v>274.87700000000001</v>
      </c>
      <c r="D288">
        <v>4236.3639999999996</v>
      </c>
      <c r="E288">
        <v>418.99799999999999</v>
      </c>
      <c r="F288">
        <v>171.31</v>
      </c>
      <c r="G288">
        <v>271.33499999999998</v>
      </c>
      <c r="H288">
        <v>103.224</v>
      </c>
      <c r="I288">
        <v>4897.8972610000001</v>
      </c>
      <c r="J288">
        <v>6965.8798829999996</v>
      </c>
      <c r="K288">
        <v>465.54998799999998</v>
      </c>
      <c r="L288">
        <v>15318.950199999999</v>
      </c>
    </row>
    <row r="289" spans="1:12" x14ac:dyDescent="0.25">
      <c r="A289" s="1">
        <v>44592</v>
      </c>
      <c r="B289">
        <v>2743.451</v>
      </c>
      <c r="C289">
        <v>278.65199999999999</v>
      </c>
      <c r="D289">
        <v>4258.9070000000002</v>
      </c>
      <c r="E289">
        <v>423.32499999999999</v>
      </c>
      <c r="F289">
        <v>172.17400000000001</v>
      </c>
      <c r="G289">
        <v>274.95400000000001</v>
      </c>
      <c r="H289">
        <v>102.684</v>
      </c>
      <c r="I289">
        <v>5004.0562710000004</v>
      </c>
      <c r="J289">
        <v>6999.2001950000003</v>
      </c>
      <c r="K289">
        <v>468.88000499999998</v>
      </c>
      <c r="L289">
        <v>15471.200199999999</v>
      </c>
    </row>
    <row r="290" spans="1:12" x14ac:dyDescent="0.25">
      <c r="A290" s="1">
        <v>44593</v>
      </c>
      <c r="B290">
        <v>2737.3389999999999</v>
      </c>
      <c r="C290">
        <v>280.18799999999999</v>
      </c>
      <c r="D290">
        <v>4269.4589999999998</v>
      </c>
      <c r="E290">
        <v>423.87299999999999</v>
      </c>
      <c r="F290">
        <v>172.309</v>
      </c>
      <c r="G290">
        <v>276.33600000000001</v>
      </c>
      <c r="H290">
        <v>103.93</v>
      </c>
      <c r="I290">
        <v>5043.0959800000001</v>
      </c>
      <c r="J290">
        <v>7099.4902339999999</v>
      </c>
      <c r="K290">
        <v>474.85998499999999</v>
      </c>
      <c r="L290">
        <v>15619.389649999999</v>
      </c>
    </row>
    <row r="291" spans="1:12" x14ac:dyDescent="0.25">
      <c r="A291" s="1">
        <v>44594</v>
      </c>
      <c r="B291">
        <v>2720.8290000000002</v>
      </c>
      <c r="C291">
        <v>281.47000000000003</v>
      </c>
      <c r="D291">
        <v>4253.1570000000002</v>
      </c>
      <c r="E291">
        <v>421.82100000000003</v>
      </c>
      <c r="F291">
        <v>175.68199999999999</v>
      </c>
      <c r="G291">
        <v>277.30099999999999</v>
      </c>
      <c r="H291">
        <v>104.611</v>
      </c>
      <c r="I291">
        <v>5075.5401320000001</v>
      </c>
      <c r="J291">
        <v>7115.2700199999999</v>
      </c>
      <c r="K291">
        <v>477.01001000000002</v>
      </c>
      <c r="L291">
        <v>15613.76953</v>
      </c>
    </row>
    <row r="292" spans="1:12" x14ac:dyDescent="0.25">
      <c r="A292" s="1">
        <v>44595</v>
      </c>
      <c r="B292">
        <v>2686.7910000000002</v>
      </c>
      <c r="C292">
        <v>273.00200000000001</v>
      </c>
      <c r="D292">
        <v>4199.2139999999999</v>
      </c>
      <c r="E292">
        <v>416.33300000000003</v>
      </c>
      <c r="F292">
        <v>171.51</v>
      </c>
      <c r="G292">
        <v>269.49799999999999</v>
      </c>
      <c r="H292">
        <v>103.206</v>
      </c>
      <c r="I292">
        <v>4950.8938930000004</v>
      </c>
      <c r="J292">
        <v>7005.6298829999996</v>
      </c>
      <c r="K292">
        <v>468.63000499999998</v>
      </c>
      <c r="L292">
        <v>15368.469730000001</v>
      </c>
    </row>
    <row r="293" spans="1:12" x14ac:dyDescent="0.25">
      <c r="A293" s="1">
        <v>44596</v>
      </c>
      <c r="B293">
        <v>2719.221</v>
      </c>
      <c r="C293">
        <v>273.19299999999998</v>
      </c>
      <c r="D293">
        <v>4198.125</v>
      </c>
      <c r="E293">
        <v>419.12200000000001</v>
      </c>
      <c r="F293">
        <v>171.369</v>
      </c>
      <c r="G293">
        <v>269.87400000000002</v>
      </c>
      <c r="H293">
        <v>102.245</v>
      </c>
      <c r="I293">
        <v>4983.6570419999998</v>
      </c>
      <c r="J293">
        <v>6951.3798829999996</v>
      </c>
      <c r="K293">
        <v>462.14999399999999</v>
      </c>
      <c r="L293">
        <v>15099.559569999999</v>
      </c>
    </row>
    <row r="294" spans="1:12" x14ac:dyDescent="0.25">
      <c r="A294" s="1">
        <v>44599</v>
      </c>
      <c r="B294">
        <v>2733.047</v>
      </c>
      <c r="C294">
        <v>272.95299999999997</v>
      </c>
      <c r="D294">
        <v>4192.7370000000001</v>
      </c>
      <c r="E294">
        <v>418.423</v>
      </c>
      <c r="F294">
        <v>171.29300000000001</v>
      </c>
      <c r="G294">
        <v>269.61200000000002</v>
      </c>
      <c r="H294">
        <v>103.01300000000001</v>
      </c>
      <c r="I294">
        <v>4970.2035800000003</v>
      </c>
      <c r="J294">
        <v>7009.25</v>
      </c>
      <c r="K294">
        <v>465.27999899999998</v>
      </c>
      <c r="L294">
        <v>15206.639649999999</v>
      </c>
    </row>
    <row r="295" spans="1:12" x14ac:dyDescent="0.25">
      <c r="A295" s="1">
        <v>44600</v>
      </c>
      <c r="B295">
        <v>2717.0059999999999</v>
      </c>
      <c r="C295">
        <v>275.14499999999998</v>
      </c>
      <c r="D295">
        <v>4223.2160000000003</v>
      </c>
      <c r="E295">
        <v>419.52100000000002</v>
      </c>
      <c r="F295">
        <v>171.43</v>
      </c>
      <c r="G295">
        <v>271.608</v>
      </c>
      <c r="H295">
        <v>103.298</v>
      </c>
      <c r="I295">
        <v>5016.8573470000001</v>
      </c>
      <c r="J295">
        <v>7028.4101559999999</v>
      </c>
      <c r="K295">
        <v>465.33999599999999</v>
      </c>
      <c r="L295">
        <v>15242.37988</v>
      </c>
    </row>
    <row r="296" spans="1:12" x14ac:dyDescent="0.25">
      <c r="A296" s="1">
        <v>44601</v>
      </c>
      <c r="B296">
        <v>2771.1930000000002</v>
      </c>
      <c r="C296">
        <v>279.21100000000001</v>
      </c>
      <c r="D296">
        <v>4268.5169999999998</v>
      </c>
      <c r="E296">
        <v>426.077</v>
      </c>
      <c r="F296">
        <v>173.11199999999999</v>
      </c>
      <c r="G296">
        <v>275.64800000000002</v>
      </c>
      <c r="H296">
        <v>104.125</v>
      </c>
      <c r="I296">
        <v>5096.4440809999996</v>
      </c>
      <c r="J296">
        <v>7130.8798829999996</v>
      </c>
      <c r="K296">
        <v>473.32998700000002</v>
      </c>
      <c r="L296">
        <v>15482.009770000001</v>
      </c>
    </row>
    <row r="297" spans="1:12" x14ac:dyDescent="0.25">
      <c r="A297" s="1">
        <v>44602</v>
      </c>
      <c r="B297">
        <v>2772.3780000000002</v>
      </c>
      <c r="C297">
        <v>274.971</v>
      </c>
      <c r="D297">
        <v>4294.9809999999998</v>
      </c>
      <c r="E297">
        <v>428.49900000000002</v>
      </c>
      <c r="F297">
        <v>172.70599999999999</v>
      </c>
      <c r="G297">
        <v>272.12900000000002</v>
      </c>
      <c r="H297">
        <v>104.727</v>
      </c>
      <c r="I297">
        <v>5007.381343</v>
      </c>
      <c r="J297">
        <v>7101.5498049999997</v>
      </c>
      <c r="K297">
        <v>472.35000600000001</v>
      </c>
      <c r="L297">
        <v>15490.440430000001</v>
      </c>
    </row>
    <row r="298" spans="1:12" x14ac:dyDescent="0.25">
      <c r="A298" s="1">
        <v>44603</v>
      </c>
      <c r="B298">
        <v>2761.9740000000002</v>
      </c>
      <c r="C298">
        <v>272.14400000000001</v>
      </c>
      <c r="D298">
        <v>4283.8100000000004</v>
      </c>
      <c r="E298">
        <v>427.25799999999998</v>
      </c>
      <c r="F298">
        <v>173.78700000000001</v>
      </c>
      <c r="G298">
        <v>269.56799999999998</v>
      </c>
      <c r="H298">
        <v>105.084</v>
      </c>
      <c r="I298">
        <v>4913.5882449999999</v>
      </c>
      <c r="J298">
        <v>7011.6000979999999</v>
      </c>
      <c r="K298">
        <v>469.57000699999998</v>
      </c>
      <c r="L298">
        <v>15425.12012</v>
      </c>
    </row>
    <row r="299" spans="1:12" x14ac:dyDescent="0.25">
      <c r="A299" s="1">
        <v>44606</v>
      </c>
      <c r="B299">
        <v>2747.0880000000002</v>
      </c>
      <c r="C299">
        <v>271.92700000000002</v>
      </c>
      <c r="D299">
        <v>4251.72</v>
      </c>
      <c r="E299">
        <v>423.87</v>
      </c>
      <c r="F299">
        <v>172.536</v>
      </c>
      <c r="G299">
        <v>269.125</v>
      </c>
      <c r="H299">
        <v>103.485</v>
      </c>
      <c r="I299">
        <v>4894.5414090000004</v>
      </c>
      <c r="J299">
        <v>6852.2001950000003</v>
      </c>
      <c r="K299">
        <v>460.959991</v>
      </c>
      <c r="L299">
        <v>15113.969730000001</v>
      </c>
    </row>
    <row r="300" spans="1:12" x14ac:dyDescent="0.25">
      <c r="A300" s="1">
        <v>44607</v>
      </c>
      <c r="B300">
        <v>2757.1060000000002</v>
      </c>
      <c r="C300">
        <v>274.62599999999998</v>
      </c>
      <c r="D300">
        <v>4270.9009999999998</v>
      </c>
      <c r="E300">
        <v>425.06400000000002</v>
      </c>
      <c r="F300">
        <v>169.892</v>
      </c>
      <c r="G300">
        <v>271.57</v>
      </c>
      <c r="H300">
        <v>104.134</v>
      </c>
      <c r="I300">
        <v>4981.0658190000004</v>
      </c>
      <c r="J300">
        <v>6979.9702150000003</v>
      </c>
      <c r="K300">
        <v>467.55999800000001</v>
      </c>
      <c r="L300">
        <v>15412.70996</v>
      </c>
    </row>
    <row r="301" spans="1:12" x14ac:dyDescent="0.25">
      <c r="A301" s="1">
        <v>44608</v>
      </c>
      <c r="B301">
        <v>2782.0419999999999</v>
      </c>
      <c r="C301">
        <v>274.97500000000002</v>
      </c>
      <c r="D301">
        <v>4319.5969999999998</v>
      </c>
      <c r="E301">
        <v>429.99700000000001</v>
      </c>
      <c r="F301">
        <v>173.215</v>
      </c>
      <c r="G301">
        <v>272.245</v>
      </c>
      <c r="H301">
        <v>104.449</v>
      </c>
      <c r="I301">
        <v>4983.2327029999997</v>
      </c>
      <c r="J301">
        <v>6964.9799800000001</v>
      </c>
      <c r="K301">
        <v>467.76998900000001</v>
      </c>
      <c r="L301">
        <v>15396.070309999999</v>
      </c>
    </row>
    <row r="302" spans="1:12" x14ac:dyDescent="0.25">
      <c r="A302" s="1">
        <v>44609</v>
      </c>
      <c r="B302">
        <v>2790.0309999999999</v>
      </c>
      <c r="C302">
        <v>270.279</v>
      </c>
      <c r="D302">
        <v>4305.1450000000004</v>
      </c>
      <c r="E302">
        <v>429.40699999999998</v>
      </c>
      <c r="F302">
        <v>172.48</v>
      </c>
      <c r="G302">
        <v>268.10199999999998</v>
      </c>
      <c r="H302">
        <v>103.839</v>
      </c>
      <c r="I302">
        <v>4871.4666909999996</v>
      </c>
      <c r="J302">
        <v>6946.8198240000002</v>
      </c>
      <c r="K302">
        <v>464.54998799999998</v>
      </c>
      <c r="L302">
        <v>15267.62988</v>
      </c>
    </row>
    <row r="303" spans="1:12" x14ac:dyDescent="0.25">
      <c r="A303" s="1">
        <v>44610</v>
      </c>
      <c r="B303">
        <v>2773.9969999999998</v>
      </c>
      <c r="C303">
        <v>268.62700000000001</v>
      </c>
      <c r="D303">
        <v>4294.826</v>
      </c>
      <c r="E303">
        <v>426.56900000000002</v>
      </c>
      <c r="F303">
        <v>172.00899999999999</v>
      </c>
      <c r="G303">
        <v>266.447</v>
      </c>
      <c r="H303">
        <v>103.599</v>
      </c>
      <c r="I303">
        <v>4832.349158</v>
      </c>
      <c r="J303">
        <v>6929.6298829999996</v>
      </c>
      <c r="K303">
        <v>460.80999800000001</v>
      </c>
      <c r="L303">
        <v>15042.509770000001</v>
      </c>
    </row>
    <row r="304" spans="1:12" x14ac:dyDescent="0.25">
      <c r="A304" s="1">
        <v>44613</v>
      </c>
      <c r="B304">
        <v>2747.5990000000002</v>
      </c>
      <c r="C304">
        <v>268.065</v>
      </c>
      <c r="D304">
        <v>4262.1719999999996</v>
      </c>
      <c r="E304">
        <v>422.51</v>
      </c>
      <c r="F304">
        <v>171.34200000000001</v>
      </c>
      <c r="G304">
        <v>265.65300000000002</v>
      </c>
      <c r="H304">
        <v>103.53100000000001</v>
      </c>
      <c r="I304">
        <v>4832.349158</v>
      </c>
      <c r="J304">
        <v>6788.3398440000001</v>
      </c>
      <c r="K304">
        <v>454.80999800000001</v>
      </c>
      <c r="L304">
        <v>14731.12012</v>
      </c>
    </row>
    <row r="305" spans="1:12" x14ac:dyDescent="0.25">
      <c r="A305" s="1">
        <v>44614</v>
      </c>
      <c r="B305">
        <v>2701.348</v>
      </c>
      <c r="C305">
        <v>265.73399999999998</v>
      </c>
      <c r="D305">
        <v>4237.674</v>
      </c>
      <c r="E305">
        <v>418.12</v>
      </c>
      <c r="F305">
        <v>168.27799999999999</v>
      </c>
      <c r="G305">
        <v>263.28899999999999</v>
      </c>
      <c r="H305">
        <v>103.568</v>
      </c>
      <c r="I305">
        <v>4779.08446</v>
      </c>
      <c r="J305">
        <v>6787.6000979999999</v>
      </c>
      <c r="K305">
        <v>455.11999500000002</v>
      </c>
      <c r="L305">
        <v>14693</v>
      </c>
    </row>
    <row r="306" spans="1:12" x14ac:dyDescent="0.25">
      <c r="A306" s="1">
        <v>44615</v>
      </c>
      <c r="B306">
        <v>2725.95</v>
      </c>
      <c r="C306">
        <v>262.334</v>
      </c>
      <c r="D306">
        <v>4237.2110000000002</v>
      </c>
      <c r="E306">
        <v>418.56799999999998</v>
      </c>
      <c r="F306">
        <v>168.47</v>
      </c>
      <c r="G306">
        <v>260.35500000000002</v>
      </c>
      <c r="H306">
        <v>103.523</v>
      </c>
      <c r="I306">
        <v>4688.8579030000001</v>
      </c>
      <c r="J306">
        <v>6780.669922</v>
      </c>
      <c r="K306">
        <v>453.85998499999999</v>
      </c>
      <c r="L306">
        <v>14631.360350000001</v>
      </c>
    </row>
    <row r="307" spans="1:12" x14ac:dyDescent="0.25">
      <c r="A307" s="1">
        <v>44616</v>
      </c>
      <c r="B307">
        <v>2707.6770000000001</v>
      </c>
      <c r="C307">
        <v>266.99200000000002</v>
      </c>
      <c r="D307">
        <v>4103.4080000000004</v>
      </c>
      <c r="E307">
        <v>408.12099999999998</v>
      </c>
      <c r="F307">
        <v>168.554</v>
      </c>
      <c r="G307">
        <v>263.63600000000002</v>
      </c>
      <c r="H307">
        <v>99.356999999999999</v>
      </c>
      <c r="I307">
        <v>4769.7551860000003</v>
      </c>
      <c r="J307">
        <v>6521.0498049999997</v>
      </c>
      <c r="K307">
        <v>438.959991</v>
      </c>
      <c r="L307">
        <v>14052.099609999999</v>
      </c>
    </row>
    <row r="308" spans="1:12" x14ac:dyDescent="0.25">
      <c r="A308" s="1">
        <v>44617</v>
      </c>
      <c r="B308">
        <v>2692.1790000000001</v>
      </c>
      <c r="C308">
        <v>270.613</v>
      </c>
      <c r="D308">
        <v>4140.7550000000001</v>
      </c>
      <c r="E308">
        <v>409.33</v>
      </c>
      <c r="F308">
        <v>168.47800000000001</v>
      </c>
      <c r="G308">
        <v>266.887</v>
      </c>
      <c r="H308">
        <v>103.098</v>
      </c>
      <c r="I308">
        <v>4877.76</v>
      </c>
      <c r="J308">
        <v>6752.4301759999998</v>
      </c>
      <c r="K308">
        <v>453.52999899999998</v>
      </c>
      <c r="L308">
        <v>14567.23047</v>
      </c>
    </row>
    <row r="309" spans="1:12" x14ac:dyDescent="0.25">
      <c r="A309" s="1">
        <v>44620</v>
      </c>
      <c r="B309">
        <v>2704.4079999999999</v>
      </c>
      <c r="C309">
        <v>270.733</v>
      </c>
      <c r="D309">
        <v>4137.5839999999998</v>
      </c>
      <c r="E309">
        <v>409.58499999999998</v>
      </c>
      <c r="F309">
        <v>169.851</v>
      </c>
      <c r="G309">
        <v>267.01100000000002</v>
      </c>
      <c r="H309">
        <v>102.842</v>
      </c>
      <c r="I309">
        <v>4871.8389960000004</v>
      </c>
      <c r="J309">
        <v>6658.830078</v>
      </c>
      <c r="K309">
        <v>453.10998499999999</v>
      </c>
      <c r="L309">
        <v>14461.01953</v>
      </c>
    </row>
    <row r="310" spans="1:12" x14ac:dyDescent="0.25">
      <c r="A310" s="1">
        <v>44621</v>
      </c>
      <c r="B310">
        <v>2743.4459999999999</v>
      </c>
      <c r="C310">
        <v>268.608</v>
      </c>
      <c r="D310">
        <v>4184.7439999999997</v>
      </c>
      <c r="E310">
        <v>414.71699999999998</v>
      </c>
      <c r="F310">
        <v>172.78399999999999</v>
      </c>
      <c r="G310">
        <v>265.54399999999998</v>
      </c>
      <c r="H310">
        <v>101.61799999999999</v>
      </c>
      <c r="I310">
        <v>4794.7504950000002</v>
      </c>
      <c r="J310">
        <v>6396.4902339999999</v>
      </c>
      <c r="K310">
        <v>442.36999500000002</v>
      </c>
      <c r="L310">
        <v>13904.849609999999</v>
      </c>
    </row>
    <row r="311" spans="1:12" x14ac:dyDescent="0.25">
      <c r="A311" s="1">
        <v>44622</v>
      </c>
      <c r="B311">
        <v>2732.3890000000001</v>
      </c>
      <c r="C311">
        <v>273.49200000000002</v>
      </c>
      <c r="D311">
        <v>4197.2780000000002</v>
      </c>
      <c r="E311">
        <v>414.642</v>
      </c>
      <c r="F311">
        <v>169.40100000000001</v>
      </c>
      <c r="G311">
        <v>269.79899999999998</v>
      </c>
      <c r="H311">
        <v>103.42700000000001</v>
      </c>
      <c r="I311">
        <v>4885.9274230000001</v>
      </c>
      <c r="J311">
        <v>6498.0200199999999</v>
      </c>
      <c r="K311">
        <v>446.32998700000002</v>
      </c>
      <c r="L311">
        <v>14000.110350000001</v>
      </c>
    </row>
    <row r="312" spans="1:12" x14ac:dyDescent="0.25">
      <c r="A312" s="1">
        <v>44623</v>
      </c>
      <c r="B312">
        <v>2709.2919999999999</v>
      </c>
      <c r="C312">
        <v>271.60399999999998</v>
      </c>
      <c r="D312">
        <v>4239.12</v>
      </c>
      <c r="E312">
        <v>416.30399999999997</v>
      </c>
      <c r="F312">
        <v>171.37100000000001</v>
      </c>
      <c r="G312">
        <v>268.27699999999999</v>
      </c>
      <c r="H312">
        <v>101.07899999999999</v>
      </c>
      <c r="I312">
        <v>4848.9354169999997</v>
      </c>
      <c r="J312">
        <v>6378.3701170000004</v>
      </c>
      <c r="K312">
        <v>437.35998499999999</v>
      </c>
      <c r="L312">
        <v>13698.400390000001</v>
      </c>
    </row>
    <row r="313" spans="1:12" x14ac:dyDescent="0.25">
      <c r="A313" s="1">
        <v>44624</v>
      </c>
      <c r="B313">
        <v>2683.8330000000001</v>
      </c>
      <c r="C313">
        <v>270.86599999999999</v>
      </c>
      <c r="D313">
        <v>4206.741</v>
      </c>
      <c r="E313">
        <v>411.81</v>
      </c>
      <c r="F313">
        <v>171.38300000000001</v>
      </c>
      <c r="G313">
        <v>267.29500000000002</v>
      </c>
      <c r="H313">
        <v>98.046000000000006</v>
      </c>
      <c r="I313">
        <v>4800.9482200000002</v>
      </c>
      <c r="J313">
        <v>6061.6601559999999</v>
      </c>
      <c r="K313">
        <v>421.77999899999998</v>
      </c>
      <c r="L313">
        <v>13094.54004</v>
      </c>
    </row>
    <row r="314" spans="1:12" x14ac:dyDescent="0.25">
      <c r="A314" s="1">
        <v>44627</v>
      </c>
      <c r="B314">
        <v>2600.7669999999998</v>
      </c>
      <c r="C314">
        <v>264.73399999999998</v>
      </c>
      <c r="D314">
        <v>4095.377</v>
      </c>
      <c r="E314">
        <v>399.89400000000001</v>
      </c>
      <c r="F314">
        <v>166.39</v>
      </c>
      <c r="G314">
        <v>261.048</v>
      </c>
      <c r="H314">
        <v>97.525999999999996</v>
      </c>
      <c r="I314">
        <v>4653.2956290000002</v>
      </c>
      <c r="J314">
        <v>5982.2700199999999</v>
      </c>
      <c r="K314">
        <v>417.13000499999998</v>
      </c>
      <c r="L314">
        <v>12834.650390000001</v>
      </c>
    </row>
    <row r="315" spans="1:12" x14ac:dyDescent="0.25">
      <c r="A315" s="1">
        <v>44628</v>
      </c>
      <c r="B315">
        <v>2545.7049999999999</v>
      </c>
      <c r="C315">
        <v>262.63499999999999</v>
      </c>
      <c r="D315">
        <v>4072.1529999999998</v>
      </c>
      <c r="E315">
        <v>395.75799999999998</v>
      </c>
      <c r="F315">
        <v>163.084</v>
      </c>
      <c r="G315">
        <v>258.90499999999997</v>
      </c>
      <c r="H315">
        <v>97.456999999999994</v>
      </c>
      <c r="I315">
        <v>4628.1389069999996</v>
      </c>
      <c r="J315">
        <v>5962.9599609999996</v>
      </c>
      <c r="K315">
        <v>415.01001000000002</v>
      </c>
      <c r="L315">
        <v>12831.509770000001</v>
      </c>
    </row>
    <row r="316" spans="1:12" x14ac:dyDescent="0.25">
      <c r="A316" s="1">
        <v>44629</v>
      </c>
      <c r="B316">
        <v>2497.1309999999999</v>
      </c>
      <c r="C316">
        <v>266.41300000000001</v>
      </c>
      <c r="D316">
        <v>3979.8980000000001</v>
      </c>
      <c r="E316">
        <v>387.827</v>
      </c>
      <c r="F316">
        <v>160.221</v>
      </c>
      <c r="G316">
        <v>261.60300000000001</v>
      </c>
      <c r="H316">
        <v>99.242999999999995</v>
      </c>
      <c r="I316">
        <v>4752.3553830000001</v>
      </c>
      <c r="J316">
        <v>6387.830078</v>
      </c>
      <c r="K316">
        <v>434.45001200000002</v>
      </c>
      <c r="L316">
        <v>13847.929690000001</v>
      </c>
    </row>
    <row r="317" spans="1:12" x14ac:dyDescent="0.25">
      <c r="A317" s="1">
        <v>44630</v>
      </c>
      <c r="B317">
        <v>2519.0680000000002</v>
      </c>
      <c r="C317">
        <v>266.11599999999999</v>
      </c>
      <c r="D317">
        <v>4055.8560000000002</v>
      </c>
      <c r="E317">
        <v>393.07900000000001</v>
      </c>
      <c r="F317">
        <v>166.916</v>
      </c>
      <c r="G317">
        <v>261.74</v>
      </c>
      <c r="H317">
        <v>97.995999999999995</v>
      </c>
      <c r="I317">
        <v>4731.7217739999996</v>
      </c>
      <c r="J317">
        <v>6207.2001950000003</v>
      </c>
      <c r="K317">
        <v>427.11999500000002</v>
      </c>
      <c r="L317">
        <v>13442.099609999999</v>
      </c>
    </row>
    <row r="318" spans="1:12" x14ac:dyDescent="0.25">
      <c r="A318" s="1">
        <v>44631</v>
      </c>
      <c r="B318">
        <v>2484.3589999999999</v>
      </c>
      <c r="C318">
        <v>264.447</v>
      </c>
      <c r="D318">
        <v>4048.2820000000002</v>
      </c>
      <c r="E318">
        <v>388.827</v>
      </c>
      <c r="F318">
        <v>163.19300000000001</v>
      </c>
      <c r="G318">
        <v>259.96300000000002</v>
      </c>
      <c r="H318">
        <v>98.843000000000004</v>
      </c>
      <c r="I318">
        <v>4665.2849939999996</v>
      </c>
      <c r="J318">
        <v>6260.25</v>
      </c>
      <c r="K318">
        <v>431.17001299999998</v>
      </c>
      <c r="L318">
        <v>13628.110350000001</v>
      </c>
    </row>
    <row r="319" spans="1:12" x14ac:dyDescent="0.25">
      <c r="A319" s="1">
        <v>44634</v>
      </c>
      <c r="B319">
        <v>2336.6080000000002</v>
      </c>
      <c r="C319">
        <v>262.86099999999999</v>
      </c>
      <c r="D319">
        <v>4011.9569999999999</v>
      </c>
      <c r="E319">
        <v>377.38400000000001</v>
      </c>
      <c r="F319">
        <v>162.667</v>
      </c>
      <c r="G319">
        <v>257.71800000000002</v>
      </c>
      <c r="H319">
        <v>98.948999999999998</v>
      </c>
      <c r="I319">
        <v>4620.4259769999999</v>
      </c>
      <c r="J319">
        <v>6369.9399409999996</v>
      </c>
      <c r="K319">
        <v>436.35000600000001</v>
      </c>
      <c r="L319">
        <v>13929.110350000001</v>
      </c>
    </row>
    <row r="320" spans="1:12" x14ac:dyDescent="0.25">
      <c r="A320" s="1">
        <v>44635</v>
      </c>
      <c r="B320">
        <v>2207.0810000000001</v>
      </c>
      <c r="C320">
        <v>266.68299999999999</v>
      </c>
      <c r="D320">
        <v>3960.7759999999998</v>
      </c>
      <c r="E320">
        <v>367.5</v>
      </c>
      <c r="F320">
        <v>163.601</v>
      </c>
      <c r="G320">
        <v>260.30700000000002</v>
      </c>
      <c r="H320">
        <v>98.918000000000006</v>
      </c>
      <c r="I320">
        <v>4716.7745219999997</v>
      </c>
      <c r="J320">
        <v>6355</v>
      </c>
      <c r="K320">
        <v>435.11999500000002</v>
      </c>
      <c r="L320">
        <v>13917.26953</v>
      </c>
    </row>
    <row r="321" spans="1:12" x14ac:dyDescent="0.25">
      <c r="A321" s="1">
        <v>44636</v>
      </c>
      <c r="B321">
        <v>2425.4650000000001</v>
      </c>
      <c r="C321">
        <v>272.74</v>
      </c>
      <c r="D321">
        <v>4024.9479999999999</v>
      </c>
      <c r="E321">
        <v>386.20600000000002</v>
      </c>
      <c r="F321">
        <v>165.65100000000001</v>
      </c>
      <c r="G321">
        <v>267</v>
      </c>
      <c r="H321">
        <v>100.431</v>
      </c>
      <c r="I321">
        <v>4833.2514220000003</v>
      </c>
      <c r="J321">
        <v>6588.6401370000003</v>
      </c>
      <c r="K321">
        <v>448.45001200000002</v>
      </c>
      <c r="L321">
        <v>14440.740229999999</v>
      </c>
    </row>
    <row r="322" spans="1:12" x14ac:dyDescent="0.25">
      <c r="A322" s="1">
        <v>44637</v>
      </c>
      <c r="B322">
        <v>2500.4940000000001</v>
      </c>
      <c r="C322">
        <v>274.02699999999999</v>
      </c>
      <c r="D322">
        <v>4090.67</v>
      </c>
      <c r="E322">
        <v>396.291</v>
      </c>
      <c r="F322">
        <v>168.27099999999999</v>
      </c>
      <c r="G322">
        <v>268.88299999999998</v>
      </c>
      <c r="H322">
        <v>101.111</v>
      </c>
      <c r="I322">
        <v>4898.0612060000003</v>
      </c>
      <c r="J322">
        <v>6612.5200199999999</v>
      </c>
      <c r="K322">
        <v>450.48998999999998</v>
      </c>
      <c r="L322">
        <v>14388.059569999999</v>
      </c>
    </row>
    <row r="323" spans="1:12" x14ac:dyDescent="0.25">
      <c r="A323" s="1">
        <v>44638</v>
      </c>
      <c r="B323">
        <v>2515.056</v>
      </c>
      <c r="C323">
        <v>278.24599999999998</v>
      </c>
      <c r="D323">
        <v>4127.8649999999998</v>
      </c>
      <c r="E323">
        <v>399.20699999999999</v>
      </c>
      <c r="F323">
        <v>169.20099999999999</v>
      </c>
      <c r="G323">
        <v>272.78199999999998</v>
      </c>
      <c r="H323">
        <v>102.023</v>
      </c>
      <c r="I323">
        <v>4959.2572099999998</v>
      </c>
      <c r="J323">
        <v>6620.2402339999999</v>
      </c>
      <c r="K323">
        <v>454.60000600000001</v>
      </c>
      <c r="L323">
        <v>14413.089840000001</v>
      </c>
    </row>
    <row r="324" spans="1:12" x14ac:dyDescent="0.25">
      <c r="A324" s="1">
        <v>44641</v>
      </c>
      <c r="B324">
        <v>2494.105</v>
      </c>
      <c r="C324">
        <v>278.17399999999998</v>
      </c>
      <c r="D324">
        <v>4113.79</v>
      </c>
      <c r="E324">
        <v>396.428</v>
      </c>
      <c r="F324">
        <v>169.221</v>
      </c>
      <c r="G324">
        <v>272.51</v>
      </c>
      <c r="H324">
        <v>102.917</v>
      </c>
      <c r="I324">
        <v>4950.7480640000003</v>
      </c>
      <c r="J324">
        <v>6582.330078</v>
      </c>
      <c r="K324">
        <v>454.790009</v>
      </c>
      <c r="L324">
        <v>14326.969730000001</v>
      </c>
    </row>
    <row r="325" spans="1:12" x14ac:dyDescent="0.25">
      <c r="A325" s="1">
        <v>44642</v>
      </c>
      <c r="B325">
        <v>2554.3780000000002</v>
      </c>
      <c r="C325">
        <v>281.67399999999998</v>
      </c>
      <c r="D325">
        <v>4140.4179999999997</v>
      </c>
      <c r="E325">
        <v>403.17</v>
      </c>
      <c r="F325">
        <v>170.02</v>
      </c>
      <c r="G325">
        <v>276.07100000000003</v>
      </c>
      <c r="H325">
        <v>104.148</v>
      </c>
      <c r="I325">
        <v>5009.8228019999997</v>
      </c>
      <c r="J325">
        <v>6659.4101559999999</v>
      </c>
      <c r="K325">
        <v>458.64999399999999</v>
      </c>
      <c r="L325">
        <v>14473.200199999999</v>
      </c>
    </row>
    <row r="326" spans="1:12" x14ac:dyDescent="0.25">
      <c r="A326" s="1">
        <v>44643</v>
      </c>
      <c r="B326">
        <v>2581.0419999999999</v>
      </c>
      <c r="C326">
        <v>279.64</v>
      </c>
      <c r="D326">
        <v>4174.2790000000005</v>
      </c>
      <c r="E326">
        <v>407.24599999999998</v>
      </c>
      <c r="F326">
        <v>173.96899999999999</v>
      </c>
      <c r="G326">
        <v>274.60300000000001</v>
      </c>
      <c r="H326">
        <v>103.804</v>
      </c>
      <c r="I326">
        <v>4945.8272280000001</v>
      </c>
      <c r="J326">
        <v>6581.4301759999998</v>
      </c>
      <c r="K326">
        <v>454.02999899999998</v>
      </c>
      <c r="L326">
        <v>14283.650390000001</v>
      </c>
    </row>
    <row r="327" spans="1:12" x14ac:dyDescent="0.25">
      <c r="A327" s="1">
        <v>44644</v>
      </c>
      <c r="B327">
        <v>2551.5619999999999</v>
      </c>
      <c r="C327">
        <v>282.14800000000002</v>
      </c>
      <c r="D327">
        <v>4179.4040000000005</v>
      </c>
      <c r="E327">
        <v>405.678</v>
      </c>
      <c r="F327">
        <v>172.81899999999999</v>
      </c>
      <c r="G327">
        <v>276.673</v>
      </c>
      <c r="H327">
        <v>103.693</v>
      </c>
      <c r="I327">
        <v>5015.5399770000004</v>
      </c>
      <c r="J327">
        <v>6555.7700199999999</v>
      </c>
      <c r="K327">
        <v>453.07000699999998</v>
      </c>
      <c r="L327">
        <v>14273.79004</v>
      </c>
    </row>
    <row r="328" spans="1:12" x14ac:dyDescent="0.25">
      <c r="A328" s="1">
        <v>44645</v>
      </c>
      <c r="B328">
        <v>2487.7919999999999</v>
      </c>
      <c r="C328">
        <v>283.44799999999998</v>
      </c>
      <c r="D328">
        <v>4187.4219999999996</v>
      </c>
      <c r="E328">
        <v>402.25799999999998</v>
      </c>
      <c r="F328">
        <v>173.15600000000001</v>
      </c>
      <c r="G328">
        <v>277.55</v>
      </c>
      <c r="H328">
        <v>104.27800000000001</v>
      </c>
      <c r="I328">
        <v>5035.1188650000004</v>
      </c>
      <c r="J328">
        <v>6553.6801759999998</v>
      </c>
      <c r="K328">
        <v>453.54998799999998</v>
      </c>
      <c r="L328">
        <v>14305.759770000001</v>
      </c>
    </row>
    <row r="329" spans="1:12" x14ac:dyDescent="0.25">
      <c r="A329" s="1">
        <v>44648</v>
      </c>
      <c r="B329">
        <v>2502.9540000000002</v>
      </c>
      <c r="C329">
        <v>285.00099999999998</v>
      </c>
      <c r="D329">
        <v>4169.1959999999999</v>
      </c>
      <c r="E329">
        <v>402.73899999999998</v>
      </c>
      <c r="F329">
        <v>170.542</v>
      </c>
      <c r="G329">
        <v>278.94</v>
      </c>
      <c r="H329">
        <v>103.40300000000001</v>
      </c>
      <c r="I329">
        <v>5069.8937740000001</v>
      </c>
      <c r="J329">
        <v>6589.1098629999997</v>
      </c>
      <c r="K329">
        <v>454.17001299999998</v>
      </c>
      <c r="L329">
        <v>14417.37012</v>
      </c>
    </row>
    <row r="330" spans="1:12" x14ac:dyDescent="0.25">
      <c r="A330" s="1">
        <v>44649</v>
      </c>
      <c r="B330">
        <v>2489.8130000000001</v>
      </c>
      <c r="C330">
        <v>286.11</v>
      </c>
      <c r="D330">
        <v>4154.1229999999996</v>
      </c>
      <c r="E330">
        <v>402.03</v>
      </c>
      <c r="F330">
        <v>171.392</v>
      </c>
      <c r="G330">
        <v>279.85399999999998</v>
      </c>
      <c r="H330">
        <v>103.316</v>
      </c>
      <c r="I330">
        <v>5144.0479660000001</v>
      </c>
      <c r="J330">
        <v>6792.1601559999999</v>
      </c>
      <c r="K330">
        <v>462.08999599999999</v>
      </c>
      <c r="L330">
        <v>14820.33008</v>
      </c>
    </row>
    <row r="331" spans="1:12" x14ac:dyDescent="0.25">
      <c r="A331" s="1">
        <v>44650</v>
      </c>
      <c r="B331">
        <v>2528.5740000000001</v>
      </c>
      <c r="C331">
        <v>283.22800000000001</v>
      </c>
      <c r="D331">
        <v>4171.2939999999999</v>
      </c>
      <c r="E331">
        <v>404.31900000000002</v>
      </c>
      <c r="F331">
        <v>169.274</v>
      </c>
      <c r="G331">
        <v>277.51299999999998</v>
      </c>
      <c r="H331">
        <v>103.77500000000001</v>
      </c>
      <c r="I331">
        <v>5102.1984149999998</v>
      </c>
      <c r="J331">
        <v>6741.5898440000001</v>
      </c>
      <c r="K331">
        <v>460.19000199999999</v>
      </c>
      <c r="L331">
        <v>14606.04981</v>
      </c>
    </row>
    <row r="332" spans="1:12" x14ac:dyDescent="0.25">
      <c r="A332" s="1">
        <v>44651</v>
      </c>
      <c r="B332">
        <v>2502.8850000000002</v>
      </c>
      <c r="C332">
        <v>280.19400000000002</v>
      </c>
      <c r="D332">
        <v>4178.6679999999997</v>
      </c>
      <c r="E332">
        <v>403.04700000000003</v>
      </c>
      <c r="F332">
        <v>169.05799999999999</v>
      </c>
      <c r="G332">
        <v>274.77100000000002</v>
      </c>
      <c r="H332">
        <v>103.21599999999999</v>
      </c>
      <c r="I332">
        <v>5024.4563340000004</v>
      </c>
      <c r="J332">
        <v>6659.8701170000004</v>
      </c>
      <c r="K332">
        <v>455.85998499999999</v>
      </c>
      <c r="L332">
        <v>14414.75</v>
      </c>
    </row>
    <row r="333" spans="1:12" x14ac:dyDescent="0.25">
      <c r="A333" s="1">
        <v>44652</v>
      </c>
      <c r="B333">
        <v>2546.88</v>
      </c>
      <c r="C333">
        <v>282.84899999999999</v>
      </c>
      <c r="D333">
        <v>4217.4979999999996</v>
      </c>
      <c r="E333">
        <v>407.779</v>
      </c>
      <c r="F333">
        <v>168.11099999999999</v>
      </c>
      <c r="G333">
        <v>277.44299999999998</v>
      </c>
      <c r="H333">
        <v>103.94799999999999</v>
      </c>
      <c r="I333">
        <v>5046.1022160000002</v>
      </c>
      <c r="J333">
        <v>6684.3100590000004</v>
      </c>
      <c r="K333">
        <v>458.33999599999999</v>
      </c>
      <c r="L333">
        <v>14446.48047</v>
      </c>
    </row>
    <row r="334" spans="1:12" x14ac:dyDescent="0.25">
      <c r="A334" s="1">
        <v>44655</v>
      </c>
      <c r="B334">
        <v>2602.482</v>
      </c>
      <c r="C334">
        <v>286.13600000000002</v>
      </c>
      <c r="D334">
        <v>4259.6850000000004</v>
      </c>
      <c r="E334">
        <v>414.90499999999997</v>
      </c>
      <c r="F334">
        <v>169.62</v>
      </c>
      <c r="G334">
        <v>280.84699999999998</v>
      </c>
      <c r="H334">
        <v>104.60299999999999</v>
      </c>
      <c r="I334">
        <v>5086.7628889999996</v>
      </c>
      <c r="J334">
        <v>6731.3701170000004</v>
      </c>
      <c r="K334">
        <v>462.19000199999999</v>
      </c>
      <c r="L334">
        <v>14518.160159999999</v>
      </c>
    </row>
    <row r="335" spans="1:12" x14ac:dyDescent="0.25">
      <c r="A335" s="1">
        <v>44656</v>
      </c>
      <c r="B335">
        <v>2608.431</v>
      </c>
      <c r="C335">
        <v>284.66699999999997</v>
      </c>
      <c r="D335">
        <v>4265.7510000000002</v>
      </c>
      <c r="E335">
        <v>415.34800000000001</v>
      </c>
      <c r="F335">
        <v>169.261</v>
      </c>
      <c r="G335">
        <v>279.59800000000001</v>
      </c>
      <c r="H335">
        <v>106.16</v>
      </c>
      <c r="I335">
        <v>5013.4624190000004</v>
      </c>
      <c r="J335">
        <v>6645.5097660000001</v>
      </c>
      <c r="K335">
        <v>463.07000699999998</v>
      </c>
      <c r="L335">
        <v>14424.360350000001</v>
      </c>
    </row>
    <row r="336" spans="1:12" x14ac:dyDescent="0.25">
      <c r="A336" s="1">
        <v>44657</v>
      </c>
      <c r="B336">
        <v>2575.0039999999999</v>
      </c>
      <c r="C336">
        <v>281.68700000000001</v>
      </c>
      <c r="D336">
        <v>4235.7070000000003</v>
      </c>
      <c r="E336">
        <v>410.94499999999999</v>
      </c>
      <c r="F336">
        <v>166.73699999999999</v>
      </c>
      <c r="G336">
        <v>276.66800000000001</v>
      </c>
      <c r="H336">
        <v>105.825</v>
      </c>
      <c r="I336">
        <v>4958.4523410000002</v>
      </c>
      <c r="J336">
        <v>6498.830078</v>
      </c>
      <c r="K336">
        <v>455.97000100000002</v>
      </c>
      <c r="L336">
        <v>14151.690430000001</v>
      </c>
    </row>
    <row r="337" spans="1:12" x14ac:dyDescent="0.25">
      <c r="A337" s="1">
        <v>44658</v>
      </c>
      <c r="B337">
        <v>2532.2310000000002</v>
      </c>
      <c r="C337">
        <v>282.06599999999997</v>
      </c>
      <c r="D337">
        <v>4188.5469999999996</v>
      </c>
      <c r="E337">
        <v>405.32799999999997</v>
      </c>
      <c r="F337">
        <v>164.107</v>
      </c>
      <c r="G337">
        <v>276.57499999999999</v>
      </c>
      <c r="H337">
        <v>105.247</v>
      </c>
      <c r="I337">
        <v>4974.2762769999999</v>
      </c>
      <c r="J337">
        <v>6461.6801759999998</v>
      </c>
      <c r="K337">
        <v>455.01998900000001</v>
      </c>
      <c r="L337">
        <v>14078.150390000001</v>
      </c>
    </row>
    <row r="338" spans="1:12" x14ac:dyDescent="0.25">
      <c r="A338" s="1">
        <v>44659</v>
      </c>
      <c r="B338">
        <v>2544.116</v>
      </c>
      <c r="C338">
        <v>282.875</v>
      </c>
      <c r="D338">
        <v>4215.4650000000001</v>
      </c>
      <c r="E338">
        <v>407.41899999999998</v>
      </c>
      <c r="F338">
        <v>164.32400000000001</v>
      </c>
      <c r="G338">
        <v>277.43799999999999</v>
      </c>
      <c r="H338">
        <v>106.812</v>
      </c>
      <c r="I338">
        <v>4957.564018</v>
      </c>
      <c r="J338">
        <v>6548.2202150000003</v>
      </c>
      <c r="K338">
        <v>460.97000100000002</v>
      </c>
      <c r="L338">
        <v>14283.66992</v>
      </c>
    </row>
    <row r="339" spans="1:12" x14ac:dyDescent="0.25">
      <c r="A339" s="1">
        <v>44662</v>
      </c>
      <c r="B339">
        <v>2451.2370000000001</v>
      </c>
      <c r="C339">
        <v>278.536</v>
      </c>
      <c r="D339">
        <v>4185.7030000000004</v>
      </c>
      <c r="E339">
        <v>400.714</v>
      </c>
      <c r="F339">
        <v>161.94399999999999</v>
      </c>
      <c r="G339">
        <v>273.14800000000002</v>
      </c>
      <c r="H339">
        <v>106.10599999999999</v>
      </c>
      <c r="I339">
        <v>4881.5751890000001</v>
      </c>
      <c r="J339">
        <v>6555.8100590000004</v>
      </c>
      <c r="K339">
        <v>458.26001000000002</v>
      </c>
      <c r="L339">
        <v>14192.780269999999</v>
      </c>
    </row>
    <row r="340" spans="1:12" x14ac:dyDescent="0.25">
      <c r="A340" s="1">
        <v>44663</v>
      </c>
      <c r="B340">
        <v>2492.136</v>
      </c>
      <c r="C340">
        <v>277.952</v>
      </c>
      <c r="D340">
        <v>4166.277</v>
      </c>
      <c r="E340">
        <v>401.089</v>
      </c>
      <c r="F340">
        <v>160.37200000000001</v>
      </c>
      <c r="G340">
        <v>272.66800000000001</v>
      </c>
      <c r="H340">
        <v>105.678</v>
      </c>
      <c r="I340">
        <v>4867.4436560000004</v>
      </c>
      <c r="J340">
        <v>6537.4101559999999</v>
      </c>
      <c r="K340">
        <v>456.64999399999999</v>
      </c>
      <c r="L340">
        <v>14124.950199999999</v>
      </c>
    </row>
    <row r="341" spans="1:12" x14ac:dyDescent="0.25">
      <c r="A341" s="1">
        <v>44664</v>
      </c>
      <c r="B341">
        <v>2497.7979999999998</v>
      </c>
      <c r="C341">
        <v>280.99900000000002</v>
      </c>
      <c r="D341">
        <v>4212.7790000000005</v>
      </c>
      <c r="E341">
        <v>405.27699999999999</v>
      </c>
      <c r="F341">
        <v>162.364</v>
      </c>
      <c r="G341">
        <v>275.64100000000002</v>
      </c>
      <c r="H341">
        <v>105.967</v>
      </c>
      <c r="I341">
        <v>4930.2108459999999</v>
      </c>
      <c r="J341">
        <v>6542.1401370000003</v>
      </c>
      <c r="K341">
        <v>456.77999899999998</v>
      </c>
      <c r="L341">
        <v>14076.440430000001</v>
      </c>
    </row>
    <row r="342" spans="1:12" x14ac:dyDescent="0.25">
      <c r="A342" s="1">
        <v>44665</v>
      </c>
      <c r="B342">
        <v>2535.0650000000001</v>
      </c>
      <c r="C342">
        <v>280.536</v>
      </c>
      <c r="D342">
        <v>4220.2820000000002</v>
      </c>
      <c r="E342">
        <v>407.23599999999999</v>
      </c>
      <c r="F342">
        <v>164.77600000000001</v>
      </c>
      <c r="G342">
        <v>275.38400000000001</v>
      </c>
      <c r="H342">
        <v>107.258</v>
      </c>
      <c r="I342">
        <v>4869.96335</v>
      </c>
      <c r="J342">
        <v>6589.3500979999999</v>
      </c>
      <c r="K342">
        <v>459.82000699999998</v>
      </c>
      <c r="L342">
        <v>14163.849609999999</v>
      </c>
    </row>
    <row r="343" spans="1:12" x14ac:dyDescent="0.25">
      <c r="A343" s="1">
        <v>44666</v>
      </c>
      <c r="B343">
        <v>2531.6729999999998</v>
      </c>
      <c r="C343">
        <v>280.44400000000002</v>
      </c>
      <c r="D343">
        <v>4196.8909999999996</v>
      </c>
      <c r="E343">
        <v>405.60899999999998</v>
      </c>
      <c r="F343">
        <v>163.87100000000001</v>
      </c>
      <c r="G343">
        <v>275.18200000000002</v>
      </c>
      <c r="H343">
        <v>107.258</v>
      </c>
      <c r="I343">
        <v>4869.96335</v>
      </c>
      <c r="J343">
        <v>6589.3500979999999</v>
      </c>
      <c r="K343">
        <v>459.82000699999998</v>
      </c>
      <c r="L343">
        <v>14163.849609999999</v>
      </c>
    </row>
    <row r="344" spans="1:12" x14ac:dyDescent="0.25">
      <c r="A344" s="1">
        <v>44669</v>
      </c>
      <c r="B344">
        <v>2520.6060000000002</v>
      </c>
      <c r="C344">
        <v>279.48099999999999</v>
      </c>
      <c r="D344">
        <v>4161.08</v>
      </c>
      <c r="E344">
        <v>402.70600000000002</v>
      </c>
      <c r="F344">
        <v>161.215</v>
      </c>
      <c r="G344">
        <v>274.12200000000001</v>
      </c>
      <c r="H344">
        <v>106.867</v>
      </c>
      <c r="I344">
        <v>4862.1884030000001</v>
      </c>
      <c r="J344">
        <v>6589.3500979999999</v>
      </c>
      <c r="K344">
        <v>459.82000699999998</v>
      </c>
      <c r="L344">
        <v>14163.849609999999</v>
      </c>
    </row>
    <row r="345" spans="1:12" x14ac:dyDescent="0.25">
      <c r="A345" s="1">
        <v>44670</v>
      </c>
      <c r="B345">
        <v>2482.5790000000002</v>
      </c>
      <c r="C345">
        <v>282.55399999999997</v>
      </c>
      <c r="D345">
        <v>4147.4340000000002</v>
      </c>
      <c r="E345">
        <v>399.08</v>
      </c>
      <c r="F345">
        <v>159.82300000000001</v>
      </c>
      <c r="G345">
        <v>276.52999999999997</v>
      </c>
      <c r="H345">
        <v>106.492</v>
      </c>
      <c r="I345">
        <v>4946.9966860000004</v>
      </c>
      <c r="J345">
        <v>6534.7900390000004</v>
      </c>
      <c r="K345">
        <v>456.27999899999998</v>
      </c>
      <c r="L345">
        <v>14153.45996</v>
      </c>
    </row>
    <row r="346" spans="1:12" x14ac:dyDescent="0.25">
      <c r="A346" s="1">
        <v>44671</v>
      </c>
      <c r="B346">
        <v>2418.3620000000001</v>
      </c>
      <c r="C346">
        <v>281.43299999999999</v>
      </c>
      <c r="D346">
        <v>4142.9870000000001</v>
      </c>
      <c r="E346">
        <v>396.04399999999998</v>
      </c>
      <c r="F346">
        <v>161.815</v>
      </c>
      <c r="G346">
        <v>275.32400000000001</v>
      </c>
      <c r="H346">
        <v>106.51300000000001</v>
      </c>
      <c r="I346">
        <v>4942.0332589999998</v>
      </c>
      <c r="J346">
        <v>6624.9101559999999</v>
      </c>
      <c r="K346">
        <v>460.10000600000001</v>
      </c>
      <c r="L346">
        <v>14362.030269999999</v>
      </c>
    </row>
    <row r="347" spans="1:12" x14ac:dyDescent="0.25">
      <c r="A347" s="1">
        <v>44672</v>
      </c>
      <c r="B347">
        <v>2356.7510000000002</v>
      </c>
      <c r="C347">
        <v>278.709</v>
      </c>
      <c r="D347">
        <v>4152.2560000000003</v>
      </c>
      <c r="E347">
        <v>393.65899999999999</v>
      </c>
      <c r="F347">
        <v>162.27099999999999</v>
      </c>
      <c r="G347">
        <v>272.76799999999997</v>
      </c>
      <c r="H347">
        <v>106.557</v>
      </c>
      <c r="I347">
        <v>4860.6363289999999</v>
      </c>
      <c r="J347">
        <v>6715.1000979999999</v>
      </c>
      <c r="K347">
        <v>461.57000699999998</v>
      </c>
      <c r="L347">
        <v>14502.410159999999</v>
      </c>
    </row>
    <row r="348" spans="1:12" x14ac:dyDescent="0.25">
      <c r="A348" s="1">
        <v>44673</v>
      </c>
      <c r="B348">
        <v>2366.8380000000002</v>
      </c>
      <c r="C348">
        <v>273.15300000000002</v>
      </c>
      <c r="D348">
        <v>4119.67</v>
      </c>
      <c r="E348">
        <v>392.05</v>
      </c>
      <c r="F348">
        <v>161.38200000000001</v>
      </c>
      <c r="G348">
        <v>267.8</v>
      </c>
      <c r="H348">
        <v>104.22499999999999</v>
      </c>
      <c r="I348">
        <v>4727.6486770000001</v>
      </c>
      <c r="J348">
        <v>6581.419922</v>
      </c>
      <c r="K348">
        <v>453.30999800000001</v>
      </c>
      <c r="L348">
        <v>14142.089840000001</v>
      </c>
    </row>
    <row r="349" spans="1:12" x14ac:dyDescent="0.25">
      <c r="A349" s="1">
        <v>44676</v>
      </c>
      <c r="B349">
        <v>2262.1390000000001</v>
      </c>
      <c r="C349">
        <v>274.435</v>
      </c>
      <c r="D349">
        <v>4055.672</v>
      </c>
      <c r="E349">
        <v>383.69900000000001</v>
      </c>
      <c r="F349">
        <v>160.62799999999999</v>
      </c>
      <c r="G349">
        <v>268.28899999999999</v>
      </c>
      <c r="H349">
        <v>101.873</v>
      </c>
      <c r="I349">
        <v>4757.8285050000004</v>
      </c>
      <c r="J349">
        <v>6449.3798829999996</v>
      </c>
      <c r="K349">
        <v>445.10998499999999</v>
      </c>
      <c r="L349">
        <v>13924.16992</v>
      </c>
    </row>
    <row r="350" spans="1:12" x14ac:dyDescent="0.25">
      <c r="A350" s="1">
        <v>44677</v>
      </c>
      <c r="B350">
        <v>2272.6640000000002</v>
      </c>
      <c r="C350">
        <v>269.50799999999998</v>
      </c>
      <c r="D350">
        <v>4087.1669999999999</v>
      </c>
      <c r="E350">
        <v>386.988</v>
      </c>
      <c r="F350">
        <v>162.45500000000001</v>
      </c>
      <c r="G350">
        <v>264.23899999999998</v>
      </c>
      <c r="H350">
        <v>101.812</v>
      </c>
      <c r="I350">
        <v>4619.9957450000002</v>
      </c>
      <c r="J350">
        <v>6414.5698240000002</v>
      </c>
      <c r="K350">
        <v>441.10000600000001</v>
      </c>
      <c r="L350">
        <v>13756.400390000001</v>
      </c>
    </row>
    <row r="351" spans="1:12" x14ac:dyDescent="0.25">
      <c r="A351" s="1">
        <v>44678</v>
      </c>
      <c r="B351">
        <v>2349.922</v>
      </c>
      <c r="C351">
        <v>272.577</v>
      </c>
      <c r="D351">
        <v>4084.5410000000002</v>
      </c>
      <c r="E351">
        <v>389.77199999999999</v>
      </c>
      <c r="F351">
        <v>161.51900000000001</v>
      </c>
      <c r="G351">
        <v>267.12700000000001</v>
      </c>
      <c r="H351">
        <v>102.735</v>
      </c>
      <c r="I351">
        <v>4626.1640319999997</v>
      </c>
      <c r="J351">
        <v>6445.2597660000001</v>
      </c>
      <c r="K351">
        <v>444.30999800000001</v>
      </c>
      <c r="L351">
        <v>13793.940430000001</v>
      </c>
    </row>
    <row r="352" spans="1:12" x14ac:dyDescent="0.25">
      <c r="A352" s="1">
        <v>44679</v>
      </c>
      <c r="B352">
        <v>2371.2579999999998</v>
      </c>
      <c r="C352">
        <v>277.85000000000002</v>
      </c>
      <c r="D352">
        <v>4112.2150000000001</v>
      </c>
      <c r="E352">
        <v>393.57100000000003</v>
      </c>
      <c r="F352">
        <v>161.30099999999999</v>
      </c>
      <c r="G352">
        <v>272.012</v>
      </c>
      <c r="H352">
        <v>103.38500000000001</v>
      </c>
      <c r="I352">
        <v>4738.3905420000001</v>
      </c>
      <c r="J352">
        <v>6508.1401370000003</v>
      </c>
      <c r="K352">
        <v>447.07000699999998</v>
      </c>
      <c r="L352">
        <v>13979.839840000001</v>
      </c>
    </row>
    <row r="353" spans="1:12" x14ac:dyDescent="0.25">
      <c r="A353" s="1">
        <v>44680</v>
      </c>
      <c r="B353">
        <v>2473.2730000000001</v>
      </c>
      <c r="C353">
        <v>270.59899999999999</v>
      </c>
      <c r="D353">
        <v>4123.2049999999999</v>
      </c>
      <c r="E353">
        <v>400.67</v>
      </c>
      <c r="F353">
        <v>162.60300000000001</v>
      </c>
      <c r="G353">
        <v>266.22199999999998</v>
      </c>
      <c r="H353">
        <v>104.471</v>
      </c>
      <c r="I353">
        <v>4569.4834460000002</v>
      </c>
      <c r="J353">
        <v>6533.7700199999999</v>
      </c>
      <c r="K353">
        <v>450.39001500000001</v>
      </c>
      <c r="L353">
        <v>14097.87988</v>
      </c>
    </row>
    <row r="354" spans="1:12" x14ac:dyDescent="0.25">
      <c r="A354" s="1">
        <v>44683</v>
      </c>
      <c r="B354">
        <v>2482.5070000000001</v>
      </c>
      <c r="C354">
        <v>271.33699999999999</v>
      </c>
      <c r="D354">
        <v>4111.0969999999998</v>
      </c>
      <c r="E354">
        <v>400.30599999999998</v>
      </c>
      <c r="F354">
        <v>162.05199999999999</v>
      </c>
      <c r="G354">
        <v>266.83800000000002</v>
      </c>
      <c r="H354">
        <v>104.441</v>
      </c>
      <c r="I354">
        <v>4599.5306060000003</v>
      </c>
      <c r="J354">
        <v>6425.6098629999997</v>
      </c>
      <c r="K354">
        <v>443.82998700000002</v>
      </c>
      <c r="L354">
        <v>13939.070309999999</v>
      </c>
    </row>
    <row r="355" spans="1:12" x14ac:dyDescent="0.25">
      <c r="A355" s="1">
        <v>44684</v>
      </c>
      <c r="B355">
        <v>2473.3919999999998</v>
      </c>
      <c r="C355">
        <v>272.25799999999998</v>
      </c>
      <c r="D355">
        <v>4092.4459999999999</v>
      </c>
      <c r="E355">
        <v>398.49700000000001</v>
      </c>
      <c r="F355">
        <v>162.22</v>
      </c>
      <c r="G355">
        <v>267.505</v>
      </c>
      <c r="H355">
        <v>104.515</v>
      </c>
      <c r="I355">
        <v>4621.4232430000002</v>
      </c>
      <c r="J355">
        <v>6476.1801759999998</v>
      </c>
      <c r="K355">
        <v>446.20001200000002</v>
      </c>
      <c r="L355">
        <v>14039.469730000001</v>
      </c>
    </row>
    <row r="356" spans="1:12" x14ac:dyDescent="0.25">
      <c r="A356" s="1">
        <v>44685</v>
      </c>
      <c r="B356">
        <v>2452.7829999999999</v>
      </c>
      <c r="C356">
        <v>277.286</v>
      </c>
      <c r="D356">
        <v>4081.645</v>
      </c>
      <c r="E356">
        <v>396.10899999999998</v>
      </c>
      <c r="F356">
        <v>161.98500000000001</v>
      </c>
      <c r="G356">
        <v>271.71199999999999</v>
      </c>
      <c r="H356">
        <v>103.408</v>
      </c>
      <c r="I356">
        <v>4757.1412090000003</v>
      </c>
      <c r="J356">
        <v>6395.6801759999998</v>
      </c>
      <c r="K356">
        <v>441.36999500000002</v>
      </c>
      <c r="L356">
        <v>13970.820309999999</v>
      </c>
    </row>
    <row r="357" spans="1:12" x14ac:dyDescent="0.25">
      <c r="A357" s="1">
        <v>44686</v>
      </c>
      <c r="B357">
        <v>2433.643</v>
      </c>
      <c r="C357">
        <v>269.97199999999998</v>
      </c>
      <c r="D357">
        <v>4082.9740000000002</v>
      </c>
      <c r="E357">
        <v>394.87700000000001</v>
      </c>
      <c r="F357">
        <v>161.93199999999999</v>
      </c>
      <c r="G357">
        <v>265.23899999999998</v>
      </c>
      <c r="H357">
        <v>102.705</v>
      </c>
      <c r="I357">
        <v>4580.533958</v>
      </c>
      <c r="J357">
        <v>6368.3999020000001</v>
      </c>
      <c r="K357">
        <v>438.26001000000002</v>
      </c>
      <c r="L357">
        <v>13902.51953</v>
      </c>
    </row>
    <row r="358" spans="1:12" x14ac:dyDescent="0.25">
      <c r="A358" s="1">
        <v>44687</v>
      </c>
      <c r="B358">
        <v>2325.6129999999998</v>
      </c>
      <c r="C358">
        <v>266.52</v>
      </c>
      <c r="D358">
        <v>3988.904</v>
      </c>
      <c r="E358">
        <v>382.81599999999997</v>
      </c>
      <c r="F358">
        <v>162.47499999999999</v>
      </c>
      <c r="G358">
        <v>261.31900000000002</v>
      </c>
      <c r="H358">
        <v>100.49299999999999</v>
      </c>
      <c r="I358">
        <v>4543.9863050000004</v>
      </c>
      <c r="J358">
        <v>6258.3598629999997</v>
      </c>
      <c r="K358">
        <v>429.91000400000001</v>
      </c>
      <c r="L358">
        <v>13674.29004</v>
      </c>
    </row>
    <row r="359" spans="1:12" x14ac:dyDescent="0.25">
      <c r="A359" s="1">
        <v>44690</v>
      </c>
      <c r="B359">
        <v>2313.1689999999999</v>
      </c>
      <c r="C359">
        <v>259.096</v>
      </c>
      <c r="D359">
        <v>3932.9580000000001</v>
      </c>
      <c r="E359">
        <v>378.47</v>
      </c>
      <c r="F359">
        <v>159.78899999999999</v>
      </c>
      <c r="G359">
        <v>254.51599999999999</v>
      </c>
      <c r="H359">
        <v>98.39</v>
      </c>
      <c r="I359">
        <v>4385.8205019999996</v>
      </c>
      <c r="J359">
        <v>6086.0200199999999</v>
      </c>
      <c r="K359">
        <v>417.459991</v>
      </c>
      <c r="L359">
        <v>13380.66992</v>
      </c>
    </row>
    <row r="360" spans="1:12" x14ac:dyDescent="0.25">
      <c r="A360" s="1">
        <v>44691</v>
      </c>
      <c r="B360">
        <v>2303.5479999999998</v>
      </c>
      <c r="C360">
        <v>259.30099999999999</v>
      </c>
      <c r="D360">
        <v>3909.6129999999998</v>
      </c>
      <c r="E360">
        <v>375.22199999999998</v>
      </c>
      <c r="F360">
        <v>158.47900000000001</v>
      </c>
      <c r="G360">
        <v>254.45</v>
      </c>
      <c r="H360">
        <v>98.703000000000003</v>
      </c>
      <c r="I360">
        <v>4394.8329599999997</v>
      </c>
      <c r="J360">
        <v>6116.9101559999999</v>
      </c>
      <c r="K360">
        <v>420.290009</v>
      </c>
      <c r="L360">
        <v>13534.740229999999</v>
      </c>
    </row>
    <row r="361" spans="1:12" x14ac:dyDescent="0.25">
      <c r="A361" s="1">
        <v>44692</v>
      </c>
      <c r="B361">
        <v>2331.9940000000001</v>
      </c>
      <c r="C361">
        <v>256.82799999999997</v>
      </c>
      <c r="D361">
        <v>3911.096</v>
      </c>
      <c r="E361">
        <v>376.58699999999999</v>
      </c>
      <c r="F361">
        <v>157.38999999999999</v>
      </c>
      <c r="G361">
        <v>252.39500000000001</v>
      </c>
      <c r="H361">
        <v>100.309</v>
      </c>
      <c r="I361">
        <v>4315.8587930000003</v>
      </c>
      <c r="J361">
        <v>6269.7299800000001</v>
      </c>
      <c r="K361">
        <v>427.58999599999999</v>
      </c>
      <c r="L361">
        <v>13828.639649999999</v>
      </c>
    </row>
    <row r="362" spans="1:12" x14ac:dyDescent="0.25">
      <c r="A362" s="1">
        <v>44693</v>
      </c>
      <c r="B362">
        <v>2320.674</v>
      </c>
      <c r="C362">
        <v>258.87400000000002</v>
      </c>
      <c r="D362">
        <v>3867.6309999999999</v>
      </c>
      <c r="E362">
        <v>372.608</v>
      </c>
      <c r="F362">
        <v>160.149</v>
      </c>
      <c r="G362">
        <v>253.881</v>
      </c>
      <c r="H362">
        <v>99.17</v>
      </c>
      <c r="I362">
        <v>4319.7874629999997</v>
      </c>
      <c r="J362">
        <v>6206.2597660000001</v>
      </c>
      <c r="K362">
        <v>424.39999399999999</v>
      </c>
      <c r="L362">
        <v>13739.639649999999</v>
      </c>
    </row>
    <row r="363" spans="1:12" x14ac:dyDescent="0.25">
      <c r="A363" s="1">
        <v>44694</v>
      </c>
      <c r="B363">
        <v>2375.319</v>
      </c>
      <c r="C363">
        <v>265.37200000000001</v>
      </c>
      <c r="D363">
        <v>3917.3780000000002</v>
      </c>
      <c r="E363">
        <v>379.56299999999999</v>
      </c>
      <c r="F363">
        <v>161.935</v>
      </c>
      <c r="G363">
        <v>260.072</v>
      </c>
      <c r="H363">
        <v>101.795</v>
      </c>
      <c r="I363">
        <v>4433.49701</v>
      </c>
      <c r="J363">
        <v>6362.6801759999998</v>
      </c>
      <c r="K363">
        <v>433.48001099999999</v>
      </c>
      <c r="L363">
        <v>14027.929690000001</v>
      </c>
    </row>
    <row r="364" spans="1:12" x14ac:dyDescent="0.25">
      <c r="A364" s="1">
        <v>44697</v>
      </c>
      <c r="B364">
        <v>2365.4110000000001</v>
      </c>
      <c r="C364">
        <v>264.40600000000001</v>
      </c>
      <c r="D364">
        <v>3928.93</v>
      </c>
      <c r="E364">
        <v>380.34300000000002</v>
      </c>
      <c r="F364">
        <v>162.36000000000001</v>
      </c>
      <c r="G364">
        <v>259.28800000000001</v>
      </c>
      <c r="H364">
        <v>102.661</v>
      </c>
      <c r="I364">
        <v>4410.4536390000003</v>
      </c>
      <c r="J364">
        <v>6347.7700199999999</v>
      </c>
      <c r="K364">
        <v>433.67001299999998</v>
      </c>
      <c r="L364">
        <v>13964.37988</v>
      </c>
    </row>
    <row r="365" spans="1:12" x14ac:dyDescent="0.25">
      <c r="A365" s="1">
        <v>44698</v>
      </c>
      <c r="B365">
        <v>2407.9670000000001</v>
      </c>
      <c r="C365">
        <v>266.22899999999998</v>
      </c>
      <c r="D365">
        <v>3943.47</v>
      </c>
      <c r="E365">
        <v>384.29</v>
      </c>
      <c r="F365">
        <v>160.34399999999999</v>
      </c>
      <c r="G365">
        <v>261.17599999999999</v>
      </c>
      <c r="H365">
        <v>103.864</v>
      </c>
      <c r="I365">
        <v>4505.0238989999998</v>
      </c>
      <c r="J365">
        <v>6430.1899409999996</v>
      </c>
      <c r="K365">
        <v>438.97000100000002</v>
      </c>
      <c r="L365">
        <v>14185.940430000001</v>
      </c>
    </row>
    <row r="366" spans="1:12" x14ac:dyDescent="0.25">
      <c r="A366" s="1">
        <v>44699</v>
      </c>
      <c r="B366">
        <v>2406.3029999999999</v>
      </c>
      <c r="C366">
        <v>258.87</v>
      </c>
      <c r="D366">
        <v>3969.49</v>
      </c>
      <c r="E366">
        <v>386.01299999999998</v>
      </c>
      <c r="F366">
        <v>163.38499999999999</v>
      </c>
      <c r="G366">
        <v>254.886</v>
      </c>
      <c r="H366">
        <v>102.498</v>
      </c>
      <c r="I366">
        <v>4323.6625519999998</v>
      </c>
      <c r="J366">
        <v>6352.9399409999996</v>
      </c>
      <c r="K366">
        <v>433.95001200000002</v>
      </c>
      <c r="L366">
        <v>14007.759770000001</v>
      </c>
    </row>
    <row r="367" spans="1:12" x14ac:dyDescent="0.25">
      <c r="A367" s="1">
        <v>44700</v>
      </c>
      <c r="B367">
        <v>2360.277</v>
      </c>
      <c r="C367">
        <v>255.68600000000001</v>
      </c>
      <c r="D367">
        <v>3874.2</v>
      </c>
      <c r="E367">
        <v>376.41899999999998</v>
      </c>
      <c r="F367">
        <v>161.12700000000001</v>
      </c>
      <c r="G367">
        <v>251.386</v>
      </c>
      <c r="H367">
        <v>100.524</v>
      </c>
      <c r="I367">
        <v>4305.9973460000001</v>
      </c>
      <c r="J367">
        <v>6272.7099609999996</v>
      </c>
      <c r="K367">
        <v>427.67999300000002</v>
      </c>
      <c r="L367">
        <v>13882.29981</v>
      </c>
    </row>
    <row r="368" spans="1:12" x14ac:dyDescent="0.25">
      <c r="A368" s="1">
        <v>44701</v>
      </c>
      <c r="B368">
        <v>2440.873</v>
      </c>
      <c r="C368">
        <v>256.87</v>
      </c>
      <c r="D368">
        <v>3950.7240000000002</v>
      </c>
      <c r="E368">
        <v>385.13799999999998</v>
      </c>
      <c r="F368">
        <v>162.38399999999999</v>
      </c>
      <c r="G368">
        <v>253.07599999999999</v>
      </c>
      <c r="H368">
        <v>101.821</v>
      </c>
      <c r="I368">
        <v>4305.4929140000004</v>
      </c>
      <c r="J368">
        <v>6285.2402339999999</v>
      </c>
      <c r="K368">
        <v>431.10000600000001</v>
      </c>
      <c r="L368">
        <v>13981.910159999999</v>
      </c>
    </row>
    <row r="369" spans="1:12" x14ac:dyDescent="0.25">
      <c r="A369" s="1">
        <v>44704</v>
      </c>
      <c r="B369">
        <v>2398.4279999999999</v>
      </c>
      <c r="C369">
        <v>258.64499999999998</v>
      </c>
      <c r="D369">
        <v>3924.12</v>
      </c>
      <c r="E369">
        <v>380.85500000000002</v>
      </c>
      <c r="F369">
        <v>162.642</v>
      </c>
      <c r="G369">
        <v>254.30099999999999</v>
      </c>
      <c r="H369">
        <v>103.309</v>
      </c>
      <c r="I369">
        <v>4379.7625699999999</v>
      </c>
      <c r="J369">
        <v>6358.7402339999999</v>
      </c>
      <c r="K369">
        <v>436.540009</v>
      </c>
      <c r="L369">
        <v>14175.400390000001</v>
      </c>
    </row>
    <row r="370" spans="1:12" x14ac:dyDescent="0.25">
      <c r="A370" s="1">
        <v>44705</v>
      </c>
      <c r="B370">
        <v>2319.6469999999999</v>
      </c>
      <c r="C370">
        <v>255.17099999999999</v>
      </c>
      <c r="D370">
        <v>3855.66</v>
      </c>
      <c r="E370">
        <v>372.38099999999997</v>
      </c>
      <c r="F370">
        <v>161.917</v>
      </c>
      <c r="G370">
        <v>250.63399999999999</v>
      </c>
      <c r="H370">
        <v>102.023</v>
      </c>
      <c r="I370">
        <v>4333.5300299999999</v>
      </c>
      <c r="J370">
        <v>6253.1401370000003</v>
      </c>
      <c r="K370">
        <v>431.57998700000002</v>
      </c>
      <c r="L370">
        <v>13919.75</v>
      </c>
    </row>
    <row r="371" spans="1:12" x14ac:dyDescent="0.25">
      <c r="A371" s="1">
        <v>44706</v>
      </c>
      <c r="B371">
        <v>2341.7660000000001</v>
      </c>
      <c r="C371">
        <v>258.17099999999999</v>
      </c>
      <c r="D371">
        <v>3882.1320000000001</v>
      </c>
      <c r="E371">
        <v>374.97800000000001</v>
      </c>
      <c r="F371">
        <v>161.614</v>
      </c>
      <c r="G371">
        <v>253.446</v>
      </c>
      <c r="H371">
        <v>103.143</v>
      </c>
      <c r="I371">
        <v>4382.84789</v>
      </c>
      <c r="J371">
        <v>6298.6401370000003</v>
      </c>
      <c r="K371">
        <v>434.30999800000001</v>
      </c>
      <c r="L371">
        <v>14007.929690000001</v>
      </c>
    </row>
    <row r="372" spans="1:12" x14ac:dyDescent="0.25">
      <c r="A372" s="1">
        <v>44707</v>
      </c>
      <c r="B372">
        <v>2333.201</v>
      </c>
      <c r="C372">
        <v>261.43599999999998</v>
      </c>
      <c r="D372">
        <v>3879.68</v>
      </c>
      <c r="E372">
        <v>374.88200000000001</v>
      </c>
      <c r="F372">
        <v>161.04599999999999</v>
      </c>
      <c r="G372">
        <v>256.28699999999998</v>
      </c>
      <c r="H372">
        <v>103.468</v>
      </c>
      <c r="I372">
        <v>4473.8506829999997</v>
      </c>
      <c r="J372">
        <v>6410.580078</v>
      </c>
      <c r="K372">
        <v>434.30999800000001</v>
      </c>
      <c r="L372">
        <v>14231.29004</v>
      </c>
    </row>
    <row r="373" spans="1:12" x14ac:dyDescent="0.25">
      <c r="A373" s="1">
        <v>44708</v>
      </c>
      <c r="B373">
        <v>2376.7370000000001</v>
      </c>
      <c r="C373">
        <v>267.209</v>
      </c>
      <c r="D373">
        <v>3946.2829999999999</v>
      </c>
      <c r="E373">
        <v>382.55599999999998</v>
      </c>
      <c r="F373">
        <v>162.191</v>
      </c>
      <c r="G373">
        <v>261.89999999999998</v>
      </c>
      <c r="H373">
        <v>104.07599999999999</v>
      </c>
      <c r="I373">
        <v>4587.0992910000004</v>
      </c>
      <c r="J373">
        <v>6515.75</v>
      </c>
      <c r="K373">
        <v>443.92999300000002</v>
      </c>
      <c r="L373">
        <v>14462.190430000001</v>
      </c>
    </row>
    <row r="374" spans="1:12" x14ac:dyDescent="0.25">
      <c r="A374" s="1">
        <v>44711</v>
      </c>
      <c r="B374">
        <v>2405.21</v>
      </c>
      <c r="C374">
        <v>266.63799999999998</v>
      </c>
      <c r="D374">
        <v>4003.4369999999999</v>
      </c>
      <c r="E374">
        <v>388.077</v>
      </c>
      <c r="F374">
        <v>163.56800000000001</v>
      </c>
      <c r="G374">
        <v>261.81799999999998</v>
      </c>
      <c r="H374">
        <v>103.806</v>
      </c>
      <c r="I374">
        <v>4587.0992910000004</v>
      </c>
      <c r="J374">
        <v>6562.3901370000003</v>
      </c>
      <c r="K374">
        <v>446.57000699999998</v>
      </c>
      <c r="L374">
        <v>14575.98047</v>
      </c>
    </row>
    <row r="375" spans="1:12" x14ac:dyDescent="0.25">
      <c r="A375" s="1">
        <v>44712</v>
      </c>
      <c r="B375">
        <v>2473.7339999999999</v>
      </c>
      <c r="C375">
        <v>266.04300000000001</v>
      </c>
      <c r="D375">
        <v>4052.866</v>
      </c>
      <c r="E375">
        <v>395.11399999999998</v>
      </c>
      <c r="F375">
        <v>162.65899999999999</v>
      </c>
      <c r="G375">
        <v>261.82900000000001</v>
      </c>
      <c r="H375">
        <v>104.321</v>
      </c>
      <c r="I375">
        <v>4553.0533189999996</v>
      </c>
      <c r="J375">
        <v>6468.7998049999997</v>
      </c>
      <c r="K375">
        <v>443.35000600000001</v>
      </c>
      <c r="L375">
        <v>14388.349609999999</v>
      </c>
    </row>
    <row r="376" spans="1:12" x14ac:dyDescent="0.25">
      <c r="A376" s="1">
        <v>44713</v>
      </c>
      <c r="B376">
        <v>2464.212</v>
      </c>
      <c r="C376">
        <v>265.19499999999999</v>
      </c>
      <c r="D376">
        <v>4030.34</v>
      </c>
      <c r="E376">
        <v>393.16899999999998</v>
      </c>
      <c r="F376">
        <v>163.66999999999999</v>
      </c>
      <c r="G376">
        <v>260.94200000000001</v>
      </c>
      <c r="H376">
        <v>102.879</v>
      </c>
      <c r="I376">
        <v>4518.7015590000001</v>
      </c>
      <c r="J376">
        <v>6418.8901370000003</v>
      </c>
      <c r="K376">
        <v>438.72000100000002</v>
      </c>
      <c r="L376">
        <v>14340.469730000001</v>
      </c>
    </row>
    <row r="377" spans="1:12" x14ac:dyDescent="0.25">
      <c r="A377" s="1">
        <v>44714</v>
      </c>
      <c r="B377">
        <v>2453.8989999999999</v>
      </c>
      <c r="C377">
        <v>268.137</v>
      </c>
      <c r="D377">
        <v>3984.7840000000001</v>
      </c>
      <c r="E377">
        <v>389.01900000000001</v>
      </c>
      <c r="F377">
        <v>162.04300000000001</v>
      </c>
      <c r="G377">
        <v>263.18700000000001</v>
      </c>
      <c r="H377">
        <v>102.798</v>
      </c>
      <c r="I377">
        <v>4610.8701110000002</v>
      </c>
      <c r="J377">
        <v>6500.4399409999996</v>
      </c>
      <c r="K377">
        <v>441.23001099999999</v>
      </c>
      <c r="L377">
        <v>14485.16992</v>
      </c>
    </row>
    <row r="378" spans="1:12" x14ac:dyDescent="0.25">
      <c r="A378" s="1">
        <v>44715</v>
      </c>
      <c r="B378">
        <v>2450.087</v>
      </c>
      <c r="C378">
        <v>264.66899999999998</v>
      </c>
      <c r="D378">
        <v>3980.9560000000001</v>
      </c>
      <c r="E378">
        <v>388.56400000000002</v>
      </c>
      <c r="F378">
        <v>161.53200000000001</v>
      </c>
      <c r="G378">
        <v>260.13299999999998</v>
      </c>
      <c r="H378">
        <v>102.565</v>
      </c>
      <c r="I378">
        <v>4536.5447510000004</v>
      </c>
      <c r="J378">
        <v>6485.2998049999997</v>
      </c>
      <c r="K378">
        <v>440.08999599999999</v>
      </c>
      <c r="L378">
        <v>14460.089840000001</v>
      </c>
    </row>
    <row r="379" spans="1:12" x14ac:dyDescent="0.25">
      <c r="A379" s="1">
        <v>44718</v>
      </c>
      <c r="B379">
        <v>2520.7750000000001</v>
      </c>
      <c r="C379">
        <v>265.73200000000003</v>
      </c>
      <c r="D379">
        <v>3983.732</v>
      </c>
      <c r="E379">
        <v>392.49900000000002</v>
      </c>
      <c r="F379">
        <v>161.25200000000001</v>
      </c>
      <c r="G379">
        <v>261.358</v>
      </c>
      <c r="H379">
        <v>103.889</v>
      </c>
      <c r="I379">
        <v>4551.635464</v>
      </c>
      <c r="J379">
        <v>6548.7797849999997</v>
      </c>
      <c r="K379">
        <v>440.08999599999999</v>
      </c>
      <c r="L379">
        <v>14653.809569999999</v>
      </c>
    </row>
    <row r="380" spans="1:12" x14ac:dyDescent="0.25">
      <c r="A380" s="1">
        <v>44719</v>
      </c>
      <c r="B380">
        <v>2528.308</v>
      </c>
      <c r="C380">
        <v>267.58199999999999</v>
      </c>
      <c r="D380">
        <v>3928.7860000000001</v>
      </c>
      <c r="E380">
        <v>389.26499999999999</v>
      </c>
      <c r="F380">
        <v>160.72</v>
      </c>
      <c r="G380">
        <v>262.72300000000001</v>
      </c>
      <c r="H380">
        <v>104.182</v>
      </c>
      <c r="I380">
        <v>4598.5458490000001</v>
      </c>
      <c r="J380">
        <v>6500.3500979999999</v>
      </c>
      <c r="K380">
        <v>442.88000499999998</v>
      </c>
      <c r="L380">
        <v>14556.62012</v>
      </c>
    </row>
    <row r="381" spans="1:12" x14ac:dyDescent="0.25">
      <c r="A381" s="1">
        <v>44720</v>
      </c>
      <c r="B381">
        <v>2582.3069999999998</v>
      </c>
      <c r="C381">
        <v>264.83699999999999</v>
      </c>
      <c r="D381">
        <v>3922.5259999999998</v>
      </c>
      <c r="E381">
        <v>392.97699999999998</v>
      </c>
      <c r="F381">
        <v>160.54900000000001</v>
      </c>
      <c r="G381">
        <v>260.61599999999999</v>
      </c>
      <c r="H381">
        <v>103.621</v>
      </c>
      <c r="I381">
        <v>4547.9882530000004</v>
      </c>
      <c r="J381">
        <v>6448.6298829999996</v>
      </c>
      <c r="K381">
        <v>440.36999500000002</v>
      </c>
      <c r="L381">
        <v>14445.990229999999</v>
      </c>
    </row>
    <row r="382" spans="1:12" x14ac:dyDescent="0.25">
      <c r="A382" s="1">
        <v>44721</v>
      </c>
      <c r="B382">
        <v>2573.221</v>
      </c>
      <c r="C382">
        <v>260.95999999999998</v>
      </c>
      <c r="D382">
        <v>3937.14</v>
      </c>
      <c r="E382">
        <v>393.53500000000003</v>
      </c>
      <c r="F382">
        <v>161.22499999999999</v>
      </c>
      <c r="G382">
        <v>257.28300000000002</v>
      </c>
      <c r="H382">
        <v>102.70099999999999</v>
      </c>
      <c r="I382">
        <v>4437.9181040000003</v>
      </c>
      <c r="J382">
        <v>6358.4599609999996</v>
      </c>
      <c r="K382">
        <v>434.38000499999998</v>
      </c>
      <c r="L382">
        <v>14198.79981</v>
      </c>
    </row>
    <row r="383" spans="1:12" x14ac:dyDescent="0.25">
      <c r="A383" s="1">
        <v>44722</v>
      </c>
      <c r="B383">
        <v>2623.277</v>
      </c>
      <c r="C383">
        <v>256.16199999999998</v>
      </c>
      <c r="D383">
        <v>3907.723</v>
      </c>
      <c r="E383">
        <v>393.35399999999998</v>
      </c>
      <c r="F383">
        <v>160.91900000000001</v>
      </c>
      <c r="G383">
        <v>253.09100000000001</v>
      </c>
      <c r="H383">
        <v>100.187</v>
      </c>
      <c r="I383">
        <v>4306.4958429999997</v>
      </c>
      <c r="J383">
        <v>6187.2299800000001</v>
      </c>
      <c r="K383">
        <v>422.709991</v>
      </c>
      <c r="L383">
        <v>13761.83008</v>
      </c>
    </row>
    <row r="384" spans="1:12" x14ac:dyDescent="0.25">
      <c r="A384" s="1">
        <v>44725</v>
      </c>
      <c r="B384">
        <v>2570.114</v>
      </c>
      <c r="C384">
        <v>249.34700000000001</v>
      </c>
      <c r="D384">
        <v>3812.973</v>
      </c>
      <c r="E384">
        <v>383.041</v>
      </c>
      <c r="F384">
        <v>159.131</v>
      </c>
      <c r="G384">
        <v>246.369</v>
      </c>
      <c r="H384">
        <v>98.097999999999999</v>
      </c>
      <c r="I384">
        <v>4129.6282760000004</v>
      </c>
      <c r="J384">
        <v>6022.3198240000002</v>
      </c>
      <c r="K384">
        <v>412.51998900000001</v>
      </c>
      <c r="L384">
        <v>13427.030269999999</v>
      </c>
    </row>
    <row r="385" spans="1:12" x14ac:dyDescent="0.25">
      <c r="A385" s="1">
        <v>44726</v>
      </c>
      <c r="B385">
        <v>2589.3679999999999</v>
      </c>
      <c r="C385">
        <v>247.755</v>
      </c>
      <c r="D385">
        <v>3813.9290000000001</v>
      </c>
      <c r="E385">
        <v>384.01499999999999</v>
      </c>
      <c r="F385">
        <v>156.36500000000001</v>
      </c>
      <c r="G385">
        <v>245.05699999999999</v>
      </c>
      <c r="H385">
        <v>96.947999999999993</v>
      </c>
      <c r="I385">
        <v>4114.3628159999998</v>
      </c>
      <c r="J385">
        <v>5949.8398440000001</v>
      </c>
      <c r="K385">
        <v>407.32000699999998</v>
      </c>
      <c r="L385">
        <v>13304.389649999999</v>
      </c>
    </row>
    <row r="386" spans="1:12" x14ac:dyDescent="0.25">
      <c r="A386" s="1">
        <v>44727</v>
      </c>
      <c r="B386">
        <v>2624.9859999999999</v>
      </c>
      <c r="C386">
        <v>250.77500000000001</v>
      </c>
      <c r="D386">
        <v>3795.14</v>
      </c>
      <c r="E386">
        <v>384.85599999999999</v>
      </c>
      <c r="F386">
        <v>154.535</v>
      </c>
      <c r="G386">
        <v>247.751</v>
      </c>
      <c r="H386">
        <v>98.501999999999995</v>
      </c>
      <c r="I386">
        <v>4177.0031280000003</v>
      </c>
      <c r="J386">
        <v>6030.1298829999996</v>
      </c>
      <c r="K386">
        <v>413.10000600000001</v>
      </c>
      <c r="L386">
        <v>13485.29004</v>
      </c>
    </row>
    <row r="387" spans="1:12" x14ac:dyDescent="0.25">
      <c r="A387" s="1">
        <v>44728</v>
      </c>
      <c r="B387">
        <v>2562.7600000000002</v>
      </c>
      <c r="C387">
        <v>242.298</v>
      </c>
      <c r="D387">
        <v>3743.326</v>
      </c>
      <c r="E387">
        <v>377.23700000000002</v>
      </c>
      <c r="F387">
        <v>156.666</v>
      </c>
      <c r="G387">
        <v>239.78800000000001</v>
      </c>
      <c r="H387">
        <v>96.311999999999998</v>
      </c>
      <c r="I387">
        <v>4030.1816880000001</v>
      </c>
      <c r="J387">
        <v>5886.2402339999999</v>
      </c>
      <c r="K387">
        <v>402.88000499999998</v>
      </c>
      <c r="L387">
        <v>13038.490229999999</v>
      </c>
    </row>
    <row r="388" spans="1:12" x14ac:dyDescent="0.25">
      <c r="A388" s="1">
        <v>44729</v>
      </c>
      <c r="B388">
        <v>2611.65</v>
      </c>
      <c r="C388">
        <v>242.72499999999999</v>
      </c>
      <c r="D388">
        <v>3711.25</v>
      </c>
      <c r="E388">
        <v>377.31900000000002</v>
      </c>
      <c r="F388">
        <v>151.29900000000001</v>
      </c>
      <c r="G388">
        <v>240.166</v>
      </c>
      <c r="H388">
        <v>95.474999999999994</v>
      </c>
      <c r="I388">
        <v>4047.7011670000002</v>
      </c>
      <c r="J388">
        <v>5882.6499020000001</v>
      </c>
      <c r="K388">
        <v>403.25</v>
      </c>
      <c r="L388">
        <v>13126.259770000001</v>
      </c>
    </row>
    <row r="389" spans="1:12" x14ac:dyDescent="0.25">
      <c r="A389" s="1">
        <v>44732</v>
      </c>
      <c r="B389">
        <v>2605.1370000000002</v>
      </c>
      <c r="C389">
        <v>241.79900000000001</v>
      </c>
      <c r="D389">
        <v>3651.1350000000002</v>
      </c>
      <c r="E389">
        <v>372.92</v>
      </c>
      <c r="F389">
        <v>149.27500000000001</v>
      </c>
      <c r="G389">
        <v>239.024</v>
      </c>
      <c r="H389">
        <v>96.825000000000003</v>
      </c>
      <c r="I389">
        <v>4047.7011670000002</v>
      </c>
      <c r="J389">
        <v>5920.0898440000001</v>
      </c>
      <c r="K389">
        <v>407.14001500000001</v>
      </c>
      <c r="L389">
        <v>13265.599609999999</v>
      </c>
    </row>
    <row r="390" spans="1:12" x14ac:dyDescent="0.25">
      <c r="A390" s="1">
        <v>44733</v>
      </c>
      <c r="B390">
        <v>2620.9409999999998</v>
      </c>
      <c r="C390">
        <v>245.83199999999999</v>
      </c>
      <c r="D390">
        <v>3696.5639999999999</v>
      </c>
      <c r="E390">
        <v>378.08800000000002</v>
      </c>
      <c r="F390">
        <v>150.62299999999999</v>
      </c>
      <c r="G390">
        <v>242.93100000000001</v>
      </c>
      <c r="H390">
        <v>97.18</v>
      </c>
      <c r="I390">
        <v>4142.2496709999996</v>
      </c>
      <c r="J390">
        <v>5964.6601559999999</v>
      </c>
      <c r="K390">
        <v>408.57998700000002</v>
      </c>
      <c r="L390">
        <v>13292.400390000001</v>
      </c>
    </row>
    <row r="391" spans="1:12" x14ac:dyDescent="0.25">
      <c r="A391" s="1">
        <v>44734</v>
      </c>
      <c r="B391">
        <v>2558.2399999999998</v>
      </c>
      <c r="C391">
        <v>244.50200000000001</v>
      </c>
      <c r="D391">
        <v>3605.306</v>
      </c>
      <c r="E391">
        <v>368.27600000000001</v>
      </c>
      <c r="F391">
        <v>150.16800000000001</v>
      </c>
      <c r="G391">
        <v>241.023</v>
      </c>
      <c r="H391">
        <v>96.230999999999995</v>
      </c>
      <c r="I391">
        <v>4137.0015990000002</v>
      </c>
      <c r="J391">
        <v>5916.6298829999996</v>
      </c>
      <c r="K391">
        <v>405.73998999999998</v>
      </c>
      <c r="L391">
        <v>13144.280269999999</v>
      </c>
    </row>
    <row r="392" spans="1:12" x14ac:dyDescent="0.25">
      <c r="A392" s="1">
        <v>44735</v>
      </c>
      <c r="B392">
        <v>2625.2170000000001</v>
      </c>
      <c r="C392">
        <v>247.226</v>
      </c>
      <c r="D392">
        <v>3600.1640000000002</v>
      </c>
      <c r="E392">
        <v>371.30700000000002</v>
      </c>
      <c r="F392">
        <v>152.452</v>
      </c>
      <c r="G392">
        <v>243.626</v>
      </c>
      <c r="H392">
        <v>95.638000000000005</v>
      </c>
      <c r="I392">
        <v>4181.6836320000002</v>
      </c>
      <c r="J392">
        <v>5883.330078</v>
      </c>
      <c r="K392">
        <v>402.39999399999999</v>
      </c>
      <c r="L392">
        <v>12912.589840000001</v>
      </c>
    </row>
    <row r="393" spans="1:12" x14ac:dyDescent="0.25">
      <c r="A393" s="1">
        <v>44736</v>
      </c>
      <c r="B393">
        <v>2677.0720000000001</v>
      </c>
      <c r="C393">
        <v>253.67</v>
      </c>
      <c r="D393">
        <v>3631.9470000000001</v>
      </c>
      <c r="E393">
        <v>376.64400000000001</v>
      </c>
      <c r="F393">
        <v>152.54599999999999</v>
      </c>
      <c r="G393">
        <v>249.64500000000001</v>
      </c>
      <c r="H393">
        <v>98.2</v>
      </c>
      <c r="I393">
        <v>4312.0620820000004</v>
      </c>
      <c r="J393">
        <v>6073.3500979999999</v>
      </c>
      <c r="K393">
        <v>412.92999300000002</v>
      </c>
      <c r="L393">
        <v>13118.12988</v>
      </c>
    </row>
    <row r="394" spans="1:12" x14ac:dyDescent="0.25">
      <c r="A394" s="1">
        <v>44739</v>
      </c>
      <c r="B394">
        <v>2702.7539999999999</v>
      </c>
      <c r="C394">
        <v>252.76</v>
      </c>
      <c r="D394">
        <v>3672.0740000000001</v>
      </c>
      <c r="E394">
        <v>380.827</v>
      </c>
      <c r="F394">
        <v>153.68</v>
      </c>
      <c r="G394">
        <v>249.172</v>
      </c>
      <c r="H394">
        <v>98.495999999999995</v>
      </c>
      <c r="I394">
        <v>4300.4517109999997</v>
      </c>
      <c r="J394">
        <v>6047.3100590000004</v>
      </c>
      <c r="K394">
        <v>415.08999599999999</v>
      </c>
      <c r="L394">
        <v>13186.070309999999</v>
      </c>
    </row>
    <row r="395" spans="1:12" x14ac:dyDescent="0.25">
      <c r="A395" s="1">
        <v>44740</v>
      </c>
      <c r="B395">
        <v>2741.3939999999998</v>
      </c>
      <c r="C395">
        <v>250.97399999999999</v>
      </c>
      <c r="D395">
        <v>3708.7289999999998</v>
      </c>
      <c r="E395">
        <v>384.77699999999999</v>
      </c>
      <c r="F395">
        <v>155.22200000000001</v>
      </c>
      <c r="G395">
        <v>247.91800000000001</v>
      </c>
      <c r="H395">
        <v>99.372</v>
      </c>
      <c r="I395">
        <v>4213.3572480000003</v>
      </c>
      <c r="J395">
        <v>6086.0200199999999</v>
      </c>
      <c r="K395">
        <v>416.19000199999999</v>
      </c>
      <c r="L395">
        <v>13231.820309999999</v>
      </c>
    </row>
    <row r="396" spans="1:12" x14ac:dyDescent="0.25">
      <c r="A396" s="1">
        <v>44741</v>
      </c>
      <c r="B396">
        <v>2695.7829999999999</v>
      </c>
      <c r="C396">
        <v>250.88</v>
      </c>
      <c r="D396">
        <v>3669.1239999999998</v>
      </c>
      <c r="E396">
        <v>379.77600000000001</v>
      </c>
      <c r="F396">
        <v>153.82</v>
      </c>
      <c r="G396">
        <v>247.45500000000001</v>
      </c>
      <c r="H396">
        <v>98.956999999999994</v>
      </c>
      <c r="I396">
        <v>4204.2066329999998</v>
      </c>
      <c r="J396">
        <v>6031.4799800000001</v>
      </c>
      <c r="K396">
        <v>413.42001299999998</v>
      </c>
      <c r="L396">
        <v>13003.349609999999</v>
      </c>
    </row>
    <row r="397" spans="1:12" x14ac:dyDescent="0.25">
      <c r="A397" s="1">
        <v>44742</v>
      </c>
      <c r="B397">
        <v>2713.27</v>
      </c>
      <c r="C397">
        <v>248.69499999999999</v>
      </c>
      <c r="D397">
        <v>3615.1419999999998</v>
      </c>
      <c r="E397">
        <v>375.93799999999999</v>
      </c>
      <c r="F397">
        <v>153.29900000000001</v>
      </c>
      <c r="G397">
        <v>245.25899999999999</v>
      </c>
      <c r="H397">
        <v>97.445999999999998</v>
      </c>
      <c r="I397">
        <v>4164.6525330000004</v>
      </c>
      <c r="J397">
        <v>5922.8598629999997</v>
      </c>
      <c r="K397">
        <v>407.20001200000002</v>
      </c>
      <c r="L397">
        <v>12783.76953</v>
      </c>
    </row>
    <row r="398" spans="1:12" x14ac:dyDescent="0.25">
      <c r="A398" s="1">
        <v>44743</v>
      </c>
      <c r="B398">
        <v>2725.0349999999999</v>
      </c>
      <c r="C398">
        <v>251.55600000000001</v>
      </c>
      <c r="D398">
        <v>3592.569</v>
      </c>
      <c r="E398">
        <v>375.25700000000001</v>
      </c>
      <c r="F398">
        <v>152.86199999999999</v>
      </c>
      <c r="G398">
        <v>247.69800000000001</v>
      </c>
      <c r="H398">
        <v>96.900999999999996</v>
      </c>
      <c r="I398">
        <v>4211.4831059999997</v>
      </c>
      <c r="J398">
        <v>5931.0600590000004</v>
      </c>
      <c r="K398">
        <v>407.13000499999998</v>
      </c>
      <c r="L398">
        <v>12813.030269999999</v>
      </c>
    </row>
    <row r="399" spans="1:12" x14ac:dyDescent="0.25">
      <c r="A399" s="1">
        <v>44746</v>
      </c>
      <c r="B399">
        <v>2728.9119999999998</v>
      </c>
      <c r="C399">
        <v>251.547</v>
      </c>
      <c r="D399">
        <v>3577.212</v>
      </c>
      <c r="E399">
        <v>374.07299999999998</v>
      </c>
      <c r="F399">
        <v>153.79499999999999</v>
      </c>
      <c r="G399">
        <v>247.59899999999999</v>
      </c>
      <c r="H399">
        <v>98.388999999999996</v>
      </c>
      <c r="I399">
        <v>4211.4831059999997</v>
      </c>
      <c r="J399">
        <v>5954.6499020000001</v>
      </c>
      <c r="K399">
        <v>409.30999800000001</v>
      </c>
      <c r="L399">
        <v>12773.37988</v>
      </c>
    </row>
    <row r="400" spans="1:12" x14ac:dyDescent="0.25">
      <c r="A400" s="1">
        <v>44747</v>
      </c>
      <c r="B400">
        <v>2779.123</v>
      </c>
      <c r="C400">
        <v>254.63</v>
      </c>
      <c r="D400">
        <v>3629.8</v>
      </c>
      <c r="E400">
        <v>380.21100000000001</v>
      </c>
      <c r="F400">
        <v>157.16800000000001</v>
      </c>
      <c r="G400">
        <v>250.75299999999999</v>
      </c>
      <c r="H400">
        <v>95.665999999999997</v>
      </c>
      <c r="I400">
        <v>4225.0497100000002</v>
      </c>
      <c r="J400">
        <v>5794.9599609999996</v>
      </c>
      <c r="K400">
        <v>400.67999300000002</v>
      </c>
      <c r="L400">
        <v>12401.200199999999</v>
      </c>
    </row>
    <row r="401" spans="1:12" x14ac:dyDescent="0.25">
      <c r="A401" s="1">
        <v>44748</v>
      </c>
      <c r="B401">
        <v>2752.3809999999999</v>
      </c>
      <c r="C401">
        <v>256.54199999999997</v>
      </c>
      <c r="D401">
        <v>3613.6219999999998</v>
      </c>
      <c r="E401">
        <v>377.95400000000001</v>
      </c>
      <c r="F401">
        <v>156.274</v>
      </c>
      <c r="G401">
        <v>252.245</v>
      </c>
      <c r="H401">
        <v>97.120999999999995</v>
      </c>
      <c r="I401">
        <v>4232.3625579999998</v>
      </c>
      <c r="J401">
        <v>5912.3798829999996</v>
      </c>
      <c r="K401">
        <v>407.33999599999999</v>
      </c>
      <c r="L401">
        <v>12594.51953</v>
      </c>
    </row>
    <row r="402" spans="1:12" x14ac:dyDescent="0.25">
      <c r="A402" s="1">
        <v>44749</v>
      </c>
      <c r="B402">
        <v>2769.98</v>
      </c>
      <c r="C402">
        <v>261.26</v>
      </c>
      <c r="D402">
        <v>3690.6120000000001</v>
      </c>
      <c r="E402">
        <v>384.01100000000002</v>
      </c>
      <c r="F402">
        <v>158.78299999999999</v>
      </c>
      <c r="G402">
        <v>256.81599999999997</v>
      </c>
      <c r="H402">
        <v>99.191999999999993</v>
      </c>
      <c r="I402">
        <v>4302.6719990000001</v>
      </c>
      <c r="J402">
        <v>6006.7001950000003</v>
      </c>
      <c r="K402">
        <v>415.01001000000002</v>
      </c>
      <c r="L402">
        <v>12843.219730000001</v>
      </c>
    </row>
    <row r="403" spans="1:12" x14ac:dyDescent="0.25">
      <c r="A403" s="1">
        <v>44750</v>
      </c>
      <c r="B403">
        <v>2769.5920000000001</v>
      </c>
      <c r="C403">
        <v>261.32900000000001</v>
      </c>
      <c r="D403">
        <v>3712.01</v>
      </c>
      <c r="E403">
        <v>385.899</v>
      </c>
      <c r="F403">
        <v>158.94</v>
      </c>
      <c r="G403">
        <v>257.02100000000002</v>
      </c>
      <c r="H403">
        <v>99.424999999999997</v>
      </c>
      <c r="I403">
        <v>4297.905111</v>
      </c>
      <c r="J403">
        <v>6033.1298829999996</v>
      </c>
      <c r="K403">
        <v>417.11999500000002</v>
      </c>
      <c r="L403">
        <v>13015.23047</v>
      </c>
    </row>
    <row r="404" spans="1:12" x14ac:dyDescent="0.25">
      <c r="A404" s="1">
        <v>44753</v>
      </c>
      <c r="B404">
        <v>2720.067</v>
      </c>
      <c r="C404">
        <v>260.49400000000003</v>
      </c>
      <c r="D404">
        <v>3708.058</v>
      </c>
      <c r="E404">
        <v>382.16699999999997</v>
      </c>
      <c r="F404">
        <v>161.02099999999999</v>
      </c>
      <c r="G404">
        <v>256.00799999999998</v>
      </c>
      <c r="H404">
        <v>99.242000000000004</v>
      </c>
      <c r="I404">
        <v>4242.9681389999996</v>
      </c>
      <c r="J404">
        <v>5996.2998049999997</v>
      </c>
      <c r="K404">
        <v>415.01998900000001</v>
      </c>
      <c r="L404">
        <v>12832.440430000001</v>
      </c>
    </row>
    <row r="405" spans="1:12" x14ac:dyDescent="0.25">
      <c r="A405" s="1">
        <v>44754</v>
      </c>
      <c r="B405">
        <v>2686.8519999999999</v>
      </c>
      <c r="C405">
        <v>259.53100000000001</v>
      </c>
      <c r="D405">
        <v>3672.5129999999999</v>
      </c>
      <c r="E405">
        <v>378.05099999999999</v>
      </c>
      <c r="F405">
        <v>159.887</v>
      </c>
      <c r="G405">
        <v>254.85499999999999</v>
      </c>
      <c r="H405">
        <v>99.777000000000001</v>
      </c>
      <c r="I405">
        <v>4206.6879550000003</v>
      </c>
      <c r="J405">
        <v>6044.2001950000003</v>
      </c>
      <c r="K405">
        <v>417.040009</v>
      </c>
      <c r="L405">
        <v>12905.48047</v>
      </c>
    </row>
    <row r="406" spans="1:12" x14ac:dyDescent="0.25">
      <c r="A406" s="1">
        <v>44755</v>
      </c>
      <c r="B406">
        <v>2674.3229999999999</v>
      </c>
      <c r="C406">
        <v>257.02999999999997</v>
      </c>
      <c r="D406">
        <v>3670.42</v>
      </c>
      <c r="E406">
        <v>377.03100000000001</v>
      </c>
      <c r="F406">
        <v>158.79900000000001</v>
      </c>
      <c r="G406">
        <v>252.6</v>
      </c>
      <c r="H406">
        <v>98.962000000000003</v>
      </c>
      <c r="I406">
        <v>4189.4534389999999</v>
      </c>
      <c r="J406">
        <v>6000.2402339999999</v>
      </c>
      <c r="K406">
        <v>412.80999800000001</v>
      </c>
      <c r="L406">
        <v>12756.320309999999</v>
      </c>
    </row>
    <row r="407" spans="1:12" x14ac:dyDescent="0.25">
      <c r="A407" s="1">
        <v>44756</v>
      </c>
      <c r="B407">
        <v>2702.2460000000001</v>
      </c>
      <c r="C407">
        <v>257.50799999999998</v>
      </c>
      <c r="D407">
        <v>3684.915</v>
      </c>
      <c r="E407">
        <v>379.32600000000002</v>
      </c>
      <c r="F407">
        <v>158.59200000000001</v>
      </c>
      <c r="G407">
        <v>253.191</v>
      </c>
      <c r="H407">
        <v>97.048000000000002</v>
      </c>
      <c r="I407">
        <v>4170.9692709999999</v>
      </c>
      <c r="J407">
        <v>5915.4101559999999</v>
      </c>
      <c r="K407">
        <v>406.5</v>
      </c>
      <c r="L407">
        <v>12519.660159999999</v>
      </c>
    </row>
    <row r="408" spans="1:12" x14ac:dyDescent="0.25">
      <c r="A408" s="1">
        <v>44757</v>
      </c>
      <c r="B408">
        <v>2620.2910000000002</v>
      </c>
      <c r="C408">
        <v>260.22199999999998</v>
      </c>
      <c r="D408">
        <v>3681.45</v>
      </c>
      <c r="E408">
        <v>374.8</v>
      </c>
      <c r="F408">
        <v>158.07900000000001</v>
      </c>
      <c r="G408">
        <v>255.209</v>
      </c>
      <c r="H408">
        <v>98.444000000000003</v>
      </c>
      <c r="I408">
        <v>4252.719701</v>
      </c>
      <c r="J408">
        <v>6036</v>
      </c>
      <c r="K408">
        <v>413.77999899999998</v>
      </c>
      <c r="L408">
        <v>12864.719730000001</v>
      </c>
    </row>
    <row r="409" spans="1:12" x14ac:dyDescent="0.25">
      <c r="A409" s="1">
        <v>44760</v>
      </c>
      <c r="B409">
        <v>2640.1660000000002</v>
      </c>
      <c r="C409">
        <v>257.166</v>
      </c>
      <c r="D409">
        <v>3704.35</v>
      </c>
      <c r="E409">
        <v>377.71</v>
      </c>
      <c r="F409">
        <v>156.91499999999999</v>
      </c>
      <c r="G409">
        <v>252.77</v>
      </c>
      <c r="H409">
        <v>99.6</v>
      </c>
      <c r="I409">
        <v>4221.7895269999999</v>
      </c>
      <c r="J409">
        <v>6091.9101559999999</v>
      </c>
      <c r="K409">
        <v>417.63000499999998</v>
      </c>
      <c r="L409">
        <v>12959.809569999999</v>
      </c>
    </row>
    <row r="410" spans="1:12" x14ac:dyDescent="0.25">
      <c r="A410" s="1">
        <v>44761</v>
      </c>
      <c r="B410">
        <v>2610.3589999999999</v>
      </c>
      <c r="C410">
        <v>261.90499999999997</v>
      </c>
      <c r="D410">
        <v>3697.4259999999999</v>
      </c>
      <c r="E410">
        <v>375.58699999999999</v>
      </c>
      <c r="F410">
        <v>157.208</v>
      </c>
      <c r="G410">
        <v>256.73399999999998</v>
      </c>
      <c r="H410">
        <v>100.142</v>
      </c>
      <c r="I410">
        <v>4341.6110550000003</v>
      </c>
      <c r="J410">
        <v>6201.2202150000003</v>
      </c>
      <c r="K410">
        <v>423.41000400000001</v>
      </c>
      <c r="L410">
        <v>13308.410159999999</v>
      </c>
    </row>
    <row r="411" spans="1:12" x14ac:dyDescent="0.25">
      <c r="A411" s="1">
        <v>44762</v>
      </c>
      <c r="B411">
        <v>2637.95</v>
      </c>
      <c r="C411">
        <v>264.36200000000002</v>
      </c>
      <c r="D411">
        <v>3730.2910000000002</v>
      </c>
      <c r="E411">
        <v>379.42200000000003</v>
      </c>
      <c r="F411">
        <v>161.22399999999999</v>
      </c>
      <c r="G411">
        <v>259.166</v>
      </c>
      <c r="H411">
        <v>99.697000000000003</v>
      </c>
      <c r="I411">
        <v>4376.1992170000003</v>
      </c>
      <c r="J411">
        <v>6184.6601559999999</v>
      </c>
      <c r="K411">
        <v>422.51001000000002</v>
      </c>
      <c r="L411">
        <v>13281.98047</v>
      </c>
    </row>
    <row r="412" spans="1:12" x14ac:dyDescent="0.25">
      <c r="A412" s="1">
        <v>44763</v>
      </c>
      <c r="B412">
        <v>2617.5749999999998</v>
      </c>
      <c r="C412">
        <v>266.88799999999998</v>
      </c>
      <c r="D412">
        <v>3777.067</v>
      </c>
      <c r="E412">
        <v>381.77499999999998</v>
      </c>
      <c r="F412">
        <v>162.08099999999999</v>
      </c>
      <c r="G412">
        <v>261.54599999999999</v>
      </c>
      <c r="H412">
        <v>99.582999999999998</v>
      </c>
      <c r="I412">
        <v>4417.9559419999996</v>
      </c>
      <c r="J412">
        <v>6201.1098629999997</v>
      </c>
      <c r="K412">
        <v>424.39001500000001</v>
      </c>
      <c r="L412">
        <v>13246.639649999999</v>
      </c>
    </row>
    <row r="413" spans="1:12" x14ac:dyDescent="0.25">
      <c r="A413" s="1">
        <v>44764</v>
      </c>
      <c r="B413">
        <v>2598.67</v>
      </c>
      <c r="C413">
        <v>264.584</v>
      </c>
      <c r="D413">
        <v>3767.98</v>
      </c>
      <c r="E413">
        <v>380.21600000000001</v>
      </c>
      <c r="F413">
        <v>164.05</v>
      </c>
      <c r="G413">
        <v>259.42099999999999</v>
      </c>
      <c r="H413">
        <v>100.087</v>
      </c>
      <c r="I413">
        <v>4370.8588390000004</v>
      </c>
      <c r="J413">
        <v>6216.8198240000002</v>
      </c>
      <c r="K413">
        <v>425.709991</v>
      </c>
      <c r="L413">
        <v>13253.679690000001</v>
      </c>
    </row>
    <row r="414" spans="1:12" x14ac:dyDescent="0.25">
      <c r="A414" s="1">
        <v>44767</v>
      </c>
      <c r="B414">
        <v>2585.9290000000001</v>
      </c>
      <c r="C414">
        <v>264.96100000000001</v>
      </c>
      <c r="D414">
        <v>3767.8159999999998</v>
      </c>
      <c r="E414">
        <v>379.43299999999999</v>
      </c>
      <c r="F414">
        <v>162.24799999999999</v>
      </c>
      <c r="G414">
        <v>259.68900000000002</v>
      </c>
      <c r="H414">
        <v>100.721</v>
      </c>
      <c r="I414">
        <v>4377.1870909999998</v>
      </c>
      <c r="J414">
        <v>6237.5498049999997</v>
      </c>
      <c r="K414">
        <v>426.25</v>
      </c>
      <c r="L414">
        <v>13210.320309999999</v>
      </c>
    </row>
    <row r="415" spans="1:12" x14ac:dyDescent="0.25">
      <c r="A415" s="1">
        <v>44768</v>
      </c>
      <c r="B415">
        <v>2635.8029999999999</v>
      </c>
      <c r="C415">
        <v>264.464</v>
      </c>
      <c r="D415">
        <v>3791.922</v>
      </c>
      <c r="E415">
        <v>383.68200000000002</v>
      </c>
      <c r="F415">
        <v>163.62</v>
      </c>
      <c r="G415">
        <v>259.58100000000002</v>
      </c>
      <c r="H415">
        <v>101.627</v>
      </c>
      <c r="I415">
        <v>4324.7606210000004</v>
      </c>
      <c r="J415">
        <v>6211.4501950000003</v>
      </c>
      <c r="K415">
        <v>426.13000499999998</v>
      </c>
      <c r="L415">
        <v>13096.929690000001</v>
      </c>
    </row>
    <row r="416" spans="1:12" x14ac:dyDescent="0.25">
      <c r="A416" s="1">
        <v>44769</v>
      </c>
      <c r="B416">
        <v>2616.9169999999999</v>
      </c>
      <c r="C416">
        <v>269.90899999999999</v>
      </c>
      <c r="D416">
        <v>3819.2910000000002</v>
      </c>
      <c r="E416">
        <v>384.161</v>
      </c>
      <c r="F416">
        <v>163.35</v>
      </c>
      <c r="G416">
        <v>264.358</v>
      </c>
      <c r="H416">
        <v>102.10299999999999</v>
      </c>
      <c r="I416">
        <v>4437.9446049999997</v>
      </c>
      <c r="J416">
        <v>6257.9399409999996</v>
      </c>
      <c r="K416">
        <v>428.11999500000002</v>
      </c>
      <c r="L416">
        <v>13166.37988</v>
      </c>
    </row>
    <row r="417" spans="1:12" x14ac:dyDescent="0.25">
      <c r="A417" s="1">
        <v>44770</v>
      </c>
      <c r="B417">
        <v>2607.011</v>
      </c>
      <c r="C417">
        <v>272.471</v>
      </c>
      <c r="D417">
        <v>3854.2869999999998</v>
      </c>
      <c r="E417">
        <v>385.82299999999998</v>
      </c>
      <c r="F417">
        <v>166.31100000000001</v>
      </c>
      <c r="G417">
        <v>266.71600000000001</v>
      </c>
      <c r="H417">
        <v>102.474</v>
      </c>
      <c r="I417">
        <v>4493.0763500000003</v>
      </c>
      <c r="J417">
        <v>6339.2099609999996</v>
      </c>
      <c r="K417">
        <v>432.76998900000001</v>
      </c>
      <c r="L417">
        <v>13282.110350000001</v>
      </c>
    </row>
    <row r="418" spans="1:12" x14ac:dyDescent="0.25">
      <c r="A418" s="1">
        <v>44771</v>
      </c>
      <c r="B418">
        <v>2542.143</v>
      </c>
      <c r="C418">
        <v>275.03500000000003</v>
      </c>
      <c r="D418">
        <v>3870.223</v>
      </c>
      <c r="E418">
        <v>382.798</v>
      </c>
      <c r="F418">
        <v>166.12200000000001</v>
      </c>
      <c r="G418">
        <v>268.71699999999998</v>
      </c>
      <c r="H418">
        <v>103.517</v>
      </c>
      <c r="I418">
        <v>4554.231393</v>
      </c>
      <c r="J418">
        <v>6448.5</v>
      </c>
      <c r="K418">
        <v>438.290009</v>
      </c>
      <c r="L418">
        <v>13484.04981</v>
      </c>
    </row>
  </sheetData>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CC308-4996-460D-9911-9C93B33BBF4D}">
  <sheetPr codeName="Sheet3">
    <tabColor rgb="FF8DBAE3"/>
  </sheetPr>
  <dimension ref="A3:R414"/>
  <sheetViews>
    <sheetView topLeftCell="A173" workbookViewId="0">
      <selection activeCell="B404" sqref="B404"/>
    </sheetView>
  </sheetViews>
  <sheetFormatPr defaultRowHeight="15" x14ac:dyDescent="0.25"/>
  <cols>
    <col min="1" max="1" width="10.7109375" bestFit="1" customWidth="1"/>
    <col min="4" max="4" width="14" customWidth="1"/>
    <col min="7" max="7" width="9.5703125" customWidth="1"/>
    <col min="11" max="11" width="9.42578125" customWidth="1"/>
    <col min="12" max="12" width="12.7109375" customWidth="1"/>
    <col min="17" max="17" width="13.140625" bestFit="1" customWidth="1"/>
    <col min="18" max="18" width="13.85546875" bestFit="1" customWidth="1"/>
  </cols>
  <sheetData>
    <row r="3" spans="1:18" x14ac:dyDescent="0.25">
      <c r="M3" s="8" t="s">
        <v>23</v>
      </c>
      <c r="N3" s="8"/>
      <c r="O3" s="8"/>
      <c r="P3" s="8"/>
      <c r="Q3" s="8"/>
      <c r="R3" s="8"/>
    </row>
    <row r="4" spans="1:18" x14ac:dyDescent="0.25">
      <c r="A4" t="s">
        <v>0</v>
      </c>
      <c r="B4" t="s">
        <v>15</v>
      </c>
      <c r="C4" t="s">
        <v>1</v>
      </c>
      <c r="D4" t="s">
        <v>2</v>
      </c>
      <c r="E4" t="s">
        <v>3</v>
      </c>
      <c r="F4" t="s">
        <v>4</v>
      </c>
      <c r="G4" t="s">
        <v>5</v>
      </c>
      <c r="H4" t="s">
        <v>6</v>
      </c>
      <c r="I4" t="s">
        <v>7</v>
      </c>
      <c r="J4" t="s">
        <v>8</v>
      </c>
      <c r="K4" t="s">
        <v>9</v>
      </c>
      <c r="L4" t="s">
        <v>10</v>
      </c>
      <c r="M4" t="s">
        <v>24</v>
      </c>
      <c r="N4" t="s">
        <v>25</v>
      </c>
      <c r="O4" t="s">
        <v>26</v>
      </c>
      <c r="P4" t="s">
        <v>27</v>
      </c>
      <c r="Q4" t="s">
        <v>28</v>
      </c>
      <c r="R4" t="s">
        <v>107</v>
      </c>
    </row>
    <row r="5" spans="1:18" x14ac:dyDescent="0.25">
      <c r="A5" s="1">
        <v>44200</v>
      </c>
      <c r="B5" s="6">
        <f>(Indices!B9-Indices!B8)/Indices!B8</f>
        <v>8.7001478873078714E-3</v>
      </c>
      <c r="C5" s="6">
        <f>(Indices!C9-Indices!C8)/Indices!C8</f>
        <v>-1.0387481570237967E-2</v>
      </c>
      <c r="D5" s="6">
        <f>(Indices!D9-Indices!D8)/Indices!D8</f>
        <v>1.1361451232426387E-2</v>
      </c>
      <c r="E5" s="6">
        <f>(Indices!E9-Indices!E8)/Indices!E8</f>
        <v>6.8080693588646853E-3</v>
      </c>
      <c r="F5" s="6">
        <f>(Indices!F9-Indices!F8)/Indices!F8</f>
        <v>-6.540937975315137E-3</v>
      </c>
      <c r="G5" s="6">
        <f>(Indices!G9-Indices!G8)/Indices!G8</f>
        <v>-8.0986644694228879E-3</v>
      </c>
      <c r="H5" s="6">
        <f>(Indices!H9-Indices!H8)/Indices!H8</f>
        <v>7.2656669760171799E-3</v>
      </c>
      <c r="I5" s="6">
        <f>(Indices!I9-Indices!I8)/Indices!I8</f>
        <v>-1.4652395380292499E-2</v>
      </c>
      <c r="J5" s="6">
        <f>(Indices!J9-Indices!J8)/Indices!J8</f>
        <v>6.7640403068769395E-3</v>
      </c>
      <c r="K5" s="6">
        <f>(Indices!K9-Indices!K8)/Indices!K8</f>
        <v>3.5977564022485762E-3</v>
      </c>
      <c r="L5" s="6">
        <f>(Indices!L9-Indices!L8)/Indices!L8</f>
        <v>5.8024328693941974E-4</v>
      </c>
      <c r="M5" s="10">
        <f>WEEKNUM(Rend_j[[#This Row],[Date]])-1</f>
        <v>1</v>
      </c>
      <c r="N5" s="7" t="str">
        <f>TEXT(Rend_j[[#This Row],[Date]],"ddd")</f>
        <v>Mon</v>
      </c>
      <c r="O5" s="7">
        <f>MONTH(Rend_j[[#This Row],[Date]])</f>
        <v>1</v>
      </c>
      <c r="P5" s="7">
        <f>YEAR(Rend_j[[#This Row],[Date]])</f>
        <v>2021</v>
      </c>
      <c r="Q5" s="7" t="str">
        <f>Rend_j[[#This Row],[Week]]&amp;","&amp;Rend_j[[#This Row],[Year]]</f>
        <v>1,2021</v>
      </c>
      <c r="R5" s="7" t="str">
        <f>Rend_j[[#This Row],[Month]]&amp;","&amp;Rend_j[[#This Row],[Year]]</f>
        <v>1,2021</v>
      </c>
    </row>
    <row r="6" spans="1:18" x14ac:dyDescent="0.25">
      <c r="A6" s="1">
        <v>44201</v>
      </c>
      <c r="B6" s="6">
        <f>(Indices!B10-Indices!B9)/Indices!B9</f>
        <v>2.0467271674068466E-2</v>
      </c>
      <c r="C6" s="6">
        <f>(Indices!C10-Indices!C9)/Indices!C9</f>
        <v>4.9286804189603356E-3</v>
      </c>
      <c r="D6" s="6">
        <f>(Indices!D10-Indices!D9)/Indices!D9</f>
        <v>4.7315934080647487E-3</v>
      </c>
      <c r="E6" s="6">
        <f>(Indices!E10-Indices!E9)/Indices!E9</f>
        <v>1.1545518566247786E-2</v>
      </c>
      <c r="F6" s="6">
        <f>(Indices!F10-Indices!F9)/Indices!F9</f>
        <v>1.028750552197084E-3</v>
      </c>
      <c r="G6" s="6">
        <f>(Indices!G10-Indices!G9)/Indices!G9</f>
        <v>5.8192996406249411E-3</v>
      </c>
      <c r="H6" s="6">
        <f>(Indices!H10-Indices!H9)/Indices!H9</f>
        <v>7.5769515196333972E-3</v>
      </c>
      <c r="I6" s="6">
        <f>(Indices!I10-Indices!I9)/Indices!I9</f>
        <v>8.3596534560352476E-3</v>
      </c>
      <c r="J6" s="6">
        <f>(Indices!J10-Indices!J9)/Indices!J9</f>
        <v>-4.3585681718931318E-3</v>
      </c>
      <c r="K6" s="6">
        <f>(Indices!K10-Indices!K9)/Indices!K9</f>
        <v>-1.86711144481012E-3</v>
      </c>
      <c r="L6" s="6">
        <f>(Indices!L10-Indices!L9)/Indices!L9</f>
        <v>-5.5017067952482642E-3</v>
      </c>
      <c r="M6" s="10">
        <f>WEEKNUM(Rend_j[[#This Row],[Date]])-1</f>
        <v>1</v>
      </c>
      <c r="N6" s="7" t="str">
        <f>TEXT(Rend_j[[#This Row],[Date]],"ddd")</f>
        <v>Tue</v>
      </c>
      <c r="O6" s="7">
        <f>MONTH(Rend_j[[#This Row],[Date]])</f>
        <v>1</v>
      </c>
      <c r="P6" s="7">
        <f>YEAR(Rend_j[[#This Row],[Date]])</f>
        <v>2021</v>
      </c>
      <c r="Q6" s="7" t="str">
        <f>Rend_j[[#This Row],[Week]]&amp;","&amp;Rend_j[[#This Row],[Year]]</f>
        <v>1,2021</v>
      </c>
      <c r="R6" s="7" t="str">
        <f>Rend_j[[#This Row],[Month]]&amp;","&amp;Rend_j[[#This Row],[Year]]</f>
        <v>1,2021</v>
      </c>
    </row>
    <row r="7" spans="1:18" x14ac:dyDescent="0.25">
      <c r="A7" s="1">
        <v>44202</v>
      </c>
      <c r="B7" s="6">
        <f>(Indices!B11-Indices!B10)/Indices!B10</f>
        <v>-1.3122452122694712E-3</v>
      </c>
      <c r="C7" s="6">
        <f>(Indices!C11-Indices!C10)/Indices!C10</f>
        <v>5.3434499068366762E-3</v>
      </c>
      <c r="D7" s="6">
        <f>(Indices!D11-Indices!D10)/Indices!D10</f>
        <v>-2.0373519861383925E-3</v>
      </c>
      <c r="E7" s="6">
        <f>(Indices!E11-Indices!E10)/Indices!E10</f>
        <v>-3.8835135378334409E-3</v>
      </c>
      <c r="F7" s="6">
        <f>(Indices!F11-Indices!F10)/Indices!F10</f>
        <v>-4.8664300956964245E-3</v>
      </c>
      <c r="G7" s="6">
        <f>(Indices!G11-Indices!G10)/Indices!G10</f>
        <v>4.0941070474288938E-3</v>
      </c>
      <c r="H7" s="6">
        <f>(Indices!H11-Indices!H10)/Indices!H10</f>
        <v>3.1030416786986332E-2</v>
      </c>
      <c r="I7" s="6">
        <f>(Indices!I11-Indices!I10)/Indices!I10</f>
        <v>8.3241611697875435E-3</v>
      </c>
      <c r="J7" s="6">
        <f>(Indices!J11-Indices!J10)/Indices!J10</f>
        <v>1.1860690586502591E-2</v>
      </c>
      <c r="K7" s="6">
        <f>(Indices!K11-Indices!K10)/Indices!K10</f>
        <v>1.3642944013353954E-2</v>
      </c>
      <c r="L7" s="6">
        <f>(Indices!L11-Indices!L10)/Indices!L10</f>
        <v>1.7635786747386858E-2</v>
      </c>
      <c r="M7" s="10">
        <f>WEEKNUM(Rend_j[[#This Row],[Date]])-1</f>
        <v>1</v>
      </c>
      <c r="N7" s="7" t="str">
        <f>TEXT(Rend_j[[#This Row],[Date]],"ddd")</f>
        <v>Wed</v>
      </c>
      <c r="O7" s="7">
        <f>MONTH(Rend_j[[#This Row],[Date]])</f>
        <v>1</v>
      </c>
      <c r="P7" s="7">
        <f>YEAR(Rend_j[[#This Row],[Date]])</f>
        <v>2021</v>
      </c>
      <c r="Q7" s="7" t="str">
        <f>Rend_j[[#This Row],[Week]]&amp;","&amp;Rend_j[[#This Row],[Year]]</f>
        <v>1,2021</v>
      </c>
      <c r="R7" s="7" t="str">
        <f>Rend_j[[#This Row],[Month]]&amp;","&amp;Rend_j[[#This Row],[Year]]</f>
        <v>1,2021</v>
      </c>
    </row>
    <row r="8" spans="1:18" x14ac:dyDescent="0.25">
      <c r="A8" s="1">
        <v>44203</v>
      </c>
      <c r="B8" s="6">
        <f>(Indices!B12-Indices!B11)/Indices!B11</f>
        <v>5.3046599494239836E-3</v>
      </c>
      <c r="C8" s="6">
        <f>(Indices!C12-Indices!C11)/Indices!C11</f>
        <v>1.4621954316417001E-2</v>
      </c>
      <c r="D8" s="6">
        <f>(Indices!D12-Indices!D11)/Indices!D11</f>
        <v>1.2480353391902599E-2</v>
      </c>
      <c r="E8" s="6">
        <f>(Indices!E12-Indices!E11)/Indices!E11</f>
        <v>7.0627445573363716E-3</v>
      </c>
      <c r="F8" s="6">
        <f>(Indices!F12-Indices!F11)/Indices!F11</f>
        <v>1.3777685980536289E-2</v>
      </c>
      <c r="G8" s="6">
        <f>(Indices!G12-Indices!G11)/Indices!G11</f>
        <v>1.3604574444688884E-2</v>
      </c>
      <c r="H8" s="6">
        <f>(Indices!H12-Indices!H11)/Indices!H11</f>
        <v>2.789091036398272E-3</v>
      </c>
      <c r="I8" s="6">
        <f>(Indices!I12-Indices!I11)/Indices!I11</f>
        <v>1.6081663831086484E-2</v>
      </c>
      <c r="J8" s="6">
        <f>(Indices!J12-Indices!J11)/Indices!J11</f>
        <v>6.9708378000315945E-3</v>
      </c>
      <c r="K8" s="6">
        <f>(Indices!K12-Indices!K11)/Indices!K11</f>
        <v>5.117949803223748E-3</v>
      </c>
      <c r="L8" s="6">
        <f>(Indices!L12-Indices!L11)/Indices!L11</f>
        <v>5.4902581478630036E-3</v>
      </c>
      <c r="M8" s="10">
        <f>WEEKNUM(Rend_j[[#This Row],[Date]])-1</f>
        <v>1</v>
      </c>
      <c r="N8" s="7" t="str">
        <f>TEXT(Rend_j[[#This Row],[Date]],"ddd")</f>
        <v>Thu</v>
      </c>
      <c r="O8" s="7">
        <f>MONTH(Rend_j[[#This Row],[Date]])</f>
        <v>1</v>
      </c>
      <c r="P8" s="7">
        <f>YEAR(Rend_j[[#This Row],[Date]])</f>
        <v>2021</v>
      </c>
      <c r="Q8" s="7" t="str">
        <f>Rend_j[[#This Row],[Week]]&amp;","&amp;Rend_j[[#This Row],[Year]]</f>
        <v>1,2021</v>
      </c>
      <c r="R8" s="7" t="str">
        <f>Rend_j[[#This Row],[Month]]&amp;","&amp;Rend_j[[#This Row],[Year]]</f>
        <v>1,2021</v>
      </c>
    </row>
    <row r="9" spans="1:18" x14ac:dyDescent="0.25">
      <c r="A9" s="1">
        <v>44204</v>
      </c>
      <c r="B9" s="6">
        <f>(Indices!B13-Indices!B12)/Indices!B12</f>
        <v>1.2664944822728317E-2</v>
      </c>
      <c r="C9" s="6">
        <f>(Indices!C13-Indices!C12)/Indices!C12</f>
        <v>7.2802638107657761E-3</v>
      </c>
      <c r="D9" s="6">
        <f>(Indices!D13-Indices!D12)/Indices!D12</f>
        <v>2.4680989128241449E-2</v>
      </c>
      <c r="E9" s="6">
        <f>(Indices!E13-Indices!E12)/Indices!E12</f>
        <v>2.3912432812673343E-2</v>
      </c>
      <c r="F9" s="6">
        <f>(Indices!F13-Indices!F12)/Indices!F12</f>
        <v>1.8360278520151922E-2</v>
      </c>
      <c r="G9" s="6">
        <f>(Indices!G13-Indices!G12)/Indices!G12</f>
        <v>9.5034346888384445E-3</v>
      </c>
      <c r="H9" s="6">
        <f>(Indices!H13-Indices!H12)/Indices!H12</f>
        <v>6.4238333527288777E-3</v>
      </c>
      <c r="I9" s="6">
        <f>(Indices!I13-Indices!I12)/Indices!I12</f>
        <v>4.7521043725962777E-3</v>
      </c>
      <c r="J9" s="6">
        <f>(Indices!J13-Indices!J12)/Indices!J12</f>
        <v>6.5309989435279282E-3</v>
      </c>
      <c r="K9" s="6">
        <f>(Indices!K13-Indices!K12)/Indices!K12</f>
        <v>6.5608045866680986E-3</v>
      </c>
      <c r="L9" s="6">
        <f>(Indices!L13-Indices!L12)/Indices!L12</f>
        <v>5.8196335874443842E-3</v>
      </c>
      <c r="M9" s="10">
        <f>WEEKNUM(Rend_j[[#This Row],[Date]])-1</f>
        <v>1</v>
      </c>
      <c r="N9" s="7" t="str">
        <f>TEXT(Rend_j[[#This Row],[Date]],"ddd")</f>
        <v>Fri</v>
      </c>
      <c r="O9" s="7">
        <f>MONTH(Rend_j[[#This Row],[Date]])</f>
        <v>1</v>
      </c>
      <c r="P9" s="7">
        <f>YEAR(Rend_j[[#This Row],[Date]])</f>
        <v>2021</v>
      </c>
      <c r="Q9" s="7" t="str">
        <f>Rend_j[[#This Row],[Week]]&amp;","&amp;Rend_j[[#This Row],[Year]]</f>
        <v>1,2021</v>
      </c>
      <c r="R9" s="7" t="str">
        <f>Rend_j[[#This Row],[Month]]&amp;","&amp;Rend_j[[#This Row],[Year]]</f>
        <v>1,2021</v>
      </c>
    </row>
    <row r="10" spans="1:18" x14ac:dyDescent="0.25">
      <c r="A10" s="1">
        <v>44207</v>
      </c>
      <c r="B10" s="6">
        <f>(Indices!B14-Indices!B13)/Indices!B13</f>
        <v>1.4437174332747446E-4</v>
      </c>
      <c r="C10" s="6">
        <f>(Indices!C14-Indices!C13)/Indices!C13</f>
        <v>1.6129243189756684E-4</v>
      </c>
      <c r="D10" s="6">
        <f>(Indices!D14-Indices!D13)/Indices!D13</f>
        <v>8.2572612078368347E-3</v>
      </c>
      <c r="E10" s="6">
        <f>(Indices!E14-Indices!E13)/Indices!E13</f>
        <v>5.749736604888824E-3</v>
      </c>
      <c r="F10" s="6">
        <f>(Indices!F14-Indices!F13)/Indices!F13</f>
        <v>3.8482812187400489E-3</v>
      </c>
      <c r="G10" s="6">
        <f>(Indices!G14-Indices!G13)/Indices!G13</f>
        <v>9.1560526666463417E-4</v>
      </c>
      <c r="H10" s="6">
        <f>(Indices!H14-Indices!H13)/Indices!H13</f>
        <v>-9.7592562614184936E-3</v>
      </c>
      <c r="I10" s="6">
        <f>(Indices!I14-Indices!I13)/Indices!I13</f>
        <v>-5.4212655922259599E-3</v>
      </c>
      <c r="J10" s="6">
        <f>(Indices!J14-Indices!J13)/Indices!J13</f>
        <v>-7.7887931604113921E-3</v>
      </c>
      <c r="K10" s="6">
        <f>(Indices!K14-Indices!K13)/Indices!K13</f>
        <v>-6.712573662320964E-3</v>
      </c>
      <c r="L10" s="6">
        <f>(Indices!L14-Indices!L13)/Indices!L13</f>
        <v>-8.0337283760305994E-3</v>
      </c>
      <c r="M10" s="10">
        <f>WEEKNUM(Rend_j[[#This Row],[Date]])-1</f>
        <v>2</v>
      </c>
      <c r="N10" s="7" t="str">
        <f>TEXT(Rend_j[[#This Row],[Date]],"ddd")</f>
        <v>Mon</v>
      </c>
      <c r="O10" s="7">
        <f>MONTH(Rend_j[[#This Row],[Date]])</f>
        <v>1</v>
      </c>
      <c r="P10" s="7">
        <f>YEAR(Rend_j[[#This Row],[Date]])</f>
        <v>2021</v>
      </c>
      <c r="Q10" s="7" t="str">
        <f>Rend_j[[#This Row],[Week]]&amp;","&amp;Rend_j[[#This Row],[Year]]</f>
        <v>2,2021</v>
      </c>
      <c r="R10" s="7" t="str">
        <f>Rend_j[[#This Row],[Month]]&amp;","&amp;Rend_j[[#This Row],[Year]]</f>
        <v>1,2021</v>
      </c>
    </row>
    <row r="11" spans="1:18" x14ac:dyDescent="0.25">
      <c r="A11" s="1">
        <v>44208</v>
      </c>
      <c r="B11" s="6">
        <f>(Indices!B15-Indices!B14)/Indices!B14</f>
        <v>1.3201461931544855E-2</v>
      </c>
      <c r="C11" s="6">
        <f>(Indices!C15-Indices!C14)/Indices!C14</f>
        <v>9.327301097483313E-4</v>
      </c>
      <c r="D11" s="6">
        <f>(Indices!D15-Indices!D14)/Indices!D14</f>
        <v>-5.925972072612862E-4</v>
      </c>
      <c r="E11" s="6">
        <f>(Indices!E15-Indices!E14)/Indices!E14</f>
        <v>2.2876633513121756E-3</v>
      </c>
      <c r="F11" s="6">
        <f>(Indices!F15-Indices!F14)/Indices!F14</f>
        <v>2.3915592028136896E-3</v>
      </c>
      <c r="G11" s="6">
        <f>(Indices!G15-Indices!G14)/Indices!G14</f>
        <v>1.1166178504247051E-3</v>
      </c>
      <c r="H11" s="6">
        <f>(Indices!H15-Indices!H14)/Indices!H14</f>
        <v>2.5689530348676857E-3</v>
      </c>
      <c r="I11" s="6">
        <f>(Indices!I15-Indices!I14)/Indices!I14</f>
        <v>2.9569726764033023E-3</v>
      </c>
      <c r="J11" s="6">
        <f>(Indices!J15-Indices!J14)/Indices!J14</f>
        <v>-2.0238591282895082E-3</v>
      </c>
      <c r="K11" s="6">
        <f>(Indices!K15-Indices!K14)/Indices!K14</f>
        <v>4.8965744727443006E-4</v>
      </c>
      <c r="L11" s="6">
        <f>(Indices!L15-Indices!L14)/Indices!L14</f>
        <v>-8.3237948452637102E-4</v>
      </c>
      <c r="M11" s="10">
        <f>WEEKNUM(Rend_j[[#This Row],[Date]])-1</f>
        <v>2</v>
      </c>
      <c r="N11" s="7" t="str">
        <f>TEXT(Rend_j[[#This Row],[Date]],"ddd")</f>
        <v>Tue</v>
      </c>
      <c r="O11" s="7">
        <f>MONTH(Rend_j[[#This Row],[Date]])</f>
        <v>1</v>
      </c>
      <c r="P11" s="7">
        <f>YEAR(Rend_j[[#This Row],[Date]])</f>
        <v>2021</v>
      </c>
      <c r="Q11" s="7" t="str">
        <f>Rend_j[[#This Row],[Week]]&amp;","&amp;Rend_j[[#This Row],[Year]]</f>
        <v>2,2021</v>
      </c>
      <c r="R11" s="7" t="str">
        <f>Rend_j[[#This Row],[Month]]&amp;","&amp;Rend_j[[#This Row],[Year]]</f>
        <v>1,2021</v>
      </c>
    </row>
    <row r="12" spans="1:18" x14ac:dyDescent="0.25">
      <c r="A12" s="1">
        <v>44209</v>
      </c>
      <c r="B12" s="6">
        <f>(Indices!B16-Indices!B15)/Indices!B15</f>
        <v>1.9259393492320502E-3</v>
      </c>
      <c r="C12" s="6">
        <f>(Indices!C16-Indices!C15)/Indices!C15</f>
        <v>1.837594927889627E-3</v>
      </c>
      <c r="D12" s="6">
        <f>(Indices!D16-Indices!D15)/Indices!D15</f>
        <v>8.8436455122912778E-3</v>
      </c>
      <c r="E12" s="6">
        <f>(Indices!E16-Indices!E15)/Indices!E15</f>
        <v>7.5906058533885962E-3</v>
      </c>
      <c r="F12" s="6">
        <f>(Indices!F16-Indices!F15)/Indices!F15</f>
        <v>5.7190306886226389E-3</v>
      </c>
      <c r="G12" s="6">
        <f>(Indices!G16-Indices!G15)/Indices!G15</f>
        <v>2.6168352594957388E-3</v>
      </c>
      <c r="H12" s="6">
        <f>(Indices!H16-Indices!H15)/Indices!H15</f>
        <v>1.2811852127927136E-4</v>
      </c>
      <c r="I12" s="6">
        <f>(Indices!I16-Indices!I15)/Indices!I15</f>
        <v>9.2191246755986549E-4</v>
      </c>
      <c r="J12" s="6">
        <f>(Indices!J16-Indices!J15)/Indices!J15</f>
        <v>2.0703890756571192E-3</v>
      </c>
      <c r="K12" s="6">
        <f>(Indices!K16-Indices!K15)/Indices!K15</f>
        <v>1.1258217294909736E-3</v>
      </c>
      <c r="L12" s="6">
        <f>(Indices!L16-Indices!L15)/Indices!L15</f>
        <v>1.0520881383921216E-3</v>
      </c>
      <c r="M12" s="10">
        <f>WEEKNUM(Rend_j[[#This Row],[Date]])-1</f>
        <v>2</v>
      </c>
      <c r="N12" s="7" t="str">
        <f>TEXT(Rend_j[[#This Row],[Date]],"ddd")</f>
        <v>Wed</v>
      </c>
      <c r="O12" s="7">
        <f>MONTH(Rend_j[[#This Row],[Date]])</f>
        <v>1</v>
      </c>
      <c r="P12" s="7">
        <f>YEAR(Rend_j[[#This Row],[Date]])</f>
        <v>2021</v>
      </c>
      <c r="Q12" s="7" t="str">
        <f>Rend_j[[#This Row],[Week]]&amp;","&amp;Rend_j[[#This Row],[Year]]</f>
        <v>2,2021</v>
      </c>
      <c r="R12" s="7" t="str">
        <f>Rend_j[[#This Row],[Month]]&amp;","&amp;Rend_j[[#This Row],[Year]]</f>
        <v>1,2021</v>
      </c>
    </row>
    <row r="13" spans="1:18" x14ac:dyDescent="0.25">
      <c r="A13" s="1">
        <v>44210</v>
      </c>
      <c r="B13" s="6">
        <f>(Indices!B17-Indices!B16)/Indices!B16</f>
        <v>4.1087706755447888E-3</v>
      </c>
      <c r="C13" s="6">
        <f>(Indices!C17-Indices!C16)/Indices!C16</f>
        <v>1.447385578302249E-3</v>
      </c>
      <c r="D13" s="6">
        <f>(Indices!D17-Indices!D16)/Indices!D16</f>
        <v>2.4842027747607898E-3</v>
      </c>
      <c r="E13" s="6">
        <f>(Indices!E17-Indices!E16)/Indices!E16</f>
        <v>7.0113716322037327E-3</v>
      </c>
      <c r="F13" s="6">
        <f>(Indices!F17-Indices!F16)/Indices!F16</f>
        <v>8.7274545602549335E-3</v>
      </c>
      <c r="G13" s="6">
        <f>(Indices!G17-Indices!G16)/Indices!G16</f>
        <v>2.2078077666911598E-3</v>
      </c>
      <c r="H13" s="6">
        <f>(Indices!H17-Indices!H16)/Indices!H16</f>
        <v>1.4498829612549401E-2</v>
      </c>
      <c r="I13" s="6">
        <f>(Indices!I17-Indices!I16)/Indices!I16</f>
        <v>-1.3341571322947384E-3</v>
      </c>
      <c r="J13" s="6">
        <f>(Indices!J17-Indices!J16)/Indices!J16</f>
        <v>3.2617502440397904E-3</v>
      </c>
      <c r="K13" s="6">
        <f>(Indices!K17-Indices!K16)/Indices!K16</f>
        <v>7.1625710755177036E-3</v>
      </c>
      <c r="L13" s="6">
        <f>(Indices!L17-Indices!L16)/Indices!L16</f>
        <v>3.5144375414249418E-3</v>
      </c>
      <c r="M13" s="10">
        <f>WEEKNUM(Rend_j[[#This Row],[Date]])-1</f>
        <v>2</v>
      </c>
      <c r="N13" s="7" t="str">
        <f>TEXT(Rend_j[[#This Row],[Date]],"ddd")</f>
        <v>Thu</v>
      </c>
      <c r="O13" s="7">
        <f>MONTH(Rend_j[[#This Row],[Date]])</f>
        <v>1</v>
      </c>
      <c r="P13" s="7">
        <f>YEAR(Rend_j[[#This Row],[Date]])</f>
        <v>2021</v>
      </c>
      <c r="Q13" s="7" t="str">
        <f>Rend_j[[#This Row],[Week]]&amp;","&amp;Rend_j[[#This Row],[Year]]</f>
        <v>2,2021</v>
      </c>
      <c r="R13" s="7" t="str">
        <f>Rend_j[[#This Row],[Month]]&amp;","&amp;Rend_j[[#This Row],[Year]]</f>
        <v>1,2021</v>
      </c>
    </row>
    <row r="14" spans="1:18" x14ac:dyDescent="0.25">
      <c r="A14" s="1">
        <v>44211</v>
      </c>
      <c r="B14" s="6">
        <f>(Indices!B18-Indices!B17)/Indices!B17</f>
        <v>5.8677473429868E-4</v>
      </c>
      <c r="C14" s="6">
        <f>(Indices!C18-Indices!C17)/Indices!C17</f>
        <v>-5.012955560474478E-3</v>
      </c>
      <c r="D14" s="6">
        <f>(Indices!D18-Indices!D17)/Indices!D17</f>
        <v>-1.0070064815701213E-2</v>
      </c>
      <c r="E14" s="6">
        <f>(Indices!E18-Indices!E17)/Indices!E17</f>
        <v>-5.8017531482512747E-3</v>
      </c>
      <c r="F14" s="6">
        <f>(Indices!F18-Indices!F17)/Indices!F17</f>
        <v>-5.3375757261350286E-3</v>
      </c>
      <c r="G14" s="6">
        <f>(Indices!G18-Indices!G17)/Indices!G17</f>
        <v>-5.1231257898151777E-3</v>
      </c>
      <c r="H14" s="6">
        <f>(Indices!H18-Indices!H17)/Indices!H17</f>
        <v>-1.3269968087793075E-2</v>
      </c>
      <c r="I14" s="6">
        <f>(Indices!I18-Indices!I17)/Indices!I17</f>
        <v>-7.9297461869195316E-3</v>
      </c>
      <c r="J14" s="6">
        <f>(Indices!J18-Indices!J17)/Indices!J17</f>
        <v>-1.2224693340635452E-2</v>
      </c>
      <c r="K14" s="6">
        <f>(Indices!K18-Indices!K17)/Indices!K17</f>
        <v>-1.0072800970873768E-2</v>
      </c>
      <c r="L14" s="6">
        <f>(Indices!L18-Indices!L17)/Indices!L17</f>
        <v>-1.4366576388562455E-2</v>
      </c>
      <c r="M14" s="10">
        <f>WEEKNUM(Rend_j[[#This Row],[Date]])-1</f>
        <v>2</v>
      </c>
      <c r="N14" s="7" t="str">
        <f>TEXT(Rend_j[[#This Row],[Date]],"ddd")</f>
        <v>Fri</v>
      </c>
      <c r="O14" s="7">
        <f>MONTH(Rend_j[[#This Row],[Date]])</f>
        <v>1</v>
      </c>
      <c r="P14" s="7">
        <f>YEAR(Rend_j[[#This Row],[Date]])</f>
        <v>2021</v>
      </c>
      <c r="Q14" s="7" t="str">
        <f>Rend_j[[#This Row],[Week]]&amp;","&amp;Rend_j[[#This Row],[Year]]</f>
        <v>2,2021</v>
      </c>
      <c r="R14" s="7" t="str">
        <f>Rend_j[[#This Row],[Month]]&amp;","&amp;Rend_j[[#This Row],[Year]]</f>
        <v>1,2021</v>
      </c>
    </row>
    <row r="15" spans="1:18" x14ac:dyDescent="0.25">
      <c r="A15" s="1">
        <v>44214</v>
      </c>
      <c r="B15" s="6">
        <f>(Indices!B19-Indices!B18)/Indices!B18</f>
        <v>1.1729521827190554E-2</v>
      </c>
      <c r="C15" s="6">
        <f>(Indices!C19-Indices!C18)/Indices!C18</f>
        <v>9.5965940815186557E-4</v>
      </c>
      <c r="D15" s="6">
        <f>(Indices!D19-Indices!D18)/Indices!D18</f>
        <v>-4.5642933294002984E-3</v>
      </c>
      <c r="E15" s="6">
        <f>(Indices!E19-Indices!E18)/Indices!E18</f>
        <v>2.149245610256608E-3</v>
      </c>
      <c r="F15" s="6">
        <f>(Indices!F19-Indices!F18)/Indices!F18</f>
        <v>-3.1003529186780128E-3</v>
      </c>
      <c r="G15" s="6">
        <f>(Indices!G19-Indices!G18)/Indices!G18</f>
        <v>1.1243091077620261E-3</v>
      </c>
      <c r="H15" s="6">
        <f>(Indices!H19-Indices!H18)/Indices!H18</f>
        <v>-1.0121221992136077E-3</v>
      </c>
      <c r="I15" s="6">
        <f>(Indices!I19-Indices!I18)/Indices!I18</f>
        <v>0</v>
      </c>
      <c r="J15" s="6">
        <f>(Indices!J19-Indices!J18)/Indices!J18</f>
        <v>9.9436694804380622E-4</v>
      </c>
      <c r="K15" s="6">
        <f>(Indices!K19-Indices!K18)/Indices!K18</f>
        <v>2.0350300056144093E-3</v>
      </c>
      <c r="L15" s="6">
        <f>(Indices!L19-Indices!L18)/Indices!L18</f>
        <v>4.3966003057498756E-3</v>
      </c>
      <c r="M15" s="10">
        <f>WEEKNUM(Rend_j[[#This Row],[Date]])-1</f>
        <v>3</v>
      </c>
      <c r="N15" s="7" t="str">
        <f>TEXT(Rend_j[[#This Row],[Date]],"ddd")</f>
        <v>Mon</v>
      </c>
      <c r="O15" s="7">
        <f>MONTH(Rend_j[[#This Row],[Date]])</f>
        <v>1</v>
      </c>
      <c r="P15" s="7">
        <f>YEAR(Rend_j[[#This Row],[Date]])</f>
        <v>2021</v>
      </c>
      <c r="Q15" s="7" t="str">
        <f>Rend_j[[#This Row],[Week]]&amp;","&amp;Rend_j[[#This Row],[Year]]</f>
        <v>3,2021</v>
      </c>
      <c r="R15" s="7" t="str">
        <f>Rend_j[[#This Row],[Month]]&amp;","&amp;Rend_j[[#This Row],[Year]]</f>
        <v>1,2021</v>
      </c>
    </row>
    <row r="16" spans="1:18" x14ac:dyDescent="0.25">
      <c r="A16" s="1">
        <v>44215</v>
      </c>
      <c r="B16" s="6">
        <f>(Indices!B20-Indices!B19)/Indices!B19</f>
        <v>5.8211810350457067E-3</v>
      </c>
      <c r="C16" s="6">
        <f>(Indices!C20-Indices!C19)/Indices!C19</f>
        <v>2.640891104642142E-3</v>
      </c>
      <c r="D16" s="6">
        <f>(Indices!D20-Indices!D19)/Indices!D19</f>
        <v>8.0171524766272356E-3</v>
      </c>
      <c r="E16" s="6">
        <f>(Indices!E20-Indices!E19)/Indices!E19</f>
        <v>1.2030775982788578E-2</v>
      </c>
      <c r="F16" s="6">
        <f>(Indices!F20-Indices!F19)/Indices!F19</f>
        <v>9.4171811237823185E-4</v>
      </c>
      <c r="G16" s="6">
        <f>(Indices!G20-Indices!G19)/Indices!G19</f>
        <v>3.9306625974092841E-3</v>
      </c>
      <c r="H16" s="6">
        <f>(Indices!H20-Indices!H19)/Indices!H19</f>
        <v>-2.3407203828998547E-3</v>
      </c>
      <c r="I16" s="6">
        <f>(Indices!I20-Indices!I19)/Indices!I19</f>
        <v>8.5485727593604746E-3</v>
      </c>
      <c r="J16" s="6">
        <f>(Indices!J20-Indices!J19)/Indices!J19</f>
        <v>-3.321926297571904E-3</v>
      </c>
      <c r="K16" s="6">
        <f>(Indices!K20-Indices!K19)/Indices!K19</f>
        <v>-1.8595967823657111E-3</v>
      </c>
      <c r="L16" s="6">
        <f>(Indices!L20-Indices!L19)/Indices!L19</f>
        <v>-2.403899449213852E-3</v>
      </c>
      <c r="M16" s="10">
        <f>WEEKNUM(Rend_j[[#This Row],[Date]])-1</f>
        <v>3</v>
      </c>
      <c r="N16" s="7" t="str">
        <f>TEXT(Rend_j[[#This Row],[Date]],"ddd")</f>
        <v>Tue</v>
      </c>
      <c r="O16" s="7">
        <f>MONTH(Rend_j[[#This Row],[Date]])</f>
        <v>1</v>
      </c>
      <c r="P16" s="7">
        <f>YEAR(Rend_j[[#This Row],[Date]])</f>
        <v>2021</v>
      </c>
      <c r="Q16" s="7" t="str">
        <f>Rend_j[[#This Row],[Week]]&amp;","&amp;Rend_j[[#This Row],[Year]]</f>
        <v>3,2021</v>
      </c>
      <c r="R16" s="7" t="str">
        <f>Rend_j[[#This Row],[Month]]&amp;","&amp;Rend_j[[#This Row],[Year]]</f>
        <v>1,2021</v>
      </c>
    </row>
    <row r="17" spans="1:18" x14ac:dyDescent="0.25">
      <c r="A17" s="1">
        <v>44216</v>
      </c>
      <c r="B17" s="6">
        <f>(Indices!B21-Indices!B20)/Indices!B20</f>
        <v>2.4737034432786912E-2</v>
      </c>
      <c r="C17" s="6">
        <f>(Indices!C21-Indices!C20)/Indices!C20</f>
        <v>1.2491633126733117E-2</v>
      </c>
      <c r="D17" s="6">
        <f>(Indices!D21-Indices!D20)/Indices!D20</f>
        <v>7.8058920434577149E-3</v>
      </c>
      <c r="E17" s="6">
        <f>(Indices!E21-Indices!E20)/Indices!E20</f>
        <v>1.6119333588166813E-2</v>
      </c>
      <c r="F17" s="6">
        <f>(Indices!F21-Indices!F20)/Indices!F20</f>
        <v>5.9237577531537551E-4</v>
      </c>
      <c r="G17" s="6">
        <f>(Indices!G21-Indices!G20)/Indices!G20</f>
        <v>1.2992557992579246E-2</v>
      </c>
      <c r="H17" s="6">
        <f>(Indices!H21-Indices!H20)/Indices!H20</f>
        <v>6.6067468191899435E-3</v>
      </c>
      <c r="I17" s="6">
        <f>(Indices!I21-Indices!I20)/Indices!I20</f>
        <v>1.3040623230398556E-2</v>
      </c>
      <c r="J17" s="6">
        <f>(Indices!J21-Indices!J20)/Indices!J20</f>
        <v>5.328122289274072E-3</v>
      </c>
      <c r="K17" s="6">
        <f>(Indices!K21-Indices!K20)/Indices!K20</f>
        <v>7.1582244237671224E-3</v>
      </c>
      <c r="L17" s="6">
        <f>(Indices!L21-Indices!L20)/Indices!L20</f>
        <v>7.6952654066623147E-3</v>
      </c>
      <c r="M17" s="10">
        <f>WEEKNUM(Rend_j[[#This Row],[Date]])-1</f>
        <v>3</v>
      </c>
      <c r="N17" s="7" t="str">
        <f>TEXT(Rend_j[[#This Row],[Date]],"ddd")</f>
        <v>Wed</v>
      </c>
      <c r="O17" s="7">
        <f>MONTH(Rend_j[[#This Row],[Date]])</f>
        <v>1</v>
      </c>
      <c r="P17" s="7">
        <f>YEAR(Rend_j[[#This Row],[Date]])</f>
        <v>2021</v>
      </c>
      <c r="Q17" s="7" t="str">
        <f>Rend_j[[#This Row],[Week]]&amp;","&amp;Rend_j[[#This Row],[Year]]</f>
        <v>3,2021</v>
      </c>
      <c r="R17" s="7" t="str">
        <f>Rend_j[[#This Row],[Month]]&amp;","&amp;Rend_j[[#This Row],[Year]]</f>
        <v>1,2021</v>
      </c>
    </row>
    <row r="18" spans="1:18" x14ac:dyDescent="0.25">
      <c r="A18" s="1">
        <v>44217</v>
      </c>
      <c r="B18" s="6">
        <f>(Indices!B22-Indices!B21)/Indices!B21</f>
        <v>9.3437029545273824E-4</v>
      </c>
      <c r="C18" s="6">
        <f>(Indices!C22-Indices!C21)/Indices!C21</f>
        <v>-2.2708930748493068E-3</v>
      </c>
      <c r="D18" s="6">
        <f>(Indices!D22-Indices!D21)/Indices!D21</f>
        <v>2.8604729621463701E-3</v>
      </c>
      <c r="E18" s="6">
        <f>(Indices!E22-Indices!E21)/Indices!E21</f>
        <v>-1.2099559576032932E-4</v>
      </c>
      <c r="F18" s="6">
        <f>(Indices!F22-Indices!F21)/Indices!F21</f>
        <v>2.4493586395031462E-3</v>
      </c>
      <c r="G18" s="6">
        <f>(Indices!G22-Indices!G21)/Indices!G21</f>
        <v>-1.9725694824955084E-3</v>
      </c>
      <c r="H18" s="6">
        <f>(Indices!H22-Indices!H21)/Indices!H21</f>
        <v>-1.2175889419732359E-3</v>
      </c>
      <c r="I18" s="6">
        <f>(Indices!I22-Indices!I21)/Indices!I21</f>
        <v>-7.7035992306946589E-4</v>
      </c>
      <c r="J18" s="6">
        <f>(Indices!J22-Indices!J21)/Indices!J21</f>
        <v>-6.6892251484715988E-3</v>
      </c>
      <c r="K18" s="6">
        <f>(Indices!K22-Indices!K21)/Indices!K21</f>
        <v>1.2174812697646955E-4</v>
      </c>
      <c r="L18" s="6">
        <f>(Indices!L22-Indices!L21)/Indices!L21</f>
        <v>-1.0559449158585631E-3</v>
      </c>
      <c r="M18" s="10">
        <f>WEEKNUM(Rend_j[[#This Row],[Date]])-1</f>
        <v>3</v>
      </c>
      <c r="N18" s="7" t="str">
        <f>TEXT(Rend_j[[#This Row],[Date]],"ddd")</f>
        <v>Thu</v>
      </c>
      <c r="O18" s="7">
        <f>MONTH(Rend_j[[#This Row],[Date]])</f>
        <v>1</v>
      </c>
      <c r="P18" s="7">
        <f>YEAR(Rend_j[[#This Row],[Date]])</f>
        <v>2021</v>
      </c>
      <c r="Q18" s="7" t="str">
        <f>Rend_j[[#This Row],[Week]]&amp;","&amp;Rend_j[[#This Row],[Year]]</f>
        <v>3,2021</v>
      </c>
      <c r="R18" s="7" t="str">
        <f>Rend_j[[#This Row],[Month]]&amp;","&amp;Rend_j[[#This Row],[Year]]</f>
        <v>1,2021</v>
      </c>
    </row>
    <row r="19" spans="1:18" x14ac:dyDescent="0.25">
      <c r="A19" s="1">
        <v>44218</v>
      </c>
      <c r="B19" s="6">
        <f>(Indices!B23-Indices!B22)/Indices!B22</f>
        <v>-2.4837145963962715E-3</v>
      </c>
      <c r="C19" s="6">
        <f>(Indices!C23-Indices!C22)/Indices!C22</f>
        <v>-5.3825203619325647E-3</v>
      </c>
      <c r="D19" s="6">
        <f>(Indices!D23-Indices!D22)/Indices!D22</f>
        <v>-1.623725535733565E-2</v>
      </c>
      <c r="E19" s="6">
        <f>(Indices!E23-Indices!E22)/Indices!E22</f>
        <v>-1.1185746314138182E-2</v>
      </c>
      <c r="F19" s="6">
        <f>(Indices!F23-Indices!F22)/Indices!F22</f>
        <v>-5.5757561721246577E-3</v>
      </c>
      <c r="G19" s="6">
        <f>(Indices!G23-Indices!G22)/Indices!G22</f>
        <v>-6.1912444147880713E-3</v>
      </c>
      <c r="H19" s="6">
        <f>(Indices!H23-Indices!H22)/Indices!H22</f>
        <v>-8.7076662293483174E-3</v>
      </c>
      <c r="I19" s="6">
        <f>(Indices!I23-Indices!I22)/Indices!I22</f>
        <v>-1.5439289290820745E-3</v>
      </c>
      <c r="J19" s="6">
        <f>(Indices!J23-Indices!J22)/Indices!J22</f>
        <v>-5.5842224054589076E-3</v>
      </c>
      <c r="K19" s="6">
        <f>(Indices!K23-Indices!K22)/Indices!K22</f>
        <v>-5.7193066616622636E-3</v>
      </c>
      <c r="L19" s="6">
        <f>(Indices!L23-Indices!L22)/Indices!L22</f>
        <v>-2.3514033329410872E-3</v>
      </c>
      <c r="M19" s="10">
        <f>WEEKNUM(Rend_j[[#This Row],[Date]])-1</f>
        <v>3</v>
      </c>
      <c r="N19" s="7" t="str">
        <f>TEXT(Rend_j[[#This Row],[Date]],"ddd")</f>
        <v>Fri</v>
      </c>
      <c r="O19" s="7">
        <f>MONTH(Rend_j[[#This Row],[Date]])</f>
        <v>1</v>
      </c>
      <c r="P19" s="7">
        <f>YEAR(Rend_j[[#This Row],[Date]])</f>
        <v>2021</v>
      </c>
      <c r="Q19" s="7" t="str">
        <f>Rend_j[[#This Row],[Week]]&amp;","&amp;Rend_j[[#This Row],[Year]]</f>
        <v>3,2021</v>
      </c>
      <c r="R19" s="7" t="str">
        <f>Rend_j[[#This Row],[Month]]&amp;","&amp;Rend_j[[#This Row],[Year]]</f>
        <v>1,2021</v>
      </c>
    </row>
    <row r="20" spans="1:18" x14ac:dyDescent="0.25">
      <c r="A20" s="1">
        <v>44221</v>
      </c>
      <c r="B20" s="6">
        <f>(Indices!B24-Indices!B23)/Indices!B23</f>
        <v>2.6331392896656911E-2</v>
      </c>
      <c r="C20" s="6">
        <f>(Indices!C24-Indices!C23)/Indices!C23</f>
        <v>3.9408568660022208E-3</v>
      </c>
      <c r="D20" s="6">
        <f>(Indices!D24-Indices!D23)/Indices!D23</f>
        <v>4.9626769758440038E-3</v>
      </c>
      <c r="E20" s="6">
        <f>(Indices!E24-Indices!E23)/Indices!E23</f>
        <v>1.6000516217460996E-2</v>
      </c>
      <c r="F20" s="6">
        <f>(Indices!F24-Indices!F23)/Indices!F23</f>
        <v>6.3522931720126942E-3</v>
      </c>
      <c r="G20" s="6">
        <f>(Indices!G24-Indices!G23)/Indices!G23</f>
        <v>5.6093829678735049E-3</v>
      </c>
      <c r="H20" s="6">
        <f>(Indices!H24-Indices!H23)/Indices!H23</f>
        <v>-4.3452290322202256E-3</v>
      </c>
      <c r="I20" s="6">
        <f>(Indices!I24-Indices!I23)/Indices!I23</f>
        <v>2.5654471967336491E-3</v>
      </c>
      <c r="J20" s="6">
        <f>(Indices!J24-Indices!J23)/Indices!J23</f>
        <v>-1.5686458442076844E-2</v>
      </c>
      <c r="K20" s="6">
        <f>(Indices!K24-Indices!K23)/Indices!K23</f>
        <v>-8.3468055144631254E-3</v>
      </c>
      <c r="L20" s="6">
        <f>(Indices!L24-Indices!L23)/Indices!L23</f>
        <v>-1.6579215212112287E-2</v>
      </c>
      <c r="M20" s="10">
        <f>WEEKNUM(Rend_j[[#This Row],[Date]])-1</f>
        <v>4</v>
      </c>
      <c r="N20" s="7" t="str">
        <f>TEXT(Rend_j[[#This Row],[Date]],"ddd")</f>
        <v>Mon</v>
      </c>
      <c r="O20" s="7">
        <f>MONTH(Rend_j[[#This Row],[Date]])</f>
        <v>1</v>
      </c>
      <c r="P20" s="7">
        <f>YEAR(Rend_j[[#This Row],[Date]])</f>
        <v>2021</v>
      </c>
      <c r="Q20" s="7" t="str">
        <f>Rend_j[[#This Row],[Week]]&amp;","&amp;Rend_j[[#This Row],[Year]]</f>
        <v>4,2021</v>
      </c>
      <c r="R20" s="7" t="str">
        <f>Rend_j[[#This Row],[Month]]&amp;","&amp;Rend_j[[#This Row],[Year]]</f>
        <v>1,2021</v>
      </c>
    </row>
    <row r="21" spans="1:18" x14ac:dyDescent="0.25">
      <c r="A21" s="1">
        <v>44222</v>
      </c>
      <c r="B21" s="6">
        <f>(Indices!B25-Indices!B24)/Indices!B24</f>
        <v>-2.3829943884499556E-2</v>
      </c>
      <c r="C21" s="6">
        <f>(Indices!C25-Indices!C24)/Indices!C24</f>
        <v>-3.9943295171041794E-3</v>
      </c>
      <c r="D21" s="6">
        <f>(Indices!D25-Indices!D24)/Indices!D24</f>
        <v>-1.3970825524255961E-2</v>
      </c>
      <c r="E21" s="6">
        <f>(Indices!E25-Indices!E24)/Indices!E24</f>
        <v>-1.8157568537101352E-2</v>
      </c>
      <c r="F21" s="6">
        <f>(Indices!F25-Indices!F24)/Indices!F24</f>
        <v>-9.6216153668133002E-3</v>
      </c>
      <c r="G21" s="6">
        <f>(Indices!G25-Indices!G24)/Indices!G24</f>
        <v>-5.971095334685525E-3</v>
      </c>
      <c r="H21" s="6">
        <f>(Indices!H25-Indices!H24)/Indices!H24</f>
        <v>4.7288554287730974E-3</v>
      </c>
      <c r="I21" s="6">
        <f>(Indices!I25-Indices!I24)/Indices!I24</f>
        <v>-3.2799876446486199E-3</v>
      </c>
      <c r="J21" s="6">
        <f>(Indices!J25-Indices!J24)/Indices!J24</f>
        <v>9.3488290757168455E-3</v>
      </c>
      <c r="K21" s="6">
        <f>(Indices!K25-Indices!K24)/Indices!K24</f>
        <v>6.3436599814423334E-3</v>
      </c>
      <c r="L21" s="6">
        <f>(Indices!L25-Indices!L24)/Indices!L24</f>
        <v>1.6640344377686172E-2</v>
      </c>
      <c r="M21" s="10">
        <f>WEEKNUM(Rend_j[[#This Row],[Date]])-1</f>
        <v>4</v>
      </c>
      <c r="N21" s="7" t="str">
        <f>TEXT(Rend_j[[#This Row],[Date]],"ddd")</f>
        <v>Tue</v>
      </c>
      <c r="O21" s="7">
        <f>MONTH(Rend_j[[#This Row],[Date]])</f>
        <v>1</v>
      </c>
      <c r="P21" s="7">
        <f>YEAR(Rend_j[[#This Row],[Date]])</f>
        <v>2021</v>
      </c>
      <c r="Q21" s="7" t="str">
        <f>Rend_j[[#This Row],[Week]]&amp;","&amp;Rend_j[[#This Row],[Year]]</f>
        <v>4,2021</v>
      </c>
      <c r="R21" s="7" t="str">
        <f>Rend_j[[#This Row],[Month]]&amp;","&amp;Rend_j[[#This Row],[Year]]</f>
        <v>1,2021</v>
      </c>
    </row>
    <row r="22" spans="1:18" x14ac:dyDescent="0.25">
      <c r="A22" s="1">
        <v>44223</v>
      </c>
      <c r="B22" s="6">
        <f>(Indices!B26-Indices!B25)/Indices!B25</f>
        <v>-4.6273604927947699E-3</v>
      </c>
      <c r="C22" s="6">
        <f>(Indices!C26-Indices!C25)/Indices!C25</f>
        <v>-1.5565515331902752E-2</v>
      </c>
      <c r="D22" s="6">
        <f>(Indices!D26-Indices!D25)/Indices!D25</f>
        <v>-2.7661813997594512E-3</v>
      </c>
      <c r="E22" s="6">
        <f>(Indices!E26-Indices!E25)/Indices!E25</f>
        <v>-6.3235658219631371E-3</v>
      </c>
      <c r="F22" s="6">
        <f>(Indices!F26-Indices!F25)/Indices!F25</f>
        <v>8.4824479924288793E-3</v>
      </c>
      <c r="G22" s="6">
        <f>(Indices!G26-Indices!G25)/Indices!G25</f>
        <v>-1.4292576957577127E-2</v>
      </c>
      <c r="H22" s="6">
        <f>(Indices!H26-Indices!H25)/Indices!H25</f>
        <v>-8.8043834589988466E-3</v>
      </c>
      <c r="I22" s="6">
        <f>(Indices!I26-Indices!I25)/Indices!I25</f>
        <v>-2.5791364374100057E-2</v>
      </c>
      <c r="J22" s="6">
        <f>(Indices!J26-Indices!J25)/Indices!J25</f>
        <v>-1.1568692205084021E-2</v>
      </c>
      <c r="K22" s="6">
        <f>(Indices!K26-Indices!K25)/Indices!K25</f>
        <v>-1.157714216599048E-2</v>
      </c>
      <c r="L22" s="6">
        <f>(Indices!L26-Indices!L25)/Indices!L25</f>
        <v>-1.806145529957592E-2</v>
      </c>
      <c r="M22" s="10">
        <f>WEEKNUM(Rend_j[[#This Row],[Date]])-1</f>
        <v>4</v>
      </c>
      <c r="N22" s="7" t="str">
        <f>TEXT(Rend_j[[#This Row],[Date]],"ddd")</f>
        <v>Wed</v>
      </c>
      <c r="O22" s="7">
        <f>MONTH(Rend_j[[#This Row],[Date]])</f>
        <v>1</v>
      </c>
      <c r="P22" s="7">
        <f>YEAR(Rend_j[[#This Row],[Date]])</f>
        <v>2021</v>
      </c>
      <c r="Q22" s="7" t="str">
        <f>Rend_j[[#This Row],[Week]]&amp;","&amp;Rend_j[[#This Row],[Year]]</f>
        <v>4,2021</v>
      </c>
      <c r="R22" s="7" t="str">
        <f>Rend_j[[#This Row],[Month]]&amp;","&amp;Rend_j[[#This Row],[Year]]</f>
        <v>1,2021</v>
      </c>
    </row>
    <row r="23" spans="1:18" x14ac:dyDescent="0.25">
      <c r="A23" s="1">
        <v>44224</v>
      </c>
      <c r="B23" s="6">
        <f>(Indices!B27-Indices!B26)/Indices!B26</f>
        <v>-2.4533624129887091E-2</v>
      </c>
      <c r="C23" s="6">
        <f>(Indices!C27-Indices!C26)/Indices!C26</f>
        <v>3.3926013166105246E-3</v>
      </c>
      <c r="D23" s="6">
        <f>(Indices!D27-Indices!D26)/Indices!D26</f>
        <v>-1.5195245235179752E-2</v>
      </c>
      <c r="E23" s="6">
        <f>(Indices!E27-Indices!E26)/Indices!E26</f>
        <v>-1.7744585712746411E-2</v>
      </c>
      <c r="F23" s="6">
        <f>(Indices!F27-Indices!F26)/Indices!F26</f>
        <v>-1.7830144413742786E-2</v>
      </c>
      <c r="G23" s="6">
        <f>(Indices!G27-Indices!G26)/Indices!G26</f>
        <v>4.5716257304894889E-4</v>
      </c>
      <c r="H23" s="6">
        <f>(Indices!H27-Indices!H26)/Indices!H26</f>
        <v>-8.5872903378217541E-3</v>
      </c>
      <c r="I23" s="6">
        <f>(Indices!I27-Indices!I26)/Indices!I26</f>
        <v>1.0013708395577537E-2</v>
      </c>
      <c r="J23" s="6">
        <f>(Indices!J27-Indices!J26)/Indices!J26</f>
        <v>9.3229752087528872E-3</v>
      </c>
      <c r="K23" s="6">
        <f>(Indices!K27-Indices!K26)/Indices!K26</f>
        <v>1.0174301176442593E-3</v>
      </c>
      <c r="L23" s="6">
        <f>(Indices!L27-Indices!L26)/Indices!L26</f>
        <v>3.3383402714397548E-3</v>
      </c>
      <c r="M23" s="10">
        <f>WEEKNUM(Rend_j[[#This Row],[Date]])-1</f>
        <v>4</v>
      </c>
      <c r="N23" s="7" t="str">
        <f>TEXT(Rend_j[[#This Row],[Date]],"ddd")</f>
        <v>Thu</v>
      </c>
      <c r="O23" s="7">
        <f>MONTH(Rend_j[[#This Row],[Date]])</f>
        <v>1</v>
      </c>
      <c r="P23" s="7">
        <f>YEAR(Rend_j[[#This Row],[Date]])</f>
        <v>2021</v>
      </c>
      <c r="Q23" s="7" t="str">
        <f>Rend_j[[#This Row],[Week]]&amp;","&amp;Rend_j[[#This Row],[Year]]</f>
        <v>4,2021</v>
      </c>
      <c r="R23" s="7" t="str">
        <f>Rend_j[[#This Row],[Month]]&amp;","&amp;Rend_j[[#This Row],[Year]]</f>
        <v>1,2021</v>
      </c>
    </row>
    <row r="24" spans="1:18" x14ac:dyDescent="0.25">
      <c r="A24" s="1">
        <v>44225</v>
      </c>
      <c r="B24" s="6">
        <f>(Indices!B28-Indices!B27)/Indices!B27</f>
        <v>-1.0086955480948203E-2</v>
      </c>
      <c r="C24" s="6">
        <f>(Indices!C28-Indices!C27)/Indices!C27</f>
        <v>-2.0186049770941464E-2</v>
      </c>
      <c r="D24" s="6">
        <f>(Indices!D28-Indices!D27)/Indices!D27</f>
        <v>-2.1268537760432745E-2</v>
      </c>
      <c r="E24" s="6">
        <f>(Indices!E28-Indices!E27)/Indices!E27</f>
        <v>-1.771321097940284E-2</v>
      </c>
      <c r="F24" s="6">
        <f>(Indices!F28-Indices!F27)/Indices!F27</f>
        <v>-2.1910811496245821E-2</v>
      </c>
      <c r="G24" s="6">
        <f>(Indices!G28-Indices!G27)/Indices!G27</f>
        <v>-1.9851619383457371E-2</v>
      </c>
      <c r="H24" s="6">
        <f>(Indices!H28-Indices!H27)/Indices!H27</f>
        <v>-2.0063622174830063E-2</v>
      </c>
      <c r="I24" s="6">
        <f>(Indices!I28-Indices!I27)/Indices!I27</f>
        <v>-1.8614174021116217E-2</v>
      </c>
      <c r="J24" s="6">
        <f>(Indices!J28-Indices!J27)/Indices!J27</f>
        <v>-2.0199556229903756E-2</v>
      </c>
      <c r="K24" s="6">
        <f>(Indices!K28-Indices!K27)/Indices!K27</f>
        <v>-1.8691610400916835E-2</v>
      </c>
      <c r="L24" s="6">
        <f>(Indices!L28-Indices!L27)/Indices!L27</f>
        <v>-1.7054058910499287E-2</v>
      </c>
      <c r="M24" s="10">
        <f>WEEKNUM(Rend_j[[#This Row],[Date]])-1</f>
        <v>4</v>
      </c>
      <c r="N24" s="7" t="str">
        <f>TEXT(Rend_j[[#This Row],[Date]],"ddd")</f>
        <v>Fri</v>
      </c>
      <c r="O24" s="7">
        <f>MONTH(Rend_j[[#This Row],[Date]])</f>
        <v>1</v>
      </c>
      <c r="P24" s="7">
        <f>YEAR(Rend_j[[#This Row],[Date]])</f>
        <v>2021</v>
      </c>
      <c r="Q24" s="7" t="str">
        <f>Rend_j[[#This Row],[Week]]&amp;","&amp;Rend_j[[#This Row],[Year]]</f>
        <v>4,2021</v>
      </c>
      <c r="R24" s="7" t="str">
        <f>Rend_j[[#This Row],[Month]]&amp;","&amp;Rend_j[[#This Row],[Year]]</f>
        <v>1,2021</v>
      </c>
    </row>
    <row r="25" spans="1:18" x14ac:dyDescent="0.25">
      <c r="A25" s="1">
        <v>44228</v>
      </c>
      <c r="B25" s="6">
        <f>(Indices!B29-Indices!B28)/Indices!B28</f>
        <v>2.9403941080275584E-2</v>
      </c>
      <c r="C25" s="6">
        <f>(Indices!C29-Indices!C28)/Indices!C28</f>
        <v>1.9171542618576089E-2</v>
      </c>
      <c r="D25" s="6">
        <f>(Indices!D29-Indices!D28)/Indices!D28</f>
        <v>2.5105902477077384E-2</v>
      </c>
      <c r="E25" s="6">
        <f>(Indices!E29-Indices!E28)/Indices!E28</f>
        <v>2.9344022780993503E-2</v>
      </c>
      <c r="F25" s="6">
        <f>(Indices!F29-Indices!F28)/Indices!F28</f>
        <v>1.4996743770954404E-2</v>
      </c>
      <c r="G25" s="6">
        <f>(Indices!G29-Indices!G28)/Indices!G28</f>
        <v>2.05659597301267E-2</v>
      </c>
      <c r="H25" s="6">
        <f>(Indices!H29-Indices!H28)/Indices!H28</f>
        <v>8.9241206580020285E-3</v>
      </c>
      <c r="I25" s="6">
        <f>(Indices!I29-Indices!I28)/Indices!I28</f>
        <v>1.7237068663686534E-2</v>
      </c>
      <c r="J25" s="6">
        <f>(Indices!J29-Indices!J28)/Indices!J28</f>
        <v>1.1570251101779718E-2</v>
      </c>
      <c r="K25" s="6">
        <f>(Indices!K29-Indices!K28)/Indices!K28</f>
        <v>1.2428907226036526E-2</v>
      </c>
      <c r="L25" s="6">
        <f>(Indices!L29-Indices!L28)/Indices!L28</f>
        <v>1.4081086790110347E-2</v>
      </c>
      <c r="M25" s="10">
        <f>WEEKNUM(Rend_j[[#This Row],[Date]])-1</f>
        <v>5</v>
      </c>
      <c r="N25" s="7" t="str">
        <f>TEXT(Rend_j[[#This Row],[Date]],"ddd")</f>
        <v>Mon</v>
      </c>
      <c r="O25" s="7">
        <f>MONTH(Rend_j[[#This Row],[Date]])</f>
        <v>2</v>
      </c>
      <c r="P25" s="7">
        <f>YEAR(Rend_j[[#This Row],[Date]])</f>
        <v>2021</v>
      </c>
      <c r="Q25" s="7" t="str">
        <f>Rend_j[[#This Row],[Week]]&amp;","&amp;Rend_j[[#This Row],[Year]]</f>
        <v>5,2021</v>
      </c>
      <c r="R25" s="7" t="str">
        <f>Rend_j[[#This Row],[Month]]&amp;","&amp;Rend_j[[#This Row],[Year]]</f>
        <v>2,2021</v>
      </c>
    </row>
    <row r="26" spans="1:18" x14ac:dyDescent="0.25">
      <c r="A26" s="1">
        <v>44229</v>
      </c>
      <c r="B26" s="6">
        <f>(Indices!B30-Indices!B29)/Indices!B29</f>
        <v>1.7305803397733948E-2</v>
      </c>
      <c r="C26" s="6">
        <f>(Indices!C30-Indices!C29)/Indices!C29</f>
        <v>1.7174986623159024E-2</v>
      </c>
      <c r="D26" s="6">
        <f>(Indices!D30-Indices!D29)/Indices!D29</f>
        <v>2.1983592136925294E-2</v>
      </c>
      <c r="E26" s="6">
        <f>(Indices!E30-Indices!E29)/Indices!E29</f>
        <v>1.9322175637649958E-2</v>
      </c>
      <c r="F26" s="6">
        <f>(Indices!F30-Indices!F29)/Indices!F29</f>
        <v>1.12997035461582E-2</v>
      </c>
      <c r="G26" s="6">
        <f>(Indices!G30-Indices!G29)/Indices!G29</f>
        <v>1.7470975082097214E-2</v>
      </c>
      <c r="H26" s="6">
        <f>(Indices!H30-Indices!H29)/Indices!H29</f>
        <v>9.2187556487473409E-3</v>
      </c>
      <c r="I26" s="6">
        <f>(Indices!I30-Indices!I29)/Indices!I29</f>
        <v>1.4535027231065291E-2</v>
      </c>
      <c r="J26" s="6">
        <f>(Indices!J30-Indices!J29)/Indices!J29</f>
        <v>1.8571150951992292E-2</v>
      </c>
      <c r="K26" s="6">
        <f>(Indices!K30-Indices!K29)/Indices!K29</f>
        <v>1.2850323480683514E-2</v>
      </c>
      <c r="L26" s="6">
        <f>(Indices!L30-Indices!L29)/Indices!L29</f>
        <v>1.5646771723575696E-2</v>
      </c>
      <c r="M26" s="10">
        <f>WEEKNUM(Rend_j[[#This Row],[Date]])-1</f>
        <v>5</v>
      </c>
      <c r="N26" s="7" t="str">
        <f>TEXT(Rend_j[[#This Row],[Date]],"ddd")</f>
        <v>Tue</v>
      </c>
      <c r="O26" s="7">
        <f>MONTH(Rend_j[[#This Row],[Date]])</f>
        <v>2</v>
      </c>
      <c r="P26" s="7">
        <f>YEAR(Rend_j[[#This Row],[Date]])</f>
        <v>2021</v>
      </c>
      <c r="Q26" s="7" t="str">
        <f>Rend_j[[#This Row],[Week]]&amp;","&amp;Rend_j[[#This Row],[Year]]</f>
        <v>5,2021</v>
      </c>
      <c r="R26" s="7" t="str">
        <f>Rend_j[[#This Row],[Month]]&amp;","&amp;Rend_j[[#This Row],[Year]]</f>
        <v>2,2021</v>
      </c>
    </row>
    <row r="27" spans="1:18" x14ac:dyDescent="0.25">
      <c r="A27" s="1">
        <v>44230</v>
      </c>
      <c r="B27" s="6">
        <f>(Indices!B31-Indices!B30)/Indices!B30</f>
        <v>1.0306427590029019E-2</v>
      </c>
      <c r="C27" s="6">
        <f>(Indices!C31-Indices!C30)/Indices!C30</f>
        <v>3.527047886789576E-3</v>
      </c>
      <c r="D27" s="6">
        <f>(Indices!D31-Indices!D30)/Indices!D30</f>
        <v>6.191688588514912E-3</v>
      </c>
      <c r="E27" s="6">
        <f>(Indices!E31-Indices!E30)/Indices!E30</f>
        <v>9.6342745136298261E-3</v>
      </c>
      <c r="F27" s="6">
        <f>(Indices!F31-Indices!F30)/Indices!F30</f>
        <v>1.4933176677926284E-2</v>
      </c>
      <c r="G27" s="6">
        <f>(Indices!G31-Indices!G30)/Indices!G30</f>
        <v>4.3668677148278913E-3</v>
      </c>
      <c r="H27" s="6">
        <f>(Indices!H31-Indices!H30)/Indices!H30</f>
        <v>9.9106844342549565E-4</v>
      </c>
      <c r="I27" s="6">
        <f>(Indices!I31-Indices!I30)/Indices!I30</f>
        <v>1.046999335882785E-3</v>
      </c>
      <c r="J27" s="6">
        <f>(Indices!J31-Indices!J30)/Indices!J30</f>
        <v>-1.0795760191519765E-5</v>
      </c>
      <c r="K27" s="6">
        <f>(Indices!K31-Indices!K30)/Indices!K30</f>
        <v>3.3257192470577362E-3</v>
      </c>
      <c r="L27" s="6">
        <f>(Indices!L31-Indices!L30)/Indices!L30</f>
        <v>7.1173530961134148E-3</v>
      </c>
      <c r="M27" s="10">
        <f>WEEKNUM(Rend_j[[#This Row],[Date]])-1</f>
        <v>5</v>
      </c>
      <c r="N27" s="7" t="str">
        <f>TEXT(Rend_j[[#This Row],[Date]],"ddd")</f>
        <v>Wed</v>
      </c>
      <c r="O27" s="7">
        <f>MONTH(Rend_j[[#This Row],[Date]])</f>
        <v>2</v>
      </c>
      <c r="P27" s="7">
        <f>YEAR(Rend_j[[#This Row],[Date]])</f>
        <v>2021</v>
      </c>
      <c r="Q27" s="7" t="str">
        <f>Rend_j[[#This Row],[Week]]&amp;","&amp;Rend_j[[#This Row],[Year]]</f>
        <v>5,2021</v>
      </c>
      <c r="R27" s="7" t="str">
        <f>Rend_j[[#This Row],[Month]]&amp;","&amp;Rend_j[[#This Row],[Year]]</f>
        <v>2,2021</v>
      </c>
    </row>
    <row r="28" spans="1:18" x14ac:dyDescent="0.25">
      <c r="A28" s="1">
        <v>44231</v>
      </c>
      <c r="B28" s="6">
        <f>(Indices!B32-Indices!B31)/Indices!B31</f>
        <v>-3.4512846035567762E-4</v>
      </c>
      <c r="C28" s="6">
        <f>(Indices!C32-Indices!C31)/Indices!C31</f>
        <v>1.0062730944401412E-2</v>
      </c>
      <c r="D28" s="6">
        <f>(Indices!D32-Indices!D31)/Indices!D31</f>
        <v>-1.4334424909852473E-3</v>
      </c>
      <c r="E28" s="6">
        <f>(Indices!E32-Indices!E31)/Indices!E31</f>
        <v>-7.7963890639725167E-4</v>
      </c>
      <c r="F28" s="6">
        <f>(Indices!F32-Indices!F31)/Indices!F31</f>
        <v>-4.3468949510034023E-3</v>
      </c>
      <c r="G28" s="6">
        <f>(Indices!G32-Indices!G31)/Indices!G31</f>
        <v>8.5608134037878474E-3</v>
      </c>
      <c r="H28" s="6">
        <f>(Indices!H32-Indices!H31)/Indices!H31</f>
        <v>2.9225465519913912E-3</v>
      </c>
      <c r="I28" s="6">
        <f>(Indices!I32-Indices!I31)/Indices!I31</f>
        <v>1.1966136607973264E-2</v>
      </c>
      <c r="J28" s="6">
        <f>(Indices!J32-Indices!J31)/Indices!J31</f>
        <v>8.1772113489105794E-3</v>
      </c>
      <c r="K28" s="6">
        <f>(Indices!K32-Indices!K31)/Indices!K31</f>
        <v>5.5737472961701288E-3</v>
      </c>
      <c r="L28" s="6">
        <f>(Indices!L32-Indices!L31)/Indices!L31</f>
        <v>9.0902486351962328E-3</v>
      </c>
      <c r="M28" s="10">
        <f>WEEKNUM(Rend_j[[#This Row],[Date]])-1</f>
        <v>5</v>
      </c>
      <c r="N28" s="7" t="str">
        <f>TEXT(Rend_j[[#This Row],[Date]],"ddd")</f>
        <v>Thu</v>
      </c>
      <c r="O28" s="7">
        <f>MONTH(Rend_j[[#This Row],[Date]])</f>
        <v>2</v>
      </c>
      <c r="P28" s="7">
        <f>YEAR(Rend_j[[#This Row],[Date]])</f>
        <v>2021</v>
      </c>
      <c r="Q28" s="7" t="str">
        <f>Rend_j[[#This Row],[Week]]&amp;","&amp;Rend_j[[#This Row],[Year]]</f>
        <v>5,2021</v>
      </c>
      <c r="R28" s="7" t="str">
        <f>Rend_j[[#This Row],[Month]]&amp;","&amp;Rend_j[[#This Row],[Year]]</f>
        <v>2,2021</v>
      </c>
    </row>
    <row r="29" spans="1:18" x14ac:dyDescent="0.25">
      <c r="A29" s="1">
        <v>44232</v>
      </c>
      <c r="B29" s="6">
        <f>(Indices!B33-Indices!B32)/Indices!B32</f>
        <v>-3.8091558067047701E-3</v>
      </c>
      <c r="C29" s="6">
        <f>(Indices!C33-Indices!C32)/Indices!C32</f>
        <v>1.7951182991466682E-3</v>
      </c>
      <c r="D29" s="6">
        <f>(Indices!D33-Indices!D32)/Indices!D32</f>
        <v>3.8893968399097358E-3</v>
      </c>
      <c r="E29" s="6">
        <f>(Indices!E33-Indices!E32)/Indices!E32</f>
        <v>1.6440138554323829E-3</v>
      </c>
      <c r="F29" s="6">
        <f>(Indices!F33-Indices!F32)/Indices!F32</f>
        <v>9.8653613617338091E-3</v>
      </c>
      <c r="G29" s="6">
        <f>(Indices!G33-Indices!G32)/Indices!G32</f>
        <v>1.7728939566894473E-3</v>
      </c>
      <c r="H29" s="6">
        <f>(Indices!H33-Indices!H32)/Indices!H32</f>
        <v>-1.5700080879203434E-3</v>
      </c>
      <c r="I29" s="6">
        <f>(Indices!I33-Indices!I32)/Indices!I32</f>
        <v>5.497443175881531E-3</v>
      </c>
      <c r="J29" s="6">
        <f>(Indices!J33-Indices!J32)/Indices!J32</f>
        <v>9.0433030070768642E-3</v>
      </c>
      <c r="K29" s="6">
        <f>(Indices!K33-Indices!K32)/Indices!K32</f>
        <v>0</v>
      </c>
      <c r="L29" s="6">
        <f>(Indices!L33-Indices!L32)/Indices!L32</f>
        <v>-2.5392861668159115E-4</v>
      </c>
      <c r="M29" s="10">
        <f>WEEKNUM(Rend_j[[#This Row],[Date]])-1</f>
        <v>5</v>
      </c>
      <c r="N29" s="7" t="str">
        <f>TEXT(Rend_j[[#This Row],[Date]],"ddd")</f>
        <v>Fri</v>
      </c>
      <c r="O29" s="7">
        <f>MONTH(Rend_j[[#This Row],[Date]])</f>
        <v>2</v>
      </c>
      <c r="P29" s="7">
        <f>YEAR(Rend_j[[#This Row],[Date]])</f>
        <v>2021</v>
      </c>
      <c r="Q29" s="7" t="str">
        <f>Rend_j[[#This Row],[Week]]&amp;","&amp;Rend_j[[#This Row],[Year]]</f>
        <v>5,2021</v>
      </c>
      <c r="R29" s="7" t="str">
        <f>Rend_j[[#This Row],[Month]]&amp;","&amp;Rend_j[[#This Row],[Year]]</f>
        <v>2,2021</v>
      </c>
    </row>
    <row r="30" spans="1:18" x14ac:dyDescent="0.25">
      <c r="A30" s="1">
        <v>44235</v>
      </c>
      <c r="B30" s="6">
        <f>(Indices!B34-Indices!B33)/Indices!B33</f>
        <v>7.5937927651114293E-3</v>
      </c>
      <c r="C30" s="6">
        <f>(Indices!C34-Indices!C33)/Indices!C33</f>
        <v>6.2504246212378919E-3</v>
      </c>
      <c r="D30" s="6">
        <f>(Indices!D34-Indices!D33)/Indices!D33</f>
        <v>8.1217056395027783E-4</v>
      </c>
      <c r="E30" s="6">
        <f>(Indices!E34-Indices!E33)/Indices!E33</f>
        <v>1.3670315009698473E-3</v>
      </c>
      <c r="F30" s="6">
        <f>(Indices!F34-Indices!F33)/Indices!F33</f>
        <v>1.8162141002688349E-2</v>
      </c>
      <c r="G30" s="6">
        <f>(Indices!G34-Indices!G33)/Indices!G33</f>
        <v>5.5805760890889414E-3</v>
      </c>
      <c r="H30" s="6">
        <f>(Indices!H34-Indices!H33)/Indices!H33</f>
        <v>4.8842085199656505E-3</v>
      </c>
      <c r="I30" s="6">
        <f>(Indices!I34-Indices!I33)/Indices!I33</f>
        <v>9.1224596331288196E-3</v>
      </c>
      <c r="J30" s="6">
        <f>(Indices!J34-Indices!J33)/Indices!J33</f>
        <v>4.7303039808898554E-3</v>
      </c>
      <c r="K30" s="6">
        <f>(Indices!K34-Indices!K33)/Indices!K33</f>
        <v>3.0277627893493001E-3</v>
      </c>
      <c r="L30" s="6">
        <f>(Indices!L34-Indices!L33)/Indices!L33</f>
        <v>2.269683156013769E-4</v>
      </c>
      <c r="M30" s="10">
        <f>WEEKNUM(Rend_j[[#This Row],[Date]])-1</f>
        <v>6</v>
      </c>
      <c r="N30" s="7" t="str">
        <f>TEXT(Rend_j[[#This Row],[Date]],"ddd")</f>
        <v>Mon</v>
      </c>
      <c r="O30" s="7">
        <f>MONTH(Rend_j[[#This Row],[Date]])</f>
        <v>2</v>
      </c>
      <c r="P30" s="7">
        <f>YEAR(Rend_j[[#This Row],[Date]])</f>
        <v>2021</v>
      </c>
      <c r="Q30" s="7" t="str">
        <f>Rend_j[[#This Row],[Week]]&amp;","&amp;Rend_j[[#This Row],[Year]]</f>
        <v>6,2021</v>
      </c>
      <c r="R30" s="7" t="str">
        <f>Rend_j[[#This Row],[Month]]&amp;","&amp;Rend_j[[#This Row],[Year]]</f>
        <v>2,2021</v>
      </c>
    </row>
    <row r="31" spans="1:18" x14ac:dyDescent="0.25">
      <c r="A31" s="1">
        <v>44236</v>
      </c>
      <c r="B31" s="6">
        <f>(Indices!B35-Indices!B34)/Indices!B34</f>
        <v>1.3411144794863571E-2</v>
      </c>
      <c r="C31" s="6">
        <f>(Indices!C35-Indices!C34)/Indices!C34</f>
        <v>-3.1859766389845195E-3</v>
      </c>
      <c r="D31" s="6">
        <f>(Indices!D35-Indices!D34)/Indices!D34</f>
        <v>-3.3491352933857892E-3</v>
      </c>
      <c r="E31" s="6">
        <f>(Indices!E35-Indices!E34)/Indices!E34</f>
        <v>2.4980552420812443E-3</v>
      </c>
      <c r="F31" s="6">
        <f>(Indices!F35-Indices!F34)/Indices!F34</f>
        <v>2.8835063437139047E-3</v>
      </c>
      <c r="G31" s="6">
        <f>(Indices!G35-Indices!G34)/Indices!G34</f>
        <v>-2.4074581392839575E-3</v>
      </c>
      <c r="H31" s="6">
        <f>(Indices!H35-Indices!H34)/Indices!H34</f>
        <v>1.1973350404248654E-3</v>
      </c>
      <c r="I31" s="6">
        <f>(Indices!I35-Indices!I34)/Indices!I34</f>
        <v>-2.5547225284438228E-4</v>
      </c>
      <c r="J31" s="6">
        <f>(Indices!J35-Indices!J34)/Indices!J34</f>
        <v>9.6908637632131468E-4</v>
      </c>
      <c r="K31" s="6">
        <f>(Indices!K35-Indices!K34)/Indices!K34</f>
        <v>-8.763474387174147E-4</v>
      </c>
      <c r="L31" s="6">
        <f>(Indices!L35-Indices!L34)/Indices!L34</f>
        <v>-3.4218106269890288E-3</v>
      </c>
      <c r="M31" s="10">
        <f>WEEKNUM(Rend_j[[#This Row],[Date]])-1</f>
        <v>6</v>
      </c>
      <c r="N31" s="7" t="str">
        <f>TEXT(Rend_j[[#This Row],[Date]],"ddd")</f>
        <v>Tue</v>
      </c>
      <c r="O31" s="7">
        <f>MONTH(Rend_j[[#This Row],[Date]])</f>
        <v>2</v>
      </c>
      <c r="P31" s="7">
        <f>YEAR(Rend_j[[#This Row],[Date]])</f>
        <v>2021</v>
      </c>
      <c r="Q31" s="7" t="str">
        <f>Rend_j[[#This Row],[Week]]&amp;","&amp;Rend_j[[#This Row],[Year]]</f>
        <v>6,2021</v>
      </c>
      <c r="R31" s="7" t="str">
        <f>Rend_j[[#This Row],[Month]]&amp;","&amp;Rend_j[[#This Row],[Year]]</f>
        <v>2,2021</v>
      </c>
    </row>
    <row r="32" spans="1:18" x14ac:dyDescent="0.25">
      <c r="A32" s="1">
        <v>44237</v>
      </c>
      <c r="B32" s="6">
        <f>(Indices!B36-Indices!B35)/Indices!B35</f>
        <v>1.6126186368770386E-2</v>
      </c>
      <c r="C32" s="6">
        <f>(Indices!C36-Indices!C35)/Indices!C35</f>
        <v>-1.9600289559353057E-3</v>
      </c>
      <c r="D32" s="6">
        <f>(Indices!D36-Indices!D35)/Indices!D35</f>
        <v>1.6733161110177499E-3</v>
      </c>
      <c r="E32" s="6">
        <f>(Indices!E36-Indices!E35)/Indices!E35</f>
        <v>7.0536290014097981E-3</v>
      </c>
      <c r="F32" s="6">
        <f>(Indices!F36-Indices!F35)/Indices!F35</f>
        <v>2.3678246456720447E-4</v>
      </c>
      <c r="G32" s="6">
        <f>(Indices!G36-Indices!G35)/Indices!G35</f>
        <v>-7.1981958741439904E-4</v>
      </c>
      <c r="H32" s="6">
        <f>(Indices!H36-Indices!H35)/Indices!H35</f>
        <v>-4.7362500740096961E-5</v>
      </c>
      <c r="I32" s="6">
        <f>(Indices!I36-Indices!I35)/Indices!I35</f>
        <v>-3.9091034655164145E-4</v>
      </c>
      <c r="J32" s="6">
        <f>(Indices!J36-Indices!J35)/Indices!J35</f>
        <v>-3.6440460504332719E-3</v>
      </c>
      <c r="K32" s="6">
        <f>(Indices!K36-Indices!K35)/Indices!K35</f>
        <v>-2.3147311775947883E-3</v>
      </c>
      <c r="L32" s="6">
        <f>(Indices!L36-Indices!L35)/Indices!L35</f>
        <v>-5.625978180457584E-3</v>
      </c>
      <c r="M32" s="10">
        <f>WEEKNUM(Rend_j[[#This Row],[Date]])-1</f>
        <v>6</v>
      </c>
      <c r="N32" s="7" t="str">
        <f>TEXT(Rend_j[[#This Row],[Date]],"ddd")</f>
        <v>Wed</v>
      </c>
      <c r="O32" s="7">
        <f>MONTH(Rend_j[[#This Row],[Date]])</f>
        <v>2</v>
      </c>
      <c r="P32" s="7">
        <f>YEAR(Rend_j[[#This Row],[Date]])</f>
        <v>2021</v>
      </c>
      <c r="Q32" s="7" t="str">
        <f>Rend_j[[#This Row],[Week]]&amp;","&amp;Rend_j[[#This Row],[Year]]</f>
        <v>6,2021</v>
      </c>
      <c r="R32" s="7" t="str">
        <f>Rend_j[[#This Row],[Month]]&amp;","&amp;Rend_j[[#This Row],[Year]]</f>
        <v>2,2021</v>
      </c>
    </row>
    <row r="33" spans="1:18" x14ac:dyDescent="0.25">
      <c r="A33" s="1">
        <v>44238</v>
      </c>
      <c r="B33" s="6">
        <f>(Indices!B37-Indices!B36)/Indices!B36</f>
        <v>3.3694853917075568E-3</v>
      </c>
      <c r="C33" s="6">
        <f>(Indices!C37-Indices!C36)/Indices!C36</f>
        <v>2.1886850075076608E-3</v>
      </c>
      <c r="D33" s="6">
        <f>(Indices!D37-Indices!D36)/Indices!D36</f>
        <v>1.9968420849157957E-3</v>
      </c>
      <c r="E33" s="6">
        <f>(Indices!E37-Indices!E36)/Indices!E36</f>
        <v>3.3469207027231824E-3</v>
      </c>
      <c r="F33" s="6">
        <f>(Indices!F37-Indices!F36)/Indices!F36</f>
        <v>-6.9890654943070244E-4</v>
      </c>
      <c r="G33" s="6">
        <f>(Indices!G37-Indices!G36)/Indices!G36</f>
        <v>2.3483854849791659E-3</v>
      </c>
      <c r="H33" s="6">
        <f>(Indices!H37-Indices!H36)/Indices!H36</f>
        <v>-2.1314134823743071E-3</v>
      </c>
      <c r="I33" s="6">
        <f>(Indices!I37-Indices!I36)/Indices!I36</f>
        <v>2.3242228876479126E-3</v>
      </c>
      <c r="J33" s="6">
        <f>(Indices!J37-Indices!J36)/Indices!J36</f>
        <v>-1.728117785317406E-4</v>
      </c>
      <c r="K33" s="6">
        <f>(Indices!K37-Indices!K36)/Indices!K36</f>
        <v>4.5913131497024679E-3</v>
      </c>
      <c r="L33" s="6">
        <f>(Indices!L37-Indices!L36)/Indices!L36</f>
        <v>7.7471229817994251E-3</v>
      </c>
      <c r="M33" s="10">
        <f>WEEKNUM(Rend_j[[#This Row],[Date]])-1</f>
        <v>6</v>
      </c>
      <c r="N33" s="7" t="str">
        <f>TEXT(Rend_j[[#This Row],[Date]],"ddd")</f>
        <v>Thu</v>
      </c>
      <c r="O33" s="7">
        <f>MONTH(Rend_j[[#This Row],[Date]])</f>
        <v>2</v>
      </c>
      <c r="P33" s="7">
        <f>YEAR(Rend_j[[#This Row],[Date]])</f>
        <v>2021</v>
      </c>
      <c r="Q33" s="7" t="str">
        <f>Rend_j[[#This Row],[Week]]&amp;","&amp;Rend_j[[#This Row],[Year]]</f>
        <v>6,2021</v>
      </c>
      <c r="R33" s="7" t="str">
        <f>Rend_j[[#This Row],[Month]]&amp;","&amp;Rend_j[[#This Row],[Year]]</f>
        <v>2,2021</v>
      </c>
    </row>
    <row r="34" spans="1:18" x14ac:dyDescent="0.25">
      <c r="A34" s="1">
        <v>44239</v>
      </c>
      <c r="B34" s="6">
        <f>(Indices!B38-Indices!B37)/Indices!B37</f>
        <v>1.1331688327863951E-3</v>
      </c>
      <c r="C34" s="6">
        <f>(Indices!C38-Indices!C37)/Indices!C37</f>
        <v>5.2820030980979303E-3</v>
      </c>
      <c r="D34" s="6">
        <f>(Indices!D38-Indices!D37)/Indices!D37</f>
        <v>2.3284332078793019E-3</v>
      </c>
      <c r="E34" s="6">
        <f>(Indices!E38-Indices!E37)/Indices!E37</f>
        <v>1.8041638544208573E-3</v>
      </c>
      <c r="F34" s="6">
        <f>(Indices!F38-Indices!F37)/Indices!F37</f>
        <v>8.0656077971302613E-4</v>
      </c>
      <c r="G34" s="6">
        <f>(Indices!G38-Indices!G37)/Indices!G37</f>
        <v>4.797926298867077E-3</v>
      </c>
      <c r="H34" s="6">
        <f>(Indices!H38-Indices!H37)/Indices!H37</f>
        <v>1.2792063699256007E-2</v>
      </c>
      <c r="I34" s="6">
        <f>(Indices!I38-Indices!I37)/Indices!I37</f>
        <v>4.7265136196301257E-3</v>
      </c>
      <c r="J34" s="6">
        <f>(Indices!J38-Indices!J37)/Indices!J37</f>
        <v>5.9702246368948967E-3</v>
      </c>
      <c r="K34" s="6">
        <f>(Indices!K38-Indices!K37)/Indices!K37</f>
        <v>6.4421878238649947E-3</v>
      </c>
      <c r="L34" s="6">
        <f>(Indices!L38-Indices!L37)/Indices!L37</f>
        <v>6.3952335693882932E-4</v>
      </c>
      <c r="M34" s="10">
        <f>WEEKNUM(Rend_j[[#This Row],[Date]])-1</f>
        <v>6</v>
      </c>
      <c r="N34" s="7" t="str">
        <f>TEXT(Rend_j[[#This Row],[Date]],"ddd")</f>
        <v>Fri</v>
      </c>
      <c r="O34" s="7">
        <f>MONTH(Rend_j[[#This Row],[Date]])</f>
        <v>2</v>
      </c>
      <c r="P34" s="7">
        <f>YEAR(Rend_j[[#This Row],[Date]])</f>
        <v>2021</v>
      </c>
      <c r="Q34" s="7" t="str">
        <f>Rend_j[[#This Row],[Week]]&amp;","&amp;Rend_j[[#This Row],[Year]]</f>
        <v>6,2021</v>
      </c>
      <c r="R34" s="7" t="str">
        <f>Rend_j[[#This Row],[Month]]&amp;","&amp;Rend_j[[#This Row],[Year]]</f>
        <v>2,2021</v>
      </c>
    </row>
    <row r="35" spans="1:18" x14ac:dyDescent="0.25">
      <c r="A35" s="1">
        <v>44242</v>
      </c>
      <c r="B35" s="6">
        <f>(Indices!B39-Indices!B38)/Indices!B38</f>
        <v>-1.1082134970824312E-3</v>
      </c>
      <c r="C35" s="6">
        <f>(Indices!C39-Indices!C38)/Indices!C38</f>
        <v>2.7239582017666566E-3</v>
      </c>
      <c r="D35" s="6">
        <f>(Indices!D39-Indices!D38)/Indices!D38</f>
        <v>9.1614219450699436E-3</v>
      </c>
      <c r="E35" s="6">
        <f>(Indices!E39-Indices!E38)/Indices!E38</f>
        <v>5.074519864045981E-3</v>
      </c>
      <c r="F35" s="6">
        <f>(Indices!F39-Indices!F38)/Indices!F38</f>
        <v>6.982681372189904E-3</v>
      </c>
      <c r="G35" s="6">
        <f>(Indices!G39-Indices!G38)/Indices!G38</f>
        <v>3.0510492632833423E-3</v>
      </c>
      <c r="H35" s="6">
        <f>(Indices!H39-Indices!H38)/Indices!H38</f>
        <v>2.9139181478400389E-2</v>
      </c>
      <c r="I35" s="6">
        <f>(Indices!I39-Indices!I38)/Indices!I38</f>
        <v>0</v>
      </c>
      <c r="J35" s="6">
        <f>(Indices!J39-Indices!J38)/Indices!J38</f>
        <v>1.4478411115880831E-2</v>
      </c>
      <c r="K35" s="6">
        <f>(Indices!K39-Indices!K38)/Indices!K38</f>
        <v>1.3212562801932427E-2</v>
      </c>
      <c r="L35" s="6">
        <f>(Indices!L39-Indices!L38)/Indices!L38</f>
        <v>4.2413728139139703E-3</v>
      </c>
      <c r="M35" s="10">
        <f>WEEKNUM(Rend_j[[#This Row],[Date]])-1</f>
        <v>7</v>
      </c>
      <c r="N35" s="7" t="str">
        <f>TEXT(Rend_j[[#This Row],[Date]],"ddd")</f>
        <v>Mon</v>
      </c>
      <c r="O35" s="7">
        <f>MONTH(Rend_j[[#This Row],[Date]])</f>
        <v>2</v>
      </c>
      <c r="P35" s="7">
        <f>YEAR(Rend_j[[#This Row],[Date]])</f>
        <v>2021</v>
      </c>
      <c r="Q35" s="7" t="str">
        <f>Rend_j[[#This Row],[Week]]&amp;","&amp;Rend_j[[#This Row],[Year]]</f>
        <v>7,2021</v>
      </c>
      <c r="R35" s="7" t="str">
        <f>Rend_j[[#This Row],[Month]]&amp;","&amp;Rend_j[[#This Row],[Year]]</f>
        <v>2,2021</v>
      </c>
    </row>
    <row r="36" spans="1:18" x14ac:dyDescent="0.25">
      <c r="A36" s="1">
        <v>44243</v>
      </c>
      <c r="B36" s="6">
        <f>(Indices!B40-Indices!B39)/Indices!B39</f>
        <v>6.3028266821867004E-3</v>
      </c>
      <c r="C36" s="6">
        <f>(Indices!C40-Indices!C39)/Indices!C39</f>
        <v>5.3323480385768565E-4</v>
      </c>
      <c r="D36" s="6">
        <f>(Indices!D40-Indices!D39)/Indices!D39</f>
        <v>1.1433137226756654E-3</v>
      </c>
      <c r="E36" s="6">
        <f>(Indices!E40-Indices!E39)/Indices!E39</f>
        <v>4.168027362884786E-3</v>
      </c>
      <c r="F36" s="6">
        <f>(Indices!F40-Indices!F39)/Indices!F39</f>
        <v>5.0985571810743422E-3</v>
      </c>
      <c r="G36" s="6">
        <f>(Indices!G40-Indices!G39)/Indices!G39</f>
        <v>1.0386527190443617E-3</v>
      </c>
      <c r="H36" s="6">
        <f>(Indices!H40-Indices!H39)/Indices!H39</f>
        <v>1.7191128922081635E-3</v>
      </c>
      <c r="I36" s="6">
        <f>(Indices!I40-Indices!I39)/Indices!I39</f>
        <v>-1.5057075518252118E-3</v>
      </c>
      <c r="J36" s="6">
        <f>(Indices!J40-Indices!J39)/Indices!J39</f>
        <v>4.8353424065624497E-5</v>
      </c>
      <c r="K36" s="6">
        <f>(Indices!K40-Indices!K39)/Indices!K39</f>
        <v>-6.4364316722618164E-4</v>
      </c>
      <c r="L36" s="6">
        <f>(Indices!L40-Indices!L39)/Indices!L39</f>
        <v>-3.1809009619757542E-3</v>
      </c>
      <c r="M36" s="10">
        <f>WEEKNUM(Rend_j[[#This Row],[Date]])-1</f>
        <v>7</v>
      </c>
      <c r="N36" s="7" t="str">
        <f>TEXT(Rend_j[[#This Row],[Date]],"ddd")</f>
        <v>Tue</v>
      </c>
      <c r="O36" s="7">
        <f>MONTH(Rend_j[[#This Row],[Date]])</f>
        <v>2</v>
      </c>
      <c r="P36" s="7">
        <f>YEAR(Rend_j[[#This Row],[Date]])</f>
        <v>2021</v>
      </c>
      <c r="Q36" s="7" t="str">
        <f>Rend_j[[#This Row],[Week]]&amp;","&amp;Rend_j[[#This Row],[Year]]</f>
        <v>7,2021</v>
      </c>
      <c r="R36" s="7" t="str">
        <f>Rend_j[[#This Row],[Month]]&amp;","&amp;Rend_j[[#This Row],[Year]]</f>
        <v>2,2021</v>
      </c>
    </row>
    <row r="37" spans="1:18" x14ac:dyDescent="0.25">
      <c r="A37" s="1">
        <v>44244</v>
      </c>
      <c r="B37" s="6">
        <f>(Indices!B41-Indices!B40)/Indices!B40</f>
        <v>1.0473420744197281E-2</v>
      </c>
      <c r="C37" s="6">
        <f>(Indices!C41-Indices!C40)/Indices!C40</f>
        <v>2.8535938496659905E-3</v>
      </c>
      <c r="D37" s="6">
        <f>(Indices!D41-Indices!D40)/Indices!D40</f>
        <v>7.3425903830690344E-3</v>
      </c>
      <c r="E37" s="6">
        <f>(Indices!E41-Indices!E40)/Indices!E40</f>
        <v>9.1187621419463079E-3</v>
      </c>
      <c r="F37" s="6">
        <f>(Indices!F41-Indices!F40)/Indices!F40</f>
        <v>2.1604886713551788E-3</v>
      </c>
      <c r="G37" s="6">
        <f>(Indices!G41-Indices!G40)/Indices!G40</f>
        <v>3.7220945840229763E-3</v>
      </c>
      <c r="H37" s="6">
        <f>(Indices!H41-Indices!H40)/Indices!H40</f>
        <v>-2.9095207246525082E-3</v>
      </c>
      <c r="I37" s="6">
        <f>(Indices!I41-Indices!I40)/Indices!I40</f>
        <v>-1.9810176779147832E-3</v>
      </c>
      <c r="J37" s="6">
        <f>(Indices!J41-Indices!J40)/Indices!J40</f>
        <v>-3.5755352117313325E-3</v>
      </c>
      <c r="K37" s="6">
        <f>(Indices!K41-Indices!K40)/Indices!K40</f>
        <v>-7.395052269225621E-3</v>
      </c>
      <c r="L37" s="6">
        <f>(Indices!L41-Indices!L40)/Indices!L40</f>
        <v>-1.1044045639917064E-2</v>
      </c>
      <c r="M37" s="10">
        <f>WEEKNUM(Rend_j[[#This Row],[Date]])-1</f>
        <v>7</v>
      </c>
      <c r="N37" s="7" t="str">
        <f>TEXT(Rend_j[[#This Row],[Date]],"ddd")</f>
        <v>Wed</v>
      </c>
      <c r="O37" s="7">
        <f>MONTH(Rend_j[[#This Row],[Date]])</f>
        <v>2</v>
      </c>
      <c r="P37" s="7">
        <f>YEAR(Rend_j[[#This Row],[Date]])</f>
        <v>2021</v>
      </c>
      <c r="Q37" s="7" t="str">
        <f>Rend_j[[#This Row],[Week]]&amp;","&amp;Rend_j[[#This Row],[Year]]</f>
        <v>7,2021</v>
      </c>
      <c r="R37" s="7" t="str">
        <f>Rend_j[[#This Row],[Month]]&amp;","&amp;Rend_j[[#This Row],[Year]]</f>
        <v>2,2021</v>
      </c>
    </row>
    <row r="38" spans="1:18" x14ac:dyDescent="0.25">
      <c r="A38" s="1">
        <v>44245</v>
      </c>
      <c r="B38" s="6">
        <f>(Indices!B42-Indices!B41)/Indices!B41</f>
        <v>-2.1938142519470377E-2</v>
      </c>
      <c r="C38" s="6">
        <f>(Indices!C42-Indices!C41)/Indices!C41</f>
        <v>-7.9756963042314118E-3</v>
      </c>
      <c r="D38" s="6">
        <f>(Indices!D42-Indices!D41)/Indices!D41</f>
        <v>-1.1235563633232925E-2</v>
      </c>
      <c r="E38" s="6">
        <f>(Indices!E42-Indices!E41)/Indices!E41</f>
        <v>-1.7012615286759254E-2</v>
      </c>
      <c r="F38" s="6">
        <f>(Indices!F42-Indices!F41)/Indices!F41</f>
        <v>-1.0840274035015548E-2</v>
      </c>
      <c r="G38" s="6">
        <f>(Indices!G42-Indices!G41)/Indices!G41</f>
        <v>-9.2379131833060461E-3</v>
      </c>
      <c r="H38" s="6">
        <f>(Indices!H42-Indices!H41)/Indices!H41</f>
        <v>-1.0532195005186222E-2</v>
      </c>
      <c r="I38" s="6">
        <f>(Indices!I42-Indices!I41)/Indices!I41</f>
        <v>-5.6809698472043207E-3</v>
      </c>
      <c r="J38" s="6">
        <f>(Indices!J42-Indices!J41)/Indices!J41</f>
        <v>-6.5055164581155032E-3</v>
      </c>
      <c r="K38" s="6">
        <f>(Indices!K42-Indices!K41)/Indices!K41</f>
        <v>-8.1710981758553319E-3</v>
      </c>
      <c r="L38" s="6">
        <f>(Indices!L42-Indices!L41)/Indices!L41</f>
        <v>-1.6061116618536566E-3</v>
      </c>
      <c r="M38" s="10">
        <f>WEEKNUM(Rend_j[[#This Row],[Date]])-1</f>
        <v>7</v>
      </c>
      <c r="N38" s="7" t="str">
        <f>TEXT(Rend_j[[#This Row],[Date]],"ddd")</f>
        <v>Thu</v>
      </c>
      <c r="O38" s="7">
        <f>MONTH(Rend_j[[#This Row],[Date]])</f>
        <v>2</v>
      </c>
      <c r="P38" s="7">
        <f>YEAR(Rend_j[[#This Row],[Date]])</f>
        <v>2021</v>
      </c>
      <c r="Q38" s="7" t="str">
        <f>Rend_j[[#This Row],[Week]]&amp;","&amp;Rend_j[[#This Row],[Year]]</f>
        <v>7,2021</v>
      </c>
      <c r="R38" s="7" t="str">
        <f>Rend_j[[#This Row],[Month]]&amp;","&amp;Rend_j[[#This Row],[Year]]</f>
        <v>2,2021</v>
      </c>
    </row>
    <row r="39" spans="1:18" x14ac:dyDescent="0.25">
      <c r="A39" s="1">
        <v>44246</v>
      </c>
      <c r="B39" s="6">
        <f>(Indices!B43-Indices!B42)/Indices!B42</f>
        <v>1.0723147451594714E-4</v>
      </c>
      <c r="C39" s="6">
        <f>(Indices!C43-Indices!C42)/Indices!C42</f>
        <v>-3.1931497026195005E-3</v>
      </c>
      <c r="D39" s="6">
        <f>(Indices!D43-Indices!D42)/Indices!D42</f>
        <v>-2.6152580881234834E-3</v>
      </c>
      <c r="E39" s="6">
        <f>(Indices!E43-Indices!E42)/Indices!E42</f>
        <v>-1.0310034381159638E-3</v>
      </c>
      <c r="F39" s="6">
        <f>(Indices!F43-Indices!F42)/Indices!F42</f>
        <v>-9.3076292226978684E-3</v>
      </c>
      <c r="G39" s="6">
        <f>(Indices!G43-Indices!G42)/Indices!G42</f>
        <v>-2.8940983579408106E-3</v>
      </c>
      <c r="H39" s="6">
        <f>(Indices!H43-Indices!H42)/Indices!H42</f>
        <v>9.9070351469349844E-4</v>
      </c>
      <c r="I39" s="6">
        <f>(Indices!I43-Indices!I42)/Indices!I42</f>
        <v>1.4680306085526147E-3</v>
      </c>
      <c r="J39" s="6">
        <f>(Indices!J43-Indices!J42)/Indices!J42</f>
        <v>7.894050514593914E-3</v>
      </c>
      <c r="K39" s="6">
        <f>(Indices!K43-Indices!K42)/Indices!K42</f>
        <v>5.2822702607529066E-3</v>
      </c>
      <c r="L39" s="6">
        <f>(Indices!L43-Indices!L42)/Indices!L42</f>
        <v>7.6547359548127421E-3</v>
      </c>
      <c r="M39" s="10">
        <f>WEEKNUM(Rend_j[[#This Row],[Date]])-1</f>
        <v>7</v>
      </c>
      <c r="N39" s="7" t="str">
        <f>TEXT(Rend_j[[#This Row],[Date]],"ddd")</f>
        <v>Fri</v>
      </c>
      <c r="O39" s="7">
        <f>MONTH(Rend_j[[#This Row],[Date]])</f>
        <v>2</v>
      </c>
      <c r="P39" s="7">
        <f>YEAR(Rend_j[[#This Row],[Date]])</f>
        <v>2021</v>
      </c>
      <c r="Q39" s="7" t="str">
        <f>Rend_j[[#This Row],[Week]]&amp;","&amp;Rend_j[[#This Row],[Year]]</f>
        <v>7,2021</v>
      </c>
      <c r="R39" s="7" t="str">
        <f>Rend_j[[#This Row],[Month]]&amp;","&amp;Rend_j[[#This Row],[Year]]</f>
        <v>2,2021</v>
      </c>
    </row>
    <row r="40" spans="1:18" x14ac:dyDescent="0.25">
      <c r="A40" s="1">
        <v>44249</v>
      </c>
      <c r="B40" s="6">
        <f>(Indices!B44-Indices!B43)/Indices!B43</f>
        <v>-3.4666407343931213E-2</v>
      </c>
      <c r="C40" s="6">
        <f>(Indices!C44-Indices!C43)/Indices!C43</f>
        <v>-7.4012009495880264E-3</v>
      </c>
      <c r="D40" s="6">
        <f>(Indices!D44-Indices!D43)/Indices!D43</f>
        <v>-1.5031746976946999E-2</v>
      </c>
      <c r="E40" s="6">
        <f>(Indices!E44-Indices!E43)/Indices!E43</f>
        <v>-2.347413785658151E-2</v>
      </c>
      <c r="F40" s="6">
        <f>(Indices!F44-Indices!F43)/Indices!F43</f>
        <v>8.3347980654196532E-3</v>
      </c>
      <c r="G40" s="6">
        <f>(Indices!G44-Indices!G43)/Indices!G43</f>
        <v>-9.6376236883738038E-3</v>
      </c>
      <c r="H40" s="6">
        <f>(Indices!H44-Indices!H43)/Indices!H43</f>
        <v>4.3731946186685583E-4</v>
      </c>
      <c r="I40" s="6">
        <f>(Indices!I44-Indices!I43)/Indices!I43</f>
        <v>-9.4064172477774169E-3</v>
      </c>
      <c r="J40" s="6">
        <f>(Indices!J44-Indices!J43)/Indices!J43</f>
        <v>-1.0582508519643777E-3</v>
      </c>
      <c r="K40" s="6">
        <f>(Indices!K44-Indices!K43)/Indices!K43</f>
        <v>-4.386827463521592E-3</v>
      </c>
      <c r="L40" s="6">
        <f>(Indices!L44-Indices!L43)/Indices!L43</f>
        <v>-3.0865231650830205E-3</v>
      </c>
      <c r="M40" s="10">
        <f>WEEKNUM(Rend_j[[#This Row],[Date]])-1</f>
        <v>8</v>
      </c>
      <c r="N40" s="7" t="str">
        <f>TEXT(Rend_j[[#This Row],[Date]],"ddd")</f>
        <v>Mon</v>
      </c>
      <c r="O40" s="7">
        <f>MONTH(Rend_j[[#This Row],[Date]])</f>
        <v>2</v>
      </c>
      <c r="P40" s="7">
        <f>YEAR(Rend_j[[#This Row],[Date]])</f>
        <v>2021</v>
      </c>
      <c r="Q40" s="7" t="str">
        <f>Rend_j[[#This Row],[Week]]&amp;","&amp;Rend_j[[#This Row],[Year]]</f>
        <v>8,2021</v>
      </c>
      <c r="R40" s="7" t="str">
        <f>Rend_j[[#This Row],[Month]]&amp;","&amp;Rend_j[[#This Row],[Year]]</f>
        <v>2,2021</v>
      </c>
    </row>
    <row r="41" spans="1:18" x14ac:dyDescent="0.25">
      <c r="A41" s="1">
        <v>44250</v>
      </c>
      <c r="B41" s="6">
        <f>(Indices!B45-Indices!B44)/Indices!B44</f>
        <v>-4.9436368004036153E-3</v>
      </c>
      <c r="C41" s="6">
        <f>(Indices!C45-Indices!C44)/Indices!C44</f>
        <v>-1.4153919612557495E-3</v>
      </c>
      <c r="D41" s="6">
        <f>(Indices!D45-Indices!D44)/Indices!D44</f>
        <v>1.2119463946196399E-3</v>
      </c>
      <c r="E41" s="6">
        <f>(Indices!E45-Indices!E44)/Indices!E44</f>
        <v>-1.4261203336016915E-3</v>
      </c>
      <c r="F41" s="6">
        <f>(Indices!F45-Indices!F44)/Indices!F44</f>
        <v>-2.1423872154026969E-3</v>
      </c>
      <c r="G41" s="6">
        <f>(Indices!G45-Indices!G44)/Indices!G44</f>
        <v>-1.4129623573410693E-3</v>
      </c>
      <c r="H41" s="6">
        <f>(Indices!H45-Indices!H44)/Indices!H44</f>
        <v>5.6366543580541936E-3</v>
      </c>
      <c r="I41" s="6">
        <f>(Indices!I45-Indices!I44)/Indices!I44</f>
        <v>1.1475254092684928E-4</v>
      </c>
      <c r="J41" s="6">
        <f>(Indices!J45-Indices!J44)/Indices!J44</f>
        <v>2.1499838969888719E-3</v>
      </c>
      <c r="K41" s="6">
        <f>(Indices!K45-Indices!K44)/Indices!K44</f>
        <v>-4.212441312218357E-3</v>
      </c>
      <c r="L41" s="6">
        <f>(Indices!L45-Indices!L44)/Indices!L44</f>
        <v>-6.1096935747576835E-3</v>
      </c>
      <c r="M41" s="10">
        <f>WEEKNUM(Rend_j[[#This Row],[Date]])-1</f>
        <v>8</v>
      </c>
      <c r="N41" s="7" t="str">
        <f>TEXT(Rend_j[[#This Row],[Date]],"ddd")</f>
        <v>Tue</v>
      </c>
      <c r="O41" s="7">
        <f>MONTH(Rend_j[[#This Row],[Date]])</f>
        <v>2</v>
      </c>
      <c r="P41" s="7">
        <f>YEAR(Rend_j[[#This Row],[Date]])</f>
        <v>2021</v>
      </c>
      <c r="Q41" s="7" t="str">
        <f>Rend_j[[#This Row],[Week]]&amp;","&amp;Rend_j[[#This Row],[Year]]</f>
        <v>8,2021</v>
      </c>
      <c r="R41" s="7" t="str">
        <f>Rend_j[[#This Row],[Month]]&amp;","&amp;Rend_j[[#This Row],[Year]]</f>
        <v>2,2021</v>
      </c>
    </row>
    <row r="42" spans="1:18" x14ac:dyDescent="0.25">
      <c r="A42" s="1">
        <v>44251</v>
      </c>
      <c r="B42" s="6">
        <f>(Indices!B46-Indices!B45)/Indices!B45</f>
        <v>-2.4129721734776434E-2</v>
      </c>
      <c r="C42" s="6">
        <f>(Indices!C46-Indices!C45)/Indices!C45</f>
        <v>7.7956897435021407E-3</v>
      </c>
      <c r="D42" s="6">
        <f>(Indices!D46-Indices!D45)/Indices!D45</f>
        <v>-4.1597914628839459E-3</v>
      </c>
      <c r="E42" s="6">
        <f>(Indices!E46-Indices!E45)/Indices!E45</f>
        <v>-1.2328648830571826E-2</v>
      </c>
      <c r="F42" s="6">
        <f>(Indices!F46-Indices!F45)/Indices!F45</f>
        <v>-2.3599950410801363E-2</v>
      </c>
      <c r="G42" s="6">
        <f>(Indices!G46-Indices!G45)/Indices!G45</f>
        <v>5.034240392326389E-3</v>
      </c>
      <c r="H42" s="6">
        <f>(Indices!H46-Indices!H45)/Indices!H45</f>
        <v>6.9548506651718675E-3</v>
      </c>
      <c r="I42" s="6">
        <f>(Indices!I46-Indices!I45)/Indices!I45</f>
        <v>1.1485955747341712E-2</v>
      </c>
      <c r="J42" s="6">
        <f>(Indices!J46-Indices!J45)/Indices!J45</f>
        <v>3.1385187980305538E-3</v>
      </c>
      <c r="K42" s="6">
        <f>(Indices!K46-Indices!K45)/Indices!K45</f>
        <v>4.5949235822122965E-3</v>
      </c>
      <c r="L42" s="6">
        <f>(Indices!L46-Indices!L45)/Indices!L45</f>
        <v>8.0196146538203464E-3</v>
      </c>
      <c r="M42" s="10">
        <f>WEEKNUM(Rend_j[[#This Row],[Date]])-1</f>
        <v>8</v>
      </c>
      <c r="N42" s="7" t="str">
        <f>TEXT(Rend_j[[#This Row],[Date]],"ddd")</f>
        <v>Wed</v>
      </c>
      <c r="O42" s="7">
        <f>MONTH(Rend_j[[#This Row],[Date]])</f>
        <v>2</v>
      </c>
      <c r="P42" s="7">
        <f>YEAR(Rend_j[[#This Row],[Date]])</f>
        <v>2021</v>
      </c>
      <c r="Q42" s="7" t="str">
        <f>Rend_j[[#This Row],[Week]]&amp;","&amp;Rend_j[[#This Row],[Year]]</f>
        <v>8,2021</v>
      </c>
      <c r="R42" s="7" t="str">
        <f>Rend_j[[#This Row],[Month]]&amp;","&amp;Rend_j[[#This Row],[Year]]</f>
        <v>2,2021</v>
      </c>
    </row>
    <row r="43" spans="1:18" x14ac:dyDescent="0.25">
      <c r="A43" s="1">
        <v>44252</v>
      </c>
      <c r="B43" s="6">
        <f>(Indices!B47-Indices!B46)/Indices!B46</f>
        <v>-9.2362903156683242E-3</v>
      </c>
      <c r="C43" s="6">
        <f>(Indices!C47-Indices!C46)/Indices!C46</f>
        <v>-2.3214633691719787E-2</v>
      </c>
      <c r="D43" s="6">
        <f>(Indices!D47-Indices!D46)/Indices!D46</f>
        <v>2.010990950669245E-3</v>
      </c>
      <c r="E43" s="6">
        <f>(Indices!E47-Indices!E46)/Indices!E46</f>
        <v>-3.2260017082787959E-3</v>
      </c>
      <c r="F43" s="6">
        <f>(Indices!F47-Indices!F46)/Indices!F46</f>
        <v>1.5351763144225263E-3</v>
      </c>
      <c r="G43" s="6">
        <f>(Indices!G47-Indices!G46)/Indices!G46</f>
        <v>-2.0520704521907716E-2</v>
      </c>
      <c r="H43" s="6">
        <f>(Indices!H47-Indices!H46)/Indices!H46</f>
        <v>-6.5205784457394505E-3</v>
      </c>
      <c r="I43" s="6">
        <f>(Indices!I47-Indices!I46)/Indices!I46</f>
        <v>-2.6521472228846772E-2</v>
      </c>
      <c r="J43" s="6">
        <f>(Indices!J47-Indices!J46)/Indices!J46</f>
        <v>-2.4301296397370013E-3</v>
      </c>
      <c r="K43" s="6">
        <f>(Indices!K47-Indices!K46)/Indices!K46</f>
        <v>-3.5816655749739889E-3</v>
      </c>
      <c r="L43" s="6">
        <f>(Indices!L47-Indices!L46)/Indices!L46</f>
        <v>-6.9168517458500483E-3</v>
      </c>
      <c r="M43" s="10">
        <f>WEEKNUM(Rend_j[[#This Row],[Date]])-1</f>
        <v>8</v>
      </c>
      <c r="N43" s="7" t="str">
        <f>TEXT(Rend_j[[#This Row],[Date]],"ddd")</f>
        <v>Thu</v>
      </c>
      <c r="O43" s="7">
        <f>MONTH(Rend_j[[#This Row],[Date]])</f>
        <v>2</v>
      </c>
      <c r="P43" s="7">
        <f>YEAR(Rend_j[[#This Row],[Date]])</f>
        <v>2021</v>
      </c>
      <c r="Q43" s="7" t="str">
        <f>Rend_j[[#This Row],[Week]]&amp;","&amp;Rend_j[[#This Row],[Year]]</f>
        <v>8,2021</v>
      </c>
      <c r="R43" s="7" t="str">
        <f>Rend_j[[#This Row],[Month]]&amp;","&amp;Rend_j[[#This Row],[Year]]</f>
        <v>2,2021</v>
      </c>
    </row>
    <row r="44" spans="1:18" x14ac:dyDescent="0.25">
      <c r="A44" s="1">
        <v>44253</v>
      </c>
      <c r="B44" s="6">
        <f>(Indices!B48-Indices!B47)/Indices!B47</f>
        <v>-2.2437288624023555E-2</v>
      </c>
      <c r="C44" s="6">
        <f>(Indices!C48-Indices!C47)/Indices!C47</f>
        <v>-5.0828786787984852E-3</v>
      </c>
      <c r="D44" s="6">
        <f>(Indices!D48-Indices!D47)/Indices!D47</f>
        <v>-2.5908617008783195E-2</v>
      </c>
      <c r="E44" s="6">
        <f>(Indices!E48-Indices!E47)/Indices!E47</f>
        <v>-2.5338263341610032E-2</v>
      </c>
      <c r="F44" s="6">
        <f>(Indices!F48-Indices!F47)/Indices!F47</f>
        <v>-2.9371427254287343E-2</v>
      </c>
      <c r="G44" s="6">
        <f>(Indices!G48-Indices!G47)/Indices!G47</f>
        <v>-7.8607499914695698E-3</v>
      </c>
      <c r="H44" s="6">
        <f>(Indices!H48-Indices!H47)/Indices!H47</f>
        <v>-2.8849122405808659E-2</v>
      </c>
      <c r="I44" s="6">
        <f>(Indices!I48-Indices!I47)/Indices!I47</f>
        <v>-3.3296438656059343E-3</v>
      </c>
      <c r="J44" s="6">
        <f>(Indices!J48-Indices!J47)/Indices!J47</f>
        <v>-1.3947346870222898E-2</v>
      </c>
      <c r="K44" s="6">
        <f>(Indices!K48-Indices!K47)/Indices!K47</f>
        <v>-1.6370001748548791E-2</v>
      </c>
      <c r="L44" s="6">
        <f>(Indices!L48-Indices!L47)/Indices!L47</f>
        <v>-6.7034964557885829E-3</v>
      </c>
      <c r="M44" s="10">
        <f>WEEKNUM(Rend_j[[#This Row],[Date]])-1</f>
        <v>8</v>
      </c>
      <c r="N44" s="7" t="str">
        <f>TEXT(Rend_j[[#This Row],[Date]],"ddd")</f>
        <v>Fri</v>
      </c>
      <c r="O44" s="7">
        <f>MONTH(Rend_j[[#This Row],[Date]])</f>
        <v>2</v>
      </c>
      <c r="P44" s="7">
        <f>YEAR(Rend_j[[#This Row],[Date]])</f>
        <v>2021</v>
      </c>
      <c r="Q44" s="7" t="str">
        <f>Rend_j[[#This Row],[Week]]&amp;","&amp;Rend_j[[#This Row],[Year]]</f>
        <v>8,2021</v>
      </c>
      <c r="R44" s="7" t="str">
        <f>Rend_j[[#This Row],[Month]]&amp;","&amp;Rend_j[[#This Row],[Year]]</f>
        <v>2,2021</v>
      </c>
    </row>
    <row r="45" spans="1:18" x14ac:dyDescent="0.25">
      <c r="A45" s="1">
        <v>44256</v>
      </c>
      <c r="B45" s="6">
        <f>(Indices!B49-Indices!B48)/Indices!B48</f>
        <v>3.4098073501722677E-2</v>
      </c>
      <c r="C45" s="6">
        <f>(Indices!C49-Indices!C48)/Indices!C48</f>
        <v>2.8150963793449162E-2</v>
      </c>
      <c r="D45" s="6">
        <f>(Indices!D49-Indices!D48)/Indices!D48</f>
        <v>1.4761393836525076E-2</v>
      </c>
      <c r="E45" s="6">
        <f>(Indices!E49-Indices!E48)/Indices!E48</f>
        <v>2.4628598064417875E-2</v>
      </c>
      <c r="F45" s="6">
        <f>(Indices!F49-Indices!F48)/Indices!F48</f>
        <v>2.5926299728685275E-2</v>
      </c>
      <c r="G45" s="6">
        <f>(Indices!G49-Indices!G48)/Indices!G48</f>
        <v>2.7672572040255753E-2</v>
      </c>
      <c r="H45" s="6">
        <f>(Indices!H49-Indices!H48)/Indices!H48</f>
        <v>1.933311354966321E-2</v>
      </c>
      <c r="I45" s="6">
        <f>(Indices!I49-Indices!I48)/Indices!I48</f>
        <v>2.5117282945067012E-2</v>
      </c>
      <c r="J45" s="6">
        <f>(Indices!J49-Indices!J48)/Indices!J48</f>
        <v>1.5705131596430937E-2</v>
      </c>
      <c r="K45" s="6">
        <f>(Indices!K49-Indices!K48)/Indices!K48</f>
        <v>1.8395546023248662E-2</v>
      </c>
      <c r="L45" s="6">
        <f>(Indices!L49-Indices!L48)/Indices!L48</f>
        <v>1.6431561307845465E-2</v>
      </c>
      <c r="M45" s="10">
        <f>WEEKNUM(Rend_j[[#This Row],[Date]])-1</f>
        <v>9</v>
      </c>
      <c r="N45" s="7" t="str">
        <f>TEXT(Rend_j[[#This Row],[Date]],"ddd")</f>
        <v>Mon</v>
      </c>
      <c r="O45" s="7">
        <f>MONTH(Rend_j[[#This Row],[Date]])</f>
        <v>3</v>
      </c>
      <c r="P45" s="7">
        <f>YEAR(Rend_j[[#This Row],[Date]])</f>
        <v>2021</v>
      </c>
      <c r="Q45" s="7" t="str">
        <f>Rend_j[[#This Row],[Week]]&amp;","&amp;Rend_j[[#This Row],[Year]]</f>
        <v>9,2021</v>
      </c>
      <c r="R45" s="7" t="str">
        <f>Rend_j[[#This Row],[Month]]&amp;","&amp;Rend_j[[#This Row],[Year]]</f>
        <v>3,2021</v>
      </c>
    </row>
    <row r="46" spans="1:18" x14ac:dyDescent="0.25">
      <c r="A46" s="1">
        <v>44257</v>
      </c>
      <c r="B46" s="6">
        <f>(Indices!B50-Indices!B49)/Indices!B49</f>
        <v>-1.561469450967003E-2</v>
      </c>
      <c r="C46" s="6">
        <f>(Indices!C50-Indices!C49)/Indices!C49</f>
        <v>-6.4571108774547879E-3</v>
      </c>
      <c r="D46" s="6">
        <f>(Indices!D50-Indices!D49)/Indices!D49</f>
        <v>5.992259867967923E-3</v>
      </c>
      <c r="E46" s="6">
        <f>(Indices!E50-Indices!E49)/Indices!E49</f>
        <v>-2.977269605050104E-3</v>
      </c>
      <c r="F46" s="6">
        <f>(Indices!F50-Indices!F49)/Indices!F49</f>
        <v>-5.7116072358599996E-3</v>
      </c>
      <c r="G46" s="6">
        <f>(Indices!G50-Indices!G49)/Indices!G49</f>
        <v>-5.9861953566200023E-3</v>
      </c>
      <c r="H46" s="6">
        <f>(Indices!H50-Indices!H49)/Indices!H49</f>
        <v>3.9503777115531078E-3</v>
      </c>
      <c r="I46" s="6">
        <f>(Indices!I50-Indices!I49)/Indices!I49</f>
        <v>-9.825060906833185E-3</v>
      </c>
      <c r="J46" s="6">
        <f>(Indices!J50-Indices!J49)/Indices!J49</f>
        <v>2.9243146887685139E-3</v>
      </c>
      <c r="K46" s="6">
        <f>(Indices!K50-Indices!K49)/Indices!K49</f>
        <v>1.9154519352368681E-3</v>
      </c>
      <c r="L46" s="6">
        <f>(Indices!L50-Indices!L49)/Indices!L49</f>
        <v>1.9253440351866813E-3</v>
      </c>
      <c r="M46" s="10">
        <f>WEEKNUM(Rend_j[[#This Row],[Date]])-1</f>
        <v>9</v>
      </c>
      <c r="N46" s="7" t="str">
        <f>TEXT(Rend_j[[#This Row],[Date]],"ddd")</f>
        <v>Tue</v>
      </c>
      <c r="O46" s="7">
        <f>MONTH(Rend_j[[#This Row],[Date]])</f>
        <v>3</v>
      </c>
      <c r="P46" s="7">
        <f>YEAR(Rend_j[[#This Row],[Date]])</f>
        <v>2021</v>
      </c>
      <c r="Q46" s="7" t="str">
        <f>Rend_j[[#This Row],[Week]]&amp;","&amp;Rend_j[[#This Row],[Year]]</f>
        <v>9,2021</v>
      </c>
      <c r="R46" s="7" t="str">
        <f>Rend_j[[#This Row],[Month]]&amp;","&amp;Rend_j[[#This Row],[Year]]</f>
        <v>3,2021</v>
      </c>
    </row>
    <row r="47" spans="1:18" x14ac:dyDescent="0.25">
      <c r="A47" s="1">
        <v>44258</v>
      </c>
      <c r="B47" s="6">
        <f>(Indices!B51-Indices!B50)/Indices!B50</f>
        <v>1.3604120687556729E-2</v>
      </c>
      <c r="C47" s="6">
        <f>(Indices!C51-Indices!C50)/Indices!C50</f>
        <v>-1.0578601269090826E-2</v>
      </c>
      <c r="D47" s="6">
        <f>(Indices!D51-Indices!D50)/Indices!D50</f>
        <v>1.3228219272819306E-2</v>
      </c>
      <c r="E47" s="6">
        <f>(Indices!E51-Indices!E50)/Indices!E50</f>
        <v>1.2504828228023377E-2</v>
      </c>
      <c r="F47" s="6">
        <f>(Indices!F51-Indices!F50)/Indices!F50</f>
        <v>1.29787741751502E-3</v>
      </c>
      <c r="G47" s="6">
        <f>(Indices!G51-Indices!G50)/Indices!G50</f>
        <v>-7.4488992883566139E-3</v>
      </c>
      <c r="H47" s="6">
        <f>(Indices!H51-Indices!H50)/Indices!H50</f>
        <v>9.7450411891942621E-3</v>
      </c>
      <c r="I47" s="6">
        <f>(Indices!I51-Indices!I50)/Indices!I50</f>
        <v>-1.4610991841805214E-2</v>
      </c>
      <c r="J47" s="6">
        <f>(Indices!J51-Indices!J50)/Indices!J50</f>
        <v>3.49931564289332E-3</v>
      </c>
      <c r="K47" s="6">
        <f>(Indices!K51-Indices!K50)/Indices!K50</f>
        <v>4.5979719512674187E-4</v>
      </c>
      <c r="L47" s="6">
        <f>(Indices!L51-Indices!L50)/Indices!L50</f>
        <v>2.865458236188259E-3</v>
      </c>
      <c r="M47" s="10">
        <f>WEEKNUM(Rend_j[[#This Row],[Date]])-1</f>
        <v>9</v>
      </c>
      <c r="N47" s="7" t="str">
        <f>TEXT(Rend_j[[#This Row],[Date]],"ddd")</f>
        <v>Wed</v>
      </c>
      <c r="O47" s="7">
        <f>MONTH(Rend_j[[#This Row],[Date]])</f>
        <v>3</v>
      </c>
      <c r="P47" s="7">
        <f>YEAR(Rend_j[[#This Row],[Date]])</f>
        <v>2021</v>
      </c>
      <c r="Q47" s="7" t="str">
        <f>Rend_j[[#This Row],[Week]]&amp;","&amp;Rend_j[[#This Row],[Year]]</f>
        <v>9,2021</v>
      </c>
      <c r="R47" s="7" t="str">
        <f>Rend_j[[#This Row],[Month]]&amp;","&amp;Rend_j[[#This Row],[Year]]</f>
        <v>3,2021</v>
      </c>
    </row>
    <row r="48" spans="1:18" x14ac:dyDescent="0.25">
      <c r="A48" s="1">
        <v>44259</v>
      </c>
      <c r="B48" s="6">
        <f>(Indices!B52-Indices!B51)/Indices!B51</f>
        <v>-3.5172223283667557E-2</v>
      </c>
      <c r="C48" s="6">
        <f>(Indices!C52-Indices!C51)/Indices!C51</f>
        <v>-1.0096522931743918E-2</v>
      </c>
      <c r="D48" s="6">
        <f>(Indices!D52-Indices!D51)/Indices!D51</f>
        <v>-9.1604945623639938E-3</v>
      </c>
      <c r="E48" s="6">
        <f>(Indices!E52-Indices!E51)/Indices!E51</f>
        <v>-2.0270164753650375E-2</v>
      </c>
      <c r="F48" s="6">
        <f>(Indices!F52-Indices!F51)/Indices!F51</f>
        <v>-1.5228839469431909E-2</v>
      </c>
      <c r="G48" s="6">
        <f>(Indices!G52-Indices!G51)/Indices!G51</f>
        <v>-1.1503122760749437E-2</v>
      </c>
      <c r="H48" s="6">
        <f>(Indices!H52-Indices!H51)/Indices!H51</f>
        <v>7.976026343665088E-5</v>
      </c>
      <c r="I48" s="6">
        <f>(Indices!I52-Indices!I51)/Indices!I51</f>
        <v>-1.5998377914118875E-2</v>
      </c>
      <c r="J48" s="6">
        <f>(Indices!J52-Indices!J51)/Indices!J51</f>
        <v>1.0117271417970928E-4</v>
      </c>
      <c r="K48" s="6">
        <f>(Indices!K52-Indices!K51)/Indices!K51</f>
        <v>-3.6524816228477265E-3</v>
      </c>
      <c r="L48" s="6">
        <f>(Indices!L52-Indices!L51)/Indices!L51</f>
        <v>-1.6825553316085835E-3</v>
      </c>
      <c r="M48" s="10">
        <f>WEEKNUM(Rend_j[[#This Row],[Date]])-1</f>
        <v>9</v>
      </c>
      <c r="N48" s="7" t="str">
        <f>TEXT(Rend_j[[#This Row],[Date]],"ddd")</f>
        <v>Thu</v>
      </c>
      <c r="O48" s="7">
        <f>MONTH(Rend_j[[#This Row],[Date]])</f>
        <v>3</v>
      </c>
      <c r="P48" s="7">
        <f>YEAR(Rend_j[[#This Row],[Date]])</f>
        <v>2021</v>
      </c>
      <c r="Q48" s="7" t="str">
        <f>Rend_j[[#This Row],[Week]]&amp;","&amp;Rend_j[[#This Row],[Year]]</f>
        <v>9,2021</v>
      </c>
      <c r="R48" s="7" t="str">
        <f>Rend_j[[#This Row],[Month]]&amp;","&amp;Rend_j[[#This Row],[Year]]</f>
        <v>3,2021</v>
      </c>
    </row>
    <row r="49" spans="1:18" x14ac:dyDescent="0.25">
      <c r="A49" s="1">
        <v>44260</v>
      </c>
      <c r="B49" s="6">
        <f>(Indices!B53-Indices!B52)/Indices!B52</f>
        <v>7.8213800942427639E-3</v>
      </c>
      <c r="C49" s="6">
        <f>(Indices!C53-Indices!C52)/Indices!C52</f>
        <v>1.933156443201281E-2</v>
      </c>
      <c r="D49" s="6">
        <f>(Indices!D53-Indices!D52)/Indices!D52</f>
        <v>4.7727192170911427E-3</v>
      </c>
      <c r="E49" s="6">
        <f>(Indices!E53-Indices!E52)/Indices!E52</f>
        <v>5.8065529796725362E-3</v>
      </c>
      <c r="F49" s="6">
        <f>(Indices!F53-Indices!F52)/Indices!F52</f>
        <v>1.0358749158904956E-2</v>
      </c>
      <c r="G49" s="6">
        <f>(Indices!G53-Indices!G52)/Indices!G52</f>
        <v>1.7479068011804343E-2</v>
      </c>
      <c r="H49" s="6">
        <f>(Indices!H53-Indices!H52)/Indices!H52</f>
        <v>-2.4381907257604949E-3</v>
      </c>
      <c r="I49" s="6">
        <f>(Indices!I53-Indices!I52)/Indices!I52</f>
        <v>1.8856230761396933E-2</v>
      </c>
      <c r="J49" s="6">
        <f>(Indices!J53-Indices!J52)/Indices!J52</f>
        <v>-8.2323584517628619E-3</v>
      </c>
      <c r="K49" s="6">
        <f>(Indices!K53-Indices!K52)/Indices!K52</f>
        <v>-7.841545407088462E-3</v>
      </c>
      <c r="L49" s="6">
        <f>(Indices!L53-Indices!L52)/Indices!L52</f>
        <v>-9.6504076839394326E-3</v>
      </c>
      <c r="M49" s="10">
        <f>WEEKNUM(Rend_j[[#This Row],[Date]])-1</f>
        <v>9</v>
      </c>
      <c r="N49" s="7" t="str">
        <f>TEXT(Rend_j[[#This Row],[Date]],"ddd")</f>
        <v>Fri</v>
      </c>
      <c r="O49" s="7">
        <f>MONTH(Rend_j[[#This Row],[Date]])</f>
        <v>3</v>
      </c>
      <c r="P49" s="7">
        <f>YEAR(Rend_j[[#This Row],[Date]])</f>
        <v>2021</v>
      </c>
      <c r="Q49" s="7" t="str">
        <f>Rend_j[[#This Row],[Week]]&amp;","&amp;Rend_j[[#This Row],[Year]]</f>
        <v>9,2021</v>
      </c>
      <c r="R49" s="7" t="str">
        <f>Rend_j[[#This Row],[Month]]&amp;","&amp;Rend_j[[#This Row],[Year]]</f>
        <v>3,2021</v>
      </c>
    </row>
    <row r="50" spans="1:18" x14ac:dyDescent="0.25">
      <c r="A50" s="1">
        <v>44263</v>
      </c>
      <c r="B50" s="6">
        <f>(Indices!B54-Indices!B53)/Indices!B53</f>
        <v>-4.0125898531112765E-2</v>
      </c>
      <c r="C50" s="6">
        <f>(Indices!C54-Indices!C53)/Indices!C53</f>
        <v>2.1243129108644036E-3</v>
      </c>
      <c r="D50" s="6">
        <f>(Indices!D54-Indices!D53)/Indices!D53</f>
        <v>-5.4144214153519056E-3</v>
      </c>
      <c r="E50" s="6">
        <f>(Indices!E54-Indices!E53)/Indices!E53</f>
        <v>-1.9075907441324463E-2</v>
      </c>
      <c r="F50" s="6">
        <f>(Indices!F54-Indices!F53)/Indices!F53</f>
        <v>-3.5226695175168406E-3</v>
      </c>
      <c r="G50" s="6">
        <f>(Indices!G54-Indices!G53)/Indices!G53</f>
        <v>-7.5460244255115506E-4</v>
      </c>
      <c r="H50" s="6">
        <f>(Indices!H54-Indices!H53)/Indices!H53</f>
        <v>1.6869203709625885E-2</v>
      </c>
      <c r="I50" s="6">
        <f>(Indices!I54-Indices!I53)/Indices!I53</f>
        <v>-5.6091214086051227E-3</v>
      </c>
      <c r="J50" s="6">
        <f>(Indices!J54-Indices!J53)/Indices!J53</f>
        <v>2.0810585810906276E-2</v>
      </c>
      <c r="K50" s="6">
        <f>(Indices!K54-Indices!K53)/Indices!K53</f>
        <v>2.0969969528212201E-2</v>
      </c>
      <c r="L50" s="6">
        <f>(Indices!L54-Indices!L53)/Indices!L53</f>
        <v>3.3060122435320825E-2</v>
      </c>
      <c r="M50" s="10">
        <f>WEEKNUM(Rend_j[[#This Row],[Date]])-1</f>
        <v>10</v>
      </c>
      <c r="N50" s="7" t="str">
        <f>TEXT(Rend_j[[#This Row],[Date]],"ddd")</f>
        <v>Mon</v>
      </c>
      <c r="O50" s="7">
        <f>MONTH(Rend_j[[#This Row],[Date]])</f>
        <v>3</v>
      </c>
      <c r="P50" s="7">
        <f>YEAR(Rend_j[[#This Row],[Date]])</f>
        <v>2021</v>
      </c>
      <c r="Q50" s="7" t="str">
        <f>Rend_j[[#This Row],[Week]]&amp;","&amp;Rend_j[[#This Row],[Year]]</f>
        <v>10,2021</v>
      </c>
      <c r="R50" s="7" t="str">
        <f>Rend_j[[#This Row],[Month]]&amp;","&amp;Rend_j[[#This Row],[Year]]</f>
        <v>3,2021</v>
      </c>
    </row>
    <row r="51" spans="1:18" x14ac:dyDescent="0.25">
      <c r="A51" s="1">
        <v>44264</v>
      </c>
      <c r="B51" s="6">
        <f>(Indices!B55-Indices!B54)/Indices!B54</f>
        <v>2.9244528494164449E-3</v>
      </c>
      <c r="C51" s="6">
        <f>(Indices!C55-Indices!C54)/Indices!C54</f>
        <v>1.2211298543430506E-2</v>
      </c>
      <c r="D51" s="6">
        <f>(Indices!D55-Indices!D54)/Indices!D54</f>
        <v>-1.7991255735676584E-3</v>
      </c>
      <c r="E51" s="6">
        <f>(Indices!E55-Indices!E54)/Indices!E54</f>
        <v>5.2644576408490658E-3</v>
      </c>
      <c r="F51" s="6">
        <f>(Indices!F55-Indices!F54)/Indices!F54</f>
        <v>9.591145192116006E-3</v>
      </c>
      <c r="G51" s="6">
        <f>(Indices!G55-Indices!G54)/Indices!G54</f>
        <v>1.1289614904316665E-2</v>
      </c>
      <c r="H51" s="6">
        <f>(Indices!H55-Indices!H54)/Indices!H54</f>
        <v>3.9760538227398739E-3</v>
      </c>
      <c r="I51" s="6">
        <f>(Indices!I55-Indices!I54)/Indices!I54</f>
        <v>1.5983526917550707E-2</v>
      </c>
      <c r="J51" s="6">
        <f>(Indices!J55-Indices!J54)/Indices!J54</f>
        <v>3.7235333498267156E-3</v>
      </c>
      <c r="K51" s="6">
        <f>(Indices!K55-Indices!K54)/Indices!K54</f>
        <v>7.5734068304374232E-3</v>
      </c>
      <c r="L51" s="6">
        <f>(Indices!L55-Indices!L54)/Indices!L54</f>
        <v>3.9656926693436151E-3</v>
      </c>
      <c r="M51" s="10">
        <f>WEEKNUM(Rend_j[[#This Row],[Date]])-1</f>
        <v>10</v>
      </c>
      <c r="N51" s="7" t="str">
        <f>TEXT(Rend_j[[#This Row],[Date]],"ddd")</f>
        <v>Tue</v>
      </c>
      <c r="O51" s="7">
        <f>MONTH(Rend_j[[#This Row],[Date]])</f>
        <v>3</v>
      </c>
      <c r="P51" s="7">
        <f>YEAR(Rend_j[[#This Row],[Date]])</f>
        <v>2021</v>
      </c>
      <c r="Q51" s="7" t="str">
        <f>Rend_j[[#This Row],[Week]]&amp;","&amp;Rend_j[[#This Row],[Year]]</f>
        <v>10,2021</v>
      </c>
      <c r="R51" s="7" t="str">
        <f>Rend_j[[#This Row],[Month]]&amp;","&amp;Rend_j[[#This Row],[Year]]</f>
        <v>3,2021</v>
      </c>
    </row>
    <row r="52" spans="1:18" x14ac:dyDescent="0.25">
      <c r="A52" s="1">
        <v>44265</v>
      </c>
      <c r="B52" s="6">
        <f>(Indices!B56-Indices!B55)/Indices!B55</f>
        <v>3.898853503265257E-3</v>
      </c>
      <c r="C52" s="6">
        <f>(Indices!C56-Indices!C55)/Indices!C55</f>
        <v>3.8008073555313411E-3</v>
      </c>
      <c r="D52" s="6">
        <f>(Indices!D56-Indices!D55)/Indices!D55</f>
        <v>5.2618853956417572E-3</v>
      </c>
      <c r="E52" s="6">
        <f>(Indices!E56-Indices!E55)/Indices!E55</f>
        <v>4.2473666326876547E-3</v>
      </c>
      <c r="F52" s="6">
        <f>(Indices!F56-Indices!F55)/Indices!F55</f>
        <v>2.1543464374890013E-3</v>
      </c>
      <c r="G52" s="6">
        <f>(Indices!G56-Indices!G55)/Indices!G55</f>
        <v>3.8588616149649213E-3</v>
      </c>
      <c r="H52" s="6">
        <f>(Indices!H56-Indices!H55)/Indices!H55</f>
        <v>-1.4207882578002992E-3</v>
      </c>
      <c r="I52" s="6">
        <f>(Indices!I56-Indices!I55)/Indices!I55</f>
        <v>6.6239103564989304E-3</v>
      </c>
      <c r="J52" s="6">
        <f>(Indices!J56-Indices!J55)/Indices!J55</f>
        <v>1.1068340872663673E-2</v>
      </c>
      <c r="K52" s="6">
        <f>(Indices!K56-Indices!K55)/Indices!K55</f>
        <v>4.0436264214111792E-3</v>
      </c>
      <c r="L52" s="6">
        <f>(Indices!L56-Indices!L55)/Indices!L55</f>
        <v>7.086160972614529E-3</v>
      </c>
      <c r="M52" s="10">
        <f>WEEKNUM(Rend_j[[#This Row],[Date]])-1</f>
        <v>10</v>
      </c>
      <c r="N52" s="7" t="str">
        <f>TEXT(Rend_j[[#This Row],[Date]],"ddd")</f>
        <v>Wed</v>
      </c>
      <c r="O52" s="7">
        <f>MONTH(Rend_j[[#This Row],[Date]])</f>
        <v>3</v>
      </c>
      <c r="P52" s="7">
        <f>YEAR(Rend_j[[#This Row],[Date]])</f>
        <v>2021</v>
      </c>
      <c r="Q52" s="7" t="str">
        <f>Rend_j[[#This Row],[Week]]&amp;","&amp;Rend_j[[#This Row],[Year]]</f>
        <v>10,2021</v>
      </c>
      <c r="R52" s="7" t="str">
        <f>Rend_j[[#This Row],[Month]]&amp;","&amp;Rend_j[[#This Row],[Year]]</f>
        <v>3,2021</v>
      </c>
    </row>
    <row r="53" spans="1:18" x14ac:dyDescent="0.25">
      <c r="A53" s="1">
        <v>44266</v>
      </c>
      <c r="B53" s="6">
        <f>(Indices!B57-Indices!B56)/Indices!B56</f>
        <v>2.8566995439314184E-2</v>
      </c>
      <c r="C53" s="6">
        <f>(Indices!C57-Indices!C56)/Indices!C56</f>
        <v>5.6628326756779012E-3</v>
      </c>
      <c r="D53" s="6">
        <f>(Indices!D57-Indices!D56)/Indices!D56</f>
        <v>1.1651766104069572E-2</v>
      </c>
      <c r="E53" s="6">
        <f>(Indices!E57-Indices!E56)/Indices!E56</f>
        <v>1.919691642242816E-2</v>
      </c>
      <c r="F53" s="6">
        <f>(Indices!F57-Indices!F56)/Indices!F56</f>
        <v>-2.4336398560675133E-3</v>
      </c>
      <c r="G53" s="6">
        <f>(Indices!G57-Indices!G56)/Indices!G56</f>
        <v>7.4553365498496995E-3</v>
      </c>
      <c r="H53" s="6">
        <f>(Indices!H57-Indices!H56)/Indices!H56</f>
        <v>-5.4895809993285452E-4</v>
      </c>
      <c r="I53" s="6">
        <f>(Indices!I57-Indices!I56)/Indices!I56</f>
        <v>1.3203709337129867E-2</v>
      </c>
      <c r="J53" s="6">
        <f>(Indices!J57-Indices!J56)/Indices!J56</f>
        <v>7.2130209090216354E-3</v>
      </c>
      <c r="K53" s="6">
        <f>(Indices!K57-Indices!K56)/Indices!K56</f>
        <v>4.8803109928801814E-3</v>
      </c>
      <c r="L53" s="6">
        <f>(Indices!L57-Indices!L56)/Indices!L56</f>
        <v>2.0040680180876645E-3</v>
      </c>
      <c r="M53" s="10">
        <f>WEEKNUM(Rend_j[[#This Row],[Date]])-1</f>
        <v>10</v>
      </c>
      <c r="N53" s="7" t="str">
        <f>TEXT(Rend_j[[#This Row],[Date]],"ddd")</f>
        <v>Thu</v>
      </c>
      <c r="O53" s="7">
        <f>MONTH(Rend_j[[#This Row],[Date]])</f>
        <v>3</v>
      </c>
      <c r="P53" s="7">
        <f>YEAR(Rend_j[[#This Row],[Date]])</f>
        <v>2021</v>
      </c>
      <c r="Q53" s="7" t="str">
        <f>Rend_j[[#This Row],[Week]]&amp;","&amp;Rend_j[[#This Row],[Year]]</f>
        <v>10,2021</v>
      </c>
      <c r="R53" s="7" t="str">
        <f>Rend_j[[#This Row],[Month]]&amp;","&amp;Rend_j[[#This Row],[Year]]</f>
        <v>3,2021</v>
      </c>
    </row>
    <row r="54" spans="1:18" x14ac:dyDescent="0.25">
      <c r="A54" s="1">
        <v>44267</v>
      </c>
      <c r="B54" s="6">
        <f>(Indices!B58-Indices!B57)/Indices!B57</f>
        <v>-1.0501994864970672E-2</v>
      </c>
      <c r="C54" s="6">
        <f>(Indices!C58-Indices!C57)/Indices!C57</f>
        <v>2.2916153592493463E-3</v>
      </c>
      <c r="D54" s="6">
        <f>(Indices!D58-Indices!D57)/Indices!D57</f>
        <v>2.9979446571466064E-3</v>
      </c>
      <c r="E54" s="6">
        <f>(Indices!E58-Indices!E57)/Indices!E57</f>
        <v>-5.0469817927327951E-3</v>
      </c>
      <c r="F54" s="6">
        <f>(Indices!F58-Indices!F57)/Indices!F57</f>
        <v>1.2366331515267632E-2</v>
      </c>
      <c r="G54" s="6">
        <f>(Indices!G58-Indices!G57)/Indices!G57</f>
        <v>1.3076101259348475E-3</v>
      </c>
      <c r="H54" s="6">
        <f>(Indices!H58-Indices!H57)/Indices!H57</f>
        <v>7.9586598065258722E-4</v>
      </c>
      <c r="I54" s="6">
        <f>(Indices!I58-Indices!I57)/Indices!I57</f>
        <v>1.4623412840716105E-3</v>
      </c>
      <c r="J54" s="6">
        <f>(Indices!J58-Indices!J57)/Indices!J57</f>
        <v>2.1197461443643968E-3</v>
      </c>
      <c r="K54" s="6">
        <f>(Indices!K58-Indices!K57)/Indices!K57</f>
        <v>-2.569785620370967E-3</v>
      </c>
      <c r="L54" s="6">
        <f>(Indices!L58-Indices!L57)/Indices!L57</f>
        <v>-4.5986826908703069E-3</v>
      </c>
      <c r="M54" s="10">
        <f>WEEKNUM(Rend_j[[#This Row],[Date]])-1</f>
        <v>10</v>
      </c>
      <c r="N54" s="7" t="str">
        <f>TEXT(Rend_j[[#This Row],[Date]],"ddd")</f>
        <v>Fri</v>
      </c>
      <c r="O54" s="7">
        <f>MONTH(Rend_j[[#This Row],[Date]])</f>
        <v>3</v>
      </c>
      <c r="P54" s="7">
        <f>YEAR(Rend_j[[#This Row],[Date]])</f>
        <v>2021</v>
      </c>
      <c r="Q54" s="7" t="str">
        <f>Rend_j[[#This Row],[Week]]&amp;","&amp;Rend_j[[#This Row],[Year]]</f>
        <v>10,2021</v>
      </c>
      <c r="R54" s="7" t="str">
        <f>Rend_j[[#This Row],[Month]]&amp;","&amp;Rend_j[[#This Row],[Year]]</f>
        <v>3,2021</v>
      </c>
    </row>
    <row r="55" spans="1:18" x14ac:dyDescent="0.25">
      <c r="A55" s="1">
        <v>44270</v>
      </c>
      <c r="B55" s="6">
        <f>(Indices!B59-Indices!B58)/Indices!B58</f>
        <v>-1.3085147931903442E-2</v>
      </c>
      <c r="C55" s="6">
        <f>(Indices!C59-Indices!C58)/Indices!C58</f>
        <v>7.0298769771529688E-3</v>
      </c>
      <c r="D55" s="6">
        <f>(Indices!D59-Indices!D58)/Indices!D58</f>
        <v>-9.3473584940427935E-4</v>
      </c>
      <c r="E55" s="6">
        <f>(Indices!E59-Indices!E58)/Indices!E58</f>
        <v>-4.1076650111258719E-3</v>
      </c>
      <c r="F55" s="6">
        <f>(Indices!F59-Indices!F58)/Indices!F58</f>
        <v>7.8489873199839057E-3</v>
      </c>
      <c r="G55" s="6">
        <f>(Indices!G59-Indices!G58)/Indices!G58</f>
        <v>5.5490557954058946E-3</v>
      </c>
      <c r="H55" s="6">
        <f>(Indices!H59-Indices!H58)/Indices!H58</f>
        <v>-3.0689276673909736E-3</v>
      </c>
      <c r="I55" s="6">
        <f>(Indices!I59-Indices!I58)/Indices!I58</f>
        <v>7.3871314377292295E-3</v>
      </c>
      <c r="J55" s="6">
        <f>(Indices!J59-Indices!J58)/Indices!J58</f>
        <v>-1.7496903757000264E-3</v>
      </c>
      <c r="K55" s="6">
        <f>(Indices!K59-Indices!K58)/Indices!K58</f>
        <v>0</v>
      </c>
      <c r="L55" s="6">
        <f>(Indices!L59-Indices!L58)/Indices!L58</f>
        <v>-2.8250330455021869E-3</v>
      </c>
      <c r="M55" s="10">
        <f>WEEKNUM(Rend_j[[#This Row],[Date]])-1</f>
        <v>11</v>
      </c>
      <c r="N55" s="7" t="str">
        <f>TEXT(Rend_j[[#This Row],[Date]],"ddd")</f>
        <v>Mon</v>
      </c>
      <c r="O55" s="7">
        <f>MONTH(Rend_j[[#This Row],[Date]])</f>
        <v>3</v>
      </c>
      <c r="P55" s="7">
        <f>YEAR(Rend_j[[#This Row],[Date]])</f>
        <v>2021</v>
      </c>
      <c r="Q55" s="7" t="str">
        <f>Rend_j[[#This Row],[Week]]&amp;","&amp;Rend_j[[#This Row],[Year]]</f>
        <v>11,2021</v>
      </c>
      <c r="R55" s="7" t="str">
        <f>Rend_j[[#This Row],[Month]]&amp;","&amp;Rend_j[[#This Row],[Year]]</f>
        <v>3,2021</v>
      </c>
    </row>
    <row r="56" spans="1:18" x14ac:dyDescent="0.25">
      <c r="A56" s="1">
        <v>44271</v>
      </c>
      <c r="B56" s="6">
        <f>(Indices!B60-Indices!B59)/Indices!B59</f>
        <v>1.1151795517097862E-2</v>
      </c>
      <c r="C56" s="6">
        <f>(Indices!C60-Indices!C59)/Indices!C59</f>
        <v>2.5020057401387466E-3</v>
      </c>
      <c r="D56" s="6">
        <f>(Indices!D60-Indices!D59)/Indices!D59</f>
        <v>6.8835456880059296E-3</v>
      </c>
      <c r="E56" s="6">
        <f>(Indices!E60-Indices!E59)/Indices!E59</f>
        <v>8.4416363508769705E-3</v>
      </c>
      <c r="F56" s="6">
        <f>(Indices!F60-Indices!F59)/Indices!F59</f>
        <v>8.9662867617758216E-3</v>
      </c>
      <c r="G56" s="6">
        <f>(Indices!G60-Indices!G59)/Indices!G59</f>
        <v>3.2815630236263842E-3</v>
      </c>
      <c r="H56" s="6">
        <f>(Indices!H60-Indices!H59)/Indices!H59</f>
        <v>1.2616843429804115E-2</v>
      </c>
      <c r="I56" s="6">
        <f>(Indices!I60-Indices!I59)/Indices!I59</f>
        <v>-3.7092722860371996E-3</v>
      </c>
      <c r="J56" s="6">
        <f>(Indices!J60-Indices!J59)/Indices!J59</f>
        <v>3.2239988447324646E-3</v>
      </c>
      <c r="K56" s="6">
        <f>(Indices!K60-Indices!K59)/Indices!K59</f>
        <v>8.8399832535684519E-3</v>
      </c>
      <c r="L56" s="6">
        <f>(Indices!L60-Indices!L59)/Indices!L59</f>
        <v>6.64942727145423E-3</v>
      </c>
      <c r="M56" s="10">
        <f>WEEKNUM(Rend_j[[#This Row],[Date]])-1</f>
        <v>11</v>
      </c>
      <c r="N56" s="7" t="str">
        <f>TEXT(Rend_j[[#This Row],[Date]],"ddd")</f>
        <v>Tue</v>
      </c>
      <c r="O56" s="7">
        <f>MONTH(Rend_j[[#This Row],[Date]])</f>
        <v>3</v>
      </c>
      <c r="P56" s="7">
        <f>YEAR(Rend_j[[#This Row],[Date]])</f>
        <v>2021</v>
      </c>
      <c r="Q56" s="7" t="str">
        <f>Rend_j[[#This Row],[Week]]&amp;","&amp;Rend_j[[#This Row],[Year]]</f>
        <v>11,2021</v>
      </c>
      <c r="R56" s="7" t="str">
        <f>Rend_j[[#This Row],[Month]]&amp;","&amp;Rend_j[[#This Row],[Year]]</f>
        <v>3,2021</v>
      </c>
    </row>
    <row r="57" spans="1:18" x14ac:dyDescent="0.25">
      <c r="A57" s="1">
        <v>44272</v>
      </c>
      <c r="B57" s="6">
        <f>(Indices!B61-Indices!B60)/Indices!B60</f>
        <v>3.807449114451314E-3</v>
      </c>
      <c r="C57" s="6">
        <f>(Indices!C61-Indices!C60)/Indices!C60</f>
        <v>2.557639711069705E-4</v>
      </c>
      <c r="D57" s="6">
        <f>(Indices!D61-Indices!D60)/Indices!D60</f>
        <v>-1.1050696998410076E-2</v>
      </c>
      <c r="E57" s="6">
        <f>(Indices!E61-Indices!E60)/Indices!E60</f>
        <v>-5.4818752413192577E-3</v>
      </c>
      <c r="F57" s="6">
        <f>(Indices!F61-Indices!F60)/Indices!F60</f>
        <v>-2.206135426246755E-3</v>
      </c>
      <c r="G57" s="6">
        <f>(Indices!G61-Indices!G60)/Indices!G60</f>
        <v>-5.0226222171402275E-4</v>
      </c>
      <c r="H57" s="6">
        <f>(Indices!H61-Indices!H60)/Indices!H60</f>
        <v>-6.7457367609369042E-3</v>
      </c>
      <c r="I57" s="6">
        <f>(Indices!I61-Indices!I60)/Indices!I60</f>
        <v>3.3215802521903313E-3</v>
      </c>
      <c r="J57" s="6">
        <f>(Indices!J61-Indices!J60)/Indices!J60</f>
        <v>-1.0079416032551299E-4</v>
      </c>
      <c r="K57" s="6">
        <f>(Indices!K61-Indices!K60)/Indices!K60</f>
        <v>-4.4749612686266621E-3</v>
      </c>
      <c r="L57" s="6">
        <f>(Indices!L61-Indices!L60)/Indices!L60</f>
        <v>2.6810960190851384E-3</v>
      </c>
      <c r="M57" s="10">
        <f>WEEKNUM(Rend_j[[#This Row],[Date]])-1</f>
        <v>11</v>
      </c>
      <c r="N57" s="7" t="str">
        <f>TEXT(Rend_j[[#This Row],[Date]],"ddd")</f>
        <v>Wed</v>
      </c>
      <c r="O57" s="7">
        <f>MONTH(Rend_j[[#This Row],[Date]])</f>
        <v>3</v>
      </c>
      <c r="P57" s="7">
        <f>YEAR(Rend_j[[#This Row],[Date]])</f>
        <v>2021</v>
      </c>
      <c r="Q57" s="7" t="str">
        <f>Rend_j[[#This Row],[Week]]&amp;","&amp;Rend_j[[#This Row],[Year]]</f>
        <v>11,2021</v>
      </c>
      <c r="R57" s="7" t="str">
        <f>Rend_j[[#This Row],[Month]]&amp;","&amp;Rend_j[[#This Row],[Year]]</f>
        <v>3,2021</v>
      </c>
    </row>
    <row r="58" spans="1:18" x14ac:dyDescent="0.25">
      <c r="A58" s="1">
        <v>44273</v>
      </c>
      <c r="B58" s="6">
        <f>(Indices!B62-Indices!B61)/Indices!B61</f>
        <v>3.8491909876637118E-3</v>
      </c>
      <c r="C58" s="6">
        <f>(Indices!C62-Indices!C61)/Indices!C61</f>
        <v>-1.037641304392662E-2</v>
      </c>
      <c r="D58" s="6">
        <f>(Indices!D62-Indices!D61)/Indices!D61</f>
        <v>1.3755217518173638E-3</v>
      </c>
      <c r="E58" s="6">
        <f>(Indices!E62-Indices!E61)/Indices!E61</f>
        <v>1.6477588222812236E-3</v>
      </c>
      <c r="F58" s="6">
        <f>(Indices!F62-Indices!F61)/Indices!F61</f>
        <v>1.3475305640062775E-2</v>
      </c>
      <c r="G58" s="6">
        <f>(Indices!G62-Indices!G61)/Indices!G61</f>
        <v>-8.7919630345346649E-3</v>
      </c>
      <c r="H58" s="6">
        <f>(Indices!H62-Indices!H61)/Indices!H61</f>
        <v>4.2894004892597469E-3</v>
      </c>
      <c r="I58" s="6">
        <f>(Indices!I62-Indices!I61)/Indices!I61</f>
        <v>-1.7533397494229209E-2</v>
      </c>
      <c r="J58" s="6">
        <f>(Indices!J62-Indices!J61)/Indices!J61</f>
        <v>1.3163422251489742E-3</v>
      </c>
      <c r="K58" s="6">
        <f>(Indices!K62-Indices!K61)/Indices!K61</f>
        <v>3.9537595824643617E-3</v>
      </c>
      <c r="L58" s="6">
        <f>(Indices!L62-Indices!L61)/Indices!L61</f>
        <v>1.225689908205289E-2</v>
      </c>
      <c r="M58" s="10">
        <f>WEEKNUM(Rend_j[[#This Row],[Date]])-1</f>
        <v>11</v>
      </c>
      <c r="N58" s="7" t="str">
        <f>TEXT(Rend_j[[#This Row],[Date]],"ddd")</f>
        <v>Thu</v>
      </c>
      <c r="O58" s="7">
        <f>MONTH(Rend_j[[#This Row],[Date]])</f>
        <v>3</v>
      </c>
      <c r="P58" s="7">
        <f>YEAR(Rend_j[[#This Row],[Date]])</f>
        <v>2021</v>
      </c>
      <c r="Q58" s="7" t="str">
        <f>Rend_j[[#This Row],[Week]]&amp;","&amp;Rend_j[[#This Row],[Year]]</f>
        <v>11,2021</v>
      </c>
      <c r="R58" s="7" t="str">
        <f>Rend_j[[#This Row],[Month]]&amp;","&amp;Rend_j[[#This Row],[Year]]</f>
        <v>3,2021</v>
      </c>
    </row>
    <row r="59" spans="1:18" x14ac:dyDescent="0.25">
      <c r="A59" s="1">
        <v>44274</v>
      </c>
      <c r="B59" s="6">
        <f>(Indices!B63-Indices!B62)/Indices!B62</f>
        <v>-1.340590328400657E-2</v>
      </c>
      <c r="C59" s="6">
        <f>(Indices!C63-Indices!C62)/Indices!C62</f>
        <v>-8.918264522393539E-4</v>
      </c>
      <c r="D59" s="6">
        <f>(Indices!D63-Indices!D62)/Indices!D62</f>
        <v>-5.1519446107674118E-3</v>
      </c>
      <c r="E59" s="6">
        <f>(Indices!E63-Indices!E62)/Indices!E62</f>
        <v>-6.4945600735538183E-3</v>
      </c>
      <c r="F59" s="6">
        <f>(Indices!F63-Indices!F62)/Indices!F62</f>
        <v>1.78546519737756E-3</v>
      </c>
      <c r="G59" s="6">
        <f>(Indices!G63-Indices!G62)/Indices!G62</f>
        <v>-1.6363239179447086E-3</v>
      </c>
      <c r="H59" s="6">
        <f>(Indices!H63-Indices!H62)/Indices!H62</f>
        <v>-1.3591822661194282E-2</v>
      </c>
      <c r="I59" s="6">
        <f>(Indices!I63-Indices!I62)/Indices!I62</f>
        <v>8.7416040904100194E-4</v>
      </c>
      <c r="J59" s="6">
        <f>(Indices!J63-Indices!J62)/Indices!J62</f>
        <v>-1.0693109539167543E-2</v>
      </c>
      <c r="K59" s="6">
        <f>(Indices!K63-Indices!K62)/Indices!K62</f>
        <v>-7.5950913766856774E-3</v>
      </c>
      <c r="L59" s="6">
        <f>(Indices!L63-Indices!L62)/Indices!L62</f>
        <v>-1.0457806893778955E-2</v>
      </c>
      <c r="M59" s="10">
        <f>WEEKNUM(Rend_j[[#This Row],[Date]])-1</f>
        <v>11</v>
      </c>
      <c r="N59" s="7" t="str">
        <f>TEXT(Rend_j[[#This Row],[Date]],"ddd")</f>
        <v>Fri</v>
      </c>
      <c r="O59" s="7">
        <f>MONTH(Rend_j[[#This Row],[Date]])</f>
        <v>3</v>
      </c>
      <c r="P59" s="7">
        <f>YEAR(Rend_j[[#This Row],[Date]])</f>
        <v>2021</v>
      </c>
      <c r="Q59" s="7" t="str">
        <f>Rend_j[[#This Row],[Week]]&amp;","&amp;Rend_j[[#This Row],[Year]]</f>
        <v>11,2021</v>
      </c>
      <c r="R59" s="7" t="str">
        <f>Rend_j[[#This Row],[Month]]&amp;","&amp;Rend_j[[#This Row],[Year]]</f>
        <v>3,2021</v>
      </c>
    </row>
    <row r="60" spans="1:18" x14ac:dyDescent="0.25">
      <c r="A60" s="1">
        <v>44277</v>
      </c>
      <c r="B60" s="6">
        <f>(Indices!B64-Indices!B63)/Indices!B63</f>
        <v>9.0111234854317352E-4</v>
      </c>
      <c r="C60" s="6">
        <f>(Indices!C64-Indices!C63)/Indices!C63</f>
        <v>2.9364778116566814E-3</v>
      </c>
      <c r="D60" s="6">
        <f>(Indices!D64-Indices!D63)/Indices!D63</f>
        <v>-2.8422325343040846E-3</v>
      </c>
      <c r="E60" s="6">
        <f>(Indices!E64-Indices!E63)/Indices!E63</f>
        <v>-2.3090497511761387E-3</v>
      </c>
      <c r="F60" s="6">
        <f>(Indices!F64-Indices!F63)/Indices!F63</f>
        <v>-1.3166615611684959E-2</v>
      </c>
      <c r="G60" s="6">
        <f>(Indices!G64-Indices!G63)/Indices!G63</f>
        <v>2.2417636859054014E-3</v>
      </c>
      <c r="H60" s="6">
        <f>(Indices!H64-Indices!H63)/Indices!H63</f>
        <v>-7.7803461690254959E-4</v>
      </c>
      <c r="I60" s="6">
        <f>(Indices!I64-Indices!I63)/Indices!I63</f>
        <v>5.613578953424416E-3</v>
      </c>
      <c r="J60" s="6">
        <f>(Indices!J64-Indices!J63)/Indices!J63</f>
        <v>-4.915001299055771E-3</v>
      </c>
      <c r="K60" s="6">
        <f>(Indices!K64-Indices!K63)/Indices!K63</f>
        <v>1.9369481241957877E-3</v>
      </c>
      <c r="L60" s="6">
        <f>(Indices!L64-Indices!L63)/Indices!L63</f>
        <v>2.4765720538950917E-3</v>
      </c>
      <c r="M60" s="10">
        <f>WEEKNUM(Rend_j[[#This Row],[Date]])-1</f>
        <v>12</v>
      </c>
      <c r="N60" s="7" t="str">
        <f>TEXT(Rend_j[[#This Row],[Date]],"ddd")</f>
        <v>Mon</v>
      </c>
      <c r="O60" s="7">
        <f>MONTH(Rend_j[[#This Row],[Date]])</f>
        <v>3</v>
      </c>
      <c r="P60" s="7">
        <f>YEAR(Rend_j[[#This Row],[Date]])</f>
        <v>2021</v>
      </c>
      <c r="Q60" s="7" t="str">
        <f>Rend_j[[#This Row],[Week]]&amp;","&amp;Rend_j[[#This Row],[Year]]</f>
        <v>12,2021</v>
      </c>
      <c r="R60" s="7" t="str">
        <f>Rend_j[[#This Row],[Month]]&amp;","&amp;Rend_j[[#This Row],[Year]]</f>
        <v>3,2021</v>
      </c>
    </row>
    <row r="61" spans="1:18" x14ac:dyDescent="0.25">
      <c r="A61" s="1">
        <v>44278</v>
      </c>
      <c r="B61" s="6">
        <f>(Indices!B65-Indices!B64)/Indices!B64</f>
        <v>-8.6648139543864279E-3</v>
      </c>
      <c r="C61" s="6">
        <f>(Indices!C65-Indices!C64)/Indices!C64</f>
        <v>-2.6866627572812926E-3</v>
      </c>
      <c r="D61" s="6">
        <f>(Indices!D65-Indices!D64)/Indices!D64</f>
        <v>-2.1328333733506592E-4</v>
      </c>
      <c r="E61" s="6">
        <f>(Indices!E65-Indices!E64)/Indices!E64</f>
        <v>-4.3514241024334944E-3</v>
      </c>
      <c r="F61" s="6">
        <f>(Indices!F65-Indices!F64)/Indices!F64</f>
        <v>-2.1954950022858547E-3</v>
      </c>
      <c r="G61" s="6">
        <f>(Indices!G65-Indices!G64)/Indices!G64</f>
        <v>-2.9081861733460919E-3</v>
      </c>
      <c r="H61" s="6">
        <f>(Indices!H65-Indices!H64)/Indices!H64</f>
        <v>-2.7985916764467441E-3</v>
      </c>
      <c r="I61" s="6">
        <f>(Indices!I65-Indices!I64)/Indices!I64</f>
        <v>-1.0851820828020083E-2</v>
      </c>
      <c r="J61" s="6">
        <f>(Indices!J65-Indices!J64)/Indices!J64</f>
        <v>-3.8837652262679479E-3</v>
      </c>
      <c r="K61" s="6">
        <f>(Indices!K65-Indices!K64)/Indices!K64</f>
        <v>-2.0275242795156664E-3</v>
      </c>
      <c r="L61" s="6">
        <f>(Indices!L65-Indices!L64)/Indices!L64</f>
        <v>3.2813680182824093E-4</v>
      </c>
      <c r="M61" s="10">
        <f>WEEKNUM(Rend_j[[#This Row],[Date]])-1</f>
        <v>12</v>
      </c>
      <c r="N61" s="7" t="str">
        <f>TEXT(Rend_j[[#This Row],[Date]],"ddd")</f>
        <v>Tue</v>
      </c>
      <c r="O61" s="7">
        <f>MONTH(Rend_j[[#This Row],[Date]])</f>
        <v>3</v>
      </c>
      <c r="P61" s="7">
        <f>YEAR(Rend_j[[#This Row],[Date]])</f>
        <v>2021</v>
      </c>
      <c r="Q61" s="7" t="str">
        <f>Rend_j[[#This Row],[Week]]&amp;","&amp;Rend_j[[#This Row],[Year]]</f>
        <v>12,2021</v>
      </c>
      <c r="R61" s="7" t="str">
        <f>Rend_j[[#This Row],[Month]]&amp;","&amp;Rend_j[[#This Row],[Year]]</f>
        <v>3,2021</v>
      </c>
    </row>
    <row r="62" spans="1:18" x14ac:dyDescent="0.25">
      <c r="A62" s="1">
        <v>44279</v>
      </c>
      <c r="B62" s="6">
        <f>(Indices!B66-Indices!B65)/Indices!B65</f>
        <v>-2.3860593517970565E-2</v>
      </c>
      <c r="C62" s="6">
        <f>(Indices!C66-Indices!C65)/Indices!C65</f>
        <v>-3.9616181750701147E-3</v>
      </c>
      <c r="D62" s="6">
        <f>(Indices!D66-Indices!D65)/Indices!D65</f>
        <v>-7.7914844748980536E-3</v>
      </c>
      <c r="E62" s="6">
        <f>(Indices!E66-Indices!E65)/Indices!E65</f>
        <v>-1.5691575596768554E-2</v>
      </c>
      <c r="F62" s="6">
        <f>(Indices!F66-Indices!F65)/Indices!F65</f>
        <v>-1.872822299651572E-2</v>
      </c>
      <c r="G62" s="6">
        <f>(Indices!G66-Indices!G65)/Indices!G65</f>
        <v>-5.5069673671903664E-3</v>
      </c>
      <c r="H62" s="6">
        <f>(Indices!H66-Indices!H65)/Indices!H65</f>
        <v>6.9029512945870738E-4</v>
      </c>
      <c r="I62" s="6">
        <f>(Indices!I66-Indices!I65)/Indices!I65</f>
        <v>-8.2317276008414229E-3</v>
      </c>
      <c r="J62" s="6">
        <f>(Indices!J66-Indices!J65)/Indices!J65</f>
        <v>3.3475755054892186E-4</v>
      </c>
      <c r="K62" s="6">
        <f>(Indices!K66-Indices!K65)/Indices!K65</f>
        <v>1.8902695513465761E-4</v>
      </c>
      <c r="L62" s="6">
        <f>(Indices!L66-Indices!L65)/Indices!L65</f>
        <v>-3.5213348266492461E-3</v>
      </c>
      <c r="M62" s="10">
        <f>WEEKNUM(Rend_j[[#This Row],[Date]])-1</f>
        <v>12</v>
      </c>
      <c r="N62" s="7" t="str">
        <f>TEXT(Rend_j[[#This Row],[Date]],"ddd")</f>
        <v>Wed</v>
      </c>
      <c r="O62" s="7">
        <f>MONTH(Rend_j[[#This Row],[Date]])</f>
        <v>3</v>
      </c>
      <c r="P62" s="7">
        <f>YEAR(Rend_j[[#This Row],[Date]])</f>
        <v>2021</v>
      </c>
      <c r="Q62" s="7" t="str">
        <f>Rend_j[[#This Row],[Week]]&amp;","&amp;Rend_j[[#This Row],[Year]]</f>
        <v>12,2021</v>
      </c>
      <c r="R62" s="7" t="str">
        <f>Rend_j[[#This Row],[Month]]&amp;","&amp;Rend_j[[#This Row],[Year]]</f>
        <v>3,2021</v>
      </c>
    </row>
    <row r="63" spans="1:18" x14ac:dyDescent="0.25">
      <c r="A63" s="1">
        <v>44280</v>
      </c>
      <c r="B63" s="6">
        <f>(Indices!B67-Indices!B66)/Indices!B66</f>
        <v>-3.7755425170111719E-3</v>
      </c>
      <c r="C63" s="6">
        <f>(Indices!C67-Indices!C66)/Indices!C66</f>
        <v>7.5025852937605523E-3</v>
      </c>
      <c r="D63" s="6">
        <f>(Indices!D67-Indices!D66)/Indices!D66</f>
        <v>-3.3731172341137217E-5</v>
      </c>
      <c r="E63" s="6">
        <f>(Indices!E67-Indices!E66)/Indices!E66</f>
        <v>-3.0830259586610244E-3</v>
      </c>
      <c r="F63" s="6">
        <f>(Indices!F67-Indices!F66)/Indices!F66</f>
        <v>1.445691459007044E-2</v>
      </c>
      <c r="G63" s="6">
        <f>(Indices!G67-Indices!G66)/Indices!G66</f>
        <v>6.1231950283312754E-3</v>
      </c>
      <c r="H63" s="6">
        <f>(Indices!H67-Indices!H66)/Indices!H66</f>
        <v>-1.0856167094505608E-3</v>
      </c>
      <c r="I63" s="6">
        <f>(Indices!I67-Indices!I66)/Indices!I66</f>
        <v>6.8070961723376939E-3</v>
      </c>
      <c r="J63" s="6">
        <f>(Indices!J67-Indices!J66)/Indices!J66</f>
        <v>8.60915974573925E-4</v>
      </c>
      <c r="K63" s="6">
        <f>(Indices!K67-Indices!K66)/Indices!K66</f>
        <v>-7.3225156242758449E-4</v>
      </c>
      <c r="L63" s="6">
        <f>(Indices!L67-Indices!L66)/Indices!L66</f>
        <v>7.5088346463105253E-4</v>
      </c>
      <c r="M63" s="10">
        <f>WEEKNUM(Rend_j[[#This Row],[Date]])-1</f>
        <v>12</v>
      </c>
      <c r="N63" s="7" t="str">
        <f>TEXT(Rend_j[[#This Row],[Date]],"ddd")</f>
        <v>Thu</v>
      </c>
      <c r="O63" s="7">
        <f>MONTH(Rend_j[[#This Row],[Date]])</f>
        <v>3</v>
      </c>
      <c r="P63" s="7">
        <f>YEAR(Rend_j[[#This Row],[Date]])</f>
        <v>2021</v>
      </c>
      <c r="Q63" s="7" t="str">
        <f>Rend_j[[#This Row],[Week]]&amp;","&amp;Rend_j[[#This Row],[Year]]</f>
        <v>12,2021</v>
      </c>
      <c r="R63" s="7" t="str">
        <f>Rend_j[[#This Row],[Month]]&amp;","&amp;Rend_j[[#This Row],[Year]]</f>
        <v>3,2021</v>
      </c>
    </row>
    <row r="64" spans="1:18" x14ac:dyDescent="0.25">
      <c r="A64" s="1">
        <v>44281</v>
      </c>
      <c r="B64" s="6">
        <f>(Indices!B68-Indices!B67)/Indices!B67</f>
        <v>1.7357337878225985E-2</v>
      </c>
      <c r="C64" s="6">
        <f>(Indices!C68-Indices!C67)/Indices!C67</f>
        <v>1.2495688634200891E-2</v>
      </c>
      <c r="D64" s="6">
        <f>(Indices!D68-Indices!D67)/Indices!D67</f>
        <v>1.0830904049087556E-2</v>
      </c>
      <c r="E64" s="6">
        <f>(Indices!E68-Indices!E67)/Indices!E67</f>
        <v>1.2942679427841448E-2</v>
      </c>
      <c r="F64" s="6">
        <f>(Indices!F68-Indices!F67)/Indices!F67</f>
        <v>9.5176403070645482E-3</v>
      </c>
      <c r="G64" s="6">
        <f>(Indices!G68-Indices!G67)/Indices!G67</f>
        <v>1.2551713886984995E-2</v>
      </c>
      <c r="H64" s="6">
        <f>(Indices!H68-Indices!H67)/Indices!H67</f>
        <v>1.2984954660206329E-2</v>
      </c>
      <c r="I64" s="6">
        <f>(Indices!I68-Indices!I67)/Indices!I67</f>
        <v>1.6523753872985786E-2</v>
      </c>
      <c r="J64" s="6">
        <f>(Indices!J68-Indices!J67)/Indices!J67</f>
        <v>6.1151537017840631E-3</v>
      </c>
      <c r="K64" s="6">
        <f>(Indices!K68-Indices!K67)/Indices!K67</f>
        <v>9.0999482799927565E-3</v>
      </c>
      <c r="L64" s="6">
        <f>(Indices!L68-Indices!L67)/Indices!L67</f>
        <v>8.7255957685222988E-3</v>
      </c>
      <c r="M64" s="10">
        <f>WEEKNUM(Rend_j[[#This Row],[Date]])-1</f>
        <v>12</v>
      </c>
      <c r="N64" s="7" t="str">
        <f>TEXT(Rend_j[[#This Row],[Date]],"ddd")</f>
        <v>Fri</v>
      </c>
      <c r="O64" s="7">
        <f>MONTH(Rend_j[[#This Row],[Date]])</f>
        <v>3</v>
      </c>
      <c r="P64" s="7">
        <f>YEAR(Rend_j[[#This Row],[Date]])</f>
        <v>2021</v>
      </c>
      <c r="Q64" s="7" t="str">
        <f>Rend_j[[#This Row],[Week]]&amp;","&amp;Rend_j[[#This Row],[Year]]</f>
        <v>12,2021</v>
      </c>
      <c r="R64" s="7" t="str">
        <f>Rend_j[[#This Row],[Month]]&amp;","&amp;Rend_j[[#This Row],[Year]]</f>
        <v>3,2021</v>
      </c>
    </row>
    <row r="65" spans="1:18" x14ac:dyDescent="0.25">
      <c r="A65" s="1">
        <v>44284</v>
      </c>
      <c r="B65" s="6">
        <f>(Indices!B69-Indices!B68)/Indices!B68</f>
        <v>1.0573549994792376E-3</v>
      </c>
      <c r="C65" s="6">
        <f>(Indices!C69-Indices!C68)/Indices!C68</f>
        <v>1.6622203981120505E-3</v>
      </c>
      <c r="D65" s="6">
        <f>(Indices!D69-Indices!D68)/Indices!D68</f>
        <v>7.6541575140890109E-3</v>
      </c>
      <c r="E65" s="6">
        <f>(Indices!E69-Indices!E68)/Indices!E68</f>
        <v>4.8701708924588265E-3</v>
      </c>
      <c r="F65" s="6">
        <f>(Indices!F69-Indices!F68)/Indices!F68</f>
        <v>6.2027197406340278E-3</v>
      </c>
      <c r="G65" s="6">
        <f>(Indices!G69-Indices!G68)/Indices!G68</f>
        <v>2.0796124581018882E-3</v>
      </c>
      <c r="H65" s="6">
        <f>(Indices!H69-Indices!H68)/Indices!H68</f>
        <v>1.6763522574876114E-3</v>
      </c>
      <c r="I65" s="6">
        <f>(Indices!I69-Indices!I68)/Indices!I68</f>
        <v>-4.3181931659768144E-3</v>
      </c>
      <c r="J65" s="6">
        <f>(Indices!J69-Indices!J68)/Indices!J68</f>
        <v>4.4582657885226078E-3</v>
      </c>
      <c r="K65" s="6">
        <f>(Indices!K69-Indices!K68)/Indices!K68</f>
        <v>1.5927482518192863E-3</v>
      </c>
      <c r="L65" s="6">
        <f>(Indices!L69-Indices!L68)/Indices!L68</f>
        <v>4.6633383819287789E-3</v>
      </c>
      <c r="M65" s="10">
        <f>WEEKNUM(Rend_j[[#This Row],[Date]])-1</f>
        <v>13</v>
      </c>
      <c r="N65" s="7" t="str">
        <f>TEXT(Rend_j[[#This Row],[Date]],"ddd")</f>
        <v>Mon</v>
      </c>
      <c r="O65" s="7">
        <f>MONTH(Rend_j[[#This Row],[Date]])</f>
        <v>3</v>
      </c>
      <c r="P65" s="7">
        <f>YEAR(Rend_j[[#This Row],[Date]])</f>
        <v>2021</v>
      </c>
      <c r="Q65" s="7" t="str">
        <f>Rend_j[[#This Row],[Week]]&amp;","&amp;Rend_j[[#This Row],[Year]]</f>
        <v>13,2021</v>
      </c>
      <c r="R65" s="7" t="str">
        <f>Rend_j[[#This Row],[Month]]&amp;","&amp;Rend_j[[#This Row],[Year]]</f>
        <v>3,2021</v>
      </c>
    </row>
    <row r="66" spans="1:18" x14ac:dyDescent="0.25">
      <c r="A66" s="1">
        <v>44285</v>
      </c>
      <c r="B66" s="6">
        <f>(Indices!B70-Indices!B69)/Indices!B69</f>
        <v>1.2652654964097522E-2</v>
      </c>
      <c r="C66" s="6">
        <f>(Indices!C70-Indices!C69)/Indices!C69</f>
        <v>7.7441560304026939E-4</v>
      </c>
      <c r="D66" s="6">
        <f>(Indices!D70-Indices!D69)/Indices!D69</f>
        <v>8.5652688095385811E-3</v>
      </c>
      <c r="E66" s="6">
        <f>(Indices!E70-Indices!E69)/Indices!E69</f>
        <v>1.0253233140461324E-2</v>
      </c>
      <c r="F66" s="6">
        <f>(Indices!F70-Indices!F69)/Indices!F69</f>
        <v>-8.5754561829429927E-3</v>
      </c>
      <c r="G66" s="6">
        <f>(Indices!G70-Indices!G69)/Indices!G69</f>
        <v>2.002050881390769E-3</v>
      </c>
      <c r="H66" s="6">
        <f>(Indices!H70-Indices!H69)/Indices!H69</f>
        <v>4.1838670088140137E-3</v>
      </c>
      <c r="I66" s="6">
        <f>(Indices!I70-Indices!I69)/Indices!I69</f>
        <v>-7.7339419002721971E-4</v>
      </c>
      <c r="J66" s="6">
        <f>(Indices!J70-Indices!J69)/Indices!J69</f>
        <v>1.2057211412064443E-2</v>
      </c>
      <c r="K66" s="6">
        <f>(Indices!K70-Indices!K69)/Indices!K69</f>
        <v>7.1093031188221613E-3</v>
      </c>
      <c r="L66" s="6">
        <f>(Indices!L70-Indices!L69)/Indices!L69</f>
        <v>1.2882590808727635E-2</v>
      </c>
      <c r="M66" s="10">
        <f>WEEKNUM(Rend_j[[#This Row],[Date]])-1</f>
        <v>13</v>
      </c>
      <c r="N66" s="7" t="str">
        <f>TEXT(Rend_j[[#This Row],[Date]],"ddd")</f>
        <v>Tue</v>
      </c>
      <c r="O66" s="7">
        <f>MONTH(Rend_j[[#This Row],[Date]])</f>
        <v>3</v>
      </c>
      <c r="P66" s="7">
        <f>YEAR(Rend_j[[#This Row],[Date]])</f>
        <v>2021</v>
      </c>
      <c r="Q66" s="7" t="str">
        <f>Rend_j[[#This Row],[Week]]&amp;","&amp;Rend_j[[#This Row],[Year]]</f>
        <v>13,2021</v>
      </c>
      <c r="R66" s="7" t="str">
        <f>Rend_j[[#This Row],[Month]]&amp;","&amp;Rend_j[[#This Row],[Year]]</f>
        <v>3,2021</v>
      </c>
    </row>
    <row r="67" spans="1:18" x14ac:dyDescent="0.25">
      <c r="A67" s="1">
        <v>44286</v>
      </c>
      <c r="B67" s="6">
        <f>(Indices!B71-Indices!B70)/Indices!B70</f>
        <v>-7.2815533980583455E-3</v>
      </c>
      <c r="C67" s="6">
        <f>(Indices!C71-Indices!C70)/Indices!C70</f>
        <v>1.7605345474200541E-4</v>
      </c>
      <c r="D67" s="6">
        <f>(Indices!D71-Indices!D70)/Indices!D70</f>
        <v>-3.6275158810349767E-3</v>
      </c>
      <c r="E67" s="6">
        <f>(Indices!E71-Indices!E70)/Indices!E70</f>
        <v>-4.4918851887723547E-3</v>
      </c>
      <c r="F67" s="6">
        <f>(Indices!F71-Indices!F70)/Indices!F70</f>
        <v>-1.5104410578165424E-2</v>
      </c>
      <c r="G67" s="6">
        <f>(Indices!G71-Indices!G70)/Indices!G70</f>
        <v>-4.3453541260558528E-4</v>
      </c>
      <c r="H67" s="6">
        <f>(Indices!H71-Indices!H70)/Indices!H70</f>
        <v>-5.1886006332981368E-3</v>
      </c>
      <c r="I67" s="6">
        <f>(Indices!I71-Indices!I70)/Indices!I70</f>
        <v>5.0663461648997833E-3</v>
      </c>
      <c r="J67" s="6">
        <f>(Indices!J71-Indices!J70)/Indices!J70</f>
        <v>-3.4181869479653669E-3</v>
      </c>
      <c r="K67" s="6">
        <f>(Indices!K71-Indices!K70)/Indices!K70</f>
        <v>-2.4381470210817764E-3</v>
      </c>
      <c r="L67" s="6">
        <f>(Indices!L71-Indices!L70)/Indices!L70</f>
        <v>-1.8023654002069938E-5</v>
      </c>
      <c r="M67" s="10">
        <f>WEEKNUM(Rend_j[[#This Row],[Date]])-1</f>
        <v>13</v>
      </c>
      <c r="N67" s="7" t="str">
        <f>TEXT(Rend_j[[#This Row],[Date]],"ddd")</f>
        <v>Wed</v>
      </c>
      <c r="O67" s="7">
        <f>MONTH(Rend_j[[#This Row],[Date]])</f>
        <v>3</v>
      </c>
      <c r="P67" s="7">
        <f>YEAR(Rend_j[[#This Row],[Date]])</f>
        <v>2021</v>
      </c>
      <c r="Q67" s="7" t="str">
        <f>Rend_j[[#This Row],[Week]]&amp;","&amp;Rend_j[[#This Row],[Year]]</f>
        <v>13,2021</v>
      </c>
      <c r="R67" s="7" t="str">
        <f>Rend_j[[#This Row],[Month]]&amp;","&amp;Rend_j[[#This Row],[Year]]</f>
        <v>3,2021</v>
      </c>
    </row>
    <row r="68" spans="1:18" x14ac:dyDescent="0.25">
      <c r="A68" s="1">
        <v>44287</v>
      </c>
      <c r="B68" s="6">
        <f>(Indices!B72-Indices!B71)/Indices!B71</f>
        <v>1.9388888731127471E-2</v>
      </c>
      <c r="C68" s="6">
        <f>(Indices!C72-Indices!C71)/Indices!C71</f>
        <v>9.4888389476312021E-3</v>
      </c>
      <c r="D68" s="6">
        <f>(Indices!D72-Indices!D71)/Indices!D71</f>
        <v>7.1584275358581567E-3</v>
      </c>
      <c r="E68" s="6">
        <f>(Indices!E72-Indices!E71)/Indices!E71</f>
        <v>1.3643296667825983E-2</v>
      </c>
      <c r="F68" s="6">
        <f>(Indices!F72-Indices!F71)/Indices!F71</f>
        <v>1.3405440087993561E-3</v>
      </c>
      <c r="G68" s="6">
        <f>(Indices!G72-Indices!G71)/Indices!G71</f>
        <v>1.0031162014033038E-2</v>
      </c>
      <c r="H68" s="6">
        <f>(Indices!H72-Indices!H71)/Indices!H71</f>
        <v>3.9424601845027656E-3</v>
      </c>
      <c r="I68" s="6">
        <f>(Indices!I72-Indices!I71)/Indices!I71</f>
        <v>1.2796589205117864E-2</v>
      </c>
      <c r="J68" s="6">
        <f>(Indices!J72-Indices!J71)/Indices!J71</f>
        <v>5.8890104904181489E-3</v>
      </c>
      <c r="K68" s="6">
        <f>(Indices!K72-Indices!K71)/Indices!K71</f>
        <v>6.0986847379141266E-3</v>
      </c>
      <c r="L68" s="6">
        <f>(Indices!L72-Indices!L71)/Indices!L71</f>
        <v>6.5850108042329429E-3</v>
      </c>
      <c r="M68" s="10">
        <f>WEEKNUM(Rend_j[[#This Row],[Date]])-1</f>
        <v>13</v>
      </c>
      <c r="N68" s="7" t="str">
        <f>TEXT(Rend_j[[#This Row],[Date]],"ddd")</f>
        <v>Thu</v>
      </c>
      <c r="O68" s="7">
        <f>MONTH(Rend_j[[#This Row],[Date]])</f>
        <v>4</v>
      </c>
      <c r="P68" s="7">
        <f>YEAR(Rend_j[[#This Row],[Date]])</f>
        <v>2021</v>
      </c>
      <c r="Q68" s="7" t="str">
        <f>Rend_j[[#This Row],[Week]]&amp;","&amp;Rend_j[[#This Row],[Year]]</f>
        <v>13,2021</v>
      </c>
      <c r="R68" s="7" t="str">
        <f>Rend_j[[#This Row],[Month]]&amp;","&amp;Rend_j[[#This Row],[Year]]</f>
        <v>4,2021</v>
      </c>
    </row>
    <row r="69" spans="1:18" x14ac:dyDescent="0.25">
      <c r="A69" s="1">
        <v>44288</v>
      </c>
      <c r="B69" s="6">
        <f>(Indices!B73-Indices!B72)/Indices!B72</f>
        <v>4.6682066404171232E-3</v>
      </c>
      <c r="C69" s="6">
        <f>(Indices!C73-Indices!C72)/Indices!C72</f>
        <v>6.0015003750936164E-4</v>
      </c>
      <c r="D69" s="6">
        <f>(Indices!D73-Indices!D72)/Indices!D72</f>
        <v>2.800056950310863E-3</v>
      </c>
      <c r="E69" s="6">
        <f>(Indices!E73-Indices!E72)/Indices!E72</f>
        <v>2.2380445142120096E-3</v>
      </c>
      <c r="F69" s="6">
        <f>(Indices!F73-Indices!F72)/Indices!F72</f>
        <v>8.0324961382229904E-3</v>
      </c>
      <c r="G69" s="6">
        <f>(Indices!G73-Indices!G72)/Indices!G72</f>
        <v>8.1254374461990728E-4</v>
      </c>
      <c r="H69" s="6">
        <f>(Indices!H73-Indices!H72)/Indices!H72</f>
        <v>0</v>
      </c>
      <c r="I69" s="6">
        <f>(Indices!I73-Indices!I72)/Indices!I72</f>
        <v>0</v>
      </c>
      <c r="J69" s="6">
        <f>(Indices!J73-Indices!J72)/Indices!J72</f>
        <v>0</v>
      </c>
      <c r="K69" s="6">
        <f>(Indices!K73-Indices!K72)/Indices!K72</f>
        <v>0</v>
      </c>
      <c r="L69" s="6">
        <f>(Indices!L73-Indices!L72)/Indices!L72</f>
        <v>0</v>
      </c>
      <c r="M69" s="10">
        <f>WEEKNUM(Rend_j[[#This Row],[Date]])-1</f>
        <v>13</v>
      </c>
      <c r="N69" s="7" t="str">
        <f>TEXT(Rend_j[[#This Row],[Date]],"ddd")</f>
        <v>Fri</v>
      </c>
      <c r="O69" s="7">
        <f>MONTH(Rend_j[[#This Row],[Date]])</f>
        <v>4</v>
      </c>
      <c r="P69" s="7">
        <f>YEAR(Rend_j[[#This Row],[Date]])</f>
        <v>2021</v>
      </c>
      <c r="Q69" s="7" t="str">
        <f>Rend_j[[#This Row],[Week]]&amp;","&amp;Rend_j[[#This Row],[Year]]</f>
        <v>13,2021</v>
      </c>
      <c r="R69" s="7" t="str">
        <f>Rend_j[[#This Row],[Month]]&amp;","&amp;Rend_j[[#This Row],[Year]]</f>
        <v>4,2021</v>
      </c>
    </row>
    <row r="70" spans="1:18" x14ac:dyDescent="0.25">
      <c r="A70" s="1">
        <v>44291</v>
      </c>
      <c r="B70" s="6">
        <f>(Indices!B74-Indices!B73)/Indices!B73</f>
        <v>-4.2866741859586667E-3</v>
      </c>
      <c r="C70" s="6">
        <f>(Indices!C74-Indices!C73)/Indices!C73</f>
        <v>7.6797445218498269E-3</v>
      </c>
      <c r="D70" s="6">
        <f>(Indices!D74-Indices!D73)/Indices!D73</f>
        <v>-1.7415996213913205E-3</v>
      </c>
      <c r="E70" s="6">
        <f>(Indices!E74-Indices!E73)/Indices!E73</f>
        <v>-2.801377418481505E-3</v>
      </c>
      <c r="F70" s="6">
        <f>(Indices!F74-Indices!F73)/Indices!F73</f>
        <v>6.8731057811276938E-3</v>
      </c>
      <c r="G70" s="6">
        <f>(Indices!G74-Indices!G73)/Indices!G73</f>
        <v>6.3101879391006298E-3</v>
      </c>
      <c r="H70" s="6">
        <f>(Indices!H74-Indices!H73)/Indices!H73</f>
        <v>2.0135497435783047E-3</v>
      </c>
      <c r="I70" s="6">
        <f>(Indices!I74-Indices!I73)/Indices!I73</f>
        <v>1.2475947965741731E-2</v>
      </c>
      <c r="J70" s="6">
        <f>(Indices!J74-Indices!J73)/Indices!J73</f>
        <v>0</v>
      </c>
      <c r="K70" s="6">
        <f>(Indices!K74-Indices!K73)/Indices!K73</f>
        <v>0</v>
      </c>
      <c r="L70" s="6">
        <f>(Indices!L74-Indices!L73)/Indices!L73</f>
        <v>0</v>
      </c>
      <c r="M70" s="10">
        <f>WEEKNUM(Rend_j[[#This Row],[Date]])-1</f>
        <v>14</v>
      </c>
      <c r="N70" s="7" t="str">
        <f>TEXT(Rend_j[[#This Row],[Date]],"ddd")</f>
        <v>Mon</v>
      </c>
      <c r="O70" s="7">
        <f>MONTH(Rend_j[[#This Row],[Date]])</f>
        <v>4</v>
      </c>
      <c r="P70" s="68">
        <f>YEAR(Rend_j[[#This Row],[Date]])</f>
        <v>2021</v>
      </c>
      <c r="Q70" s="7" t="str">
        <f>Rend_j[[#This Row],[Week]]&amp;","&amp;Rend_j[[#This Row],[Year]]</f>
        <v>14,2021</v>
      </c>
      <c r="R70" s="7" t="str">
        <f>Rend_j[[#This Row],[Month]]&amp;","&amp;Rend_j[[#This Row],[Year]]</f>
        <v>4,2021</v>
      </c>
    </row>
    <row r="71" spans="1:18" x14ac:dyDescent="0.25">
      <c r="A71" s="1">
        <v>44292</v>
      </c>
      <c r="B71" s="6">
        <f>(Indices!B75-Indices!B74)/Indices!B74</f>
        <v>1.1438882733351868E-3</v>
      </c>
      <c r="C71" s="6">
        <f>(Indices!C75-Indices!C74)/Indices!C74</f>
        <v>-2.2883755348926532E-3</v>
      </c>
      <c r="D71" s="6">
        <f>(Indices!D75-Indices!D74)/Indices!D74</f>
        <v>2.0011437959052861E-3</v>
      </c>
      <c r="E71" s="6">
        <f>(Indices!E75-Indices!E74)/Indices!E74</f>
        <v>2.623011144992568E-3</v>
      </c>
      <c r="F71" s="6">
        <f>(Indices!F75-Indices!F74)/Indices!F74</f>
        <v>-1.4999577238522034E-2</v>
      </c>
      <c r="G71" s="6">
        <f>(Indices!G75-Indices!G74)/Indices!G74</f>
        <v>-1.6535263246183201E-3</v>
      </c>
      <c r="H71" s="6">
        <f>(Indices!H75-Indices!H74)/Indices!H74</f>
        <v>6.8389732658317749E-3</v>
      </c>
      <c r="I71" s="6">
        <f>(Indices!I75-Indices!I74)/Indices!I74</f>
        <v>1.9051459428714285E-5</v>
      </c>
      <c r="J71" s="6">
        <f>(Indices!J75-Indices!J74)/Indices!J74</f>
        <v>4.6501833833676887E-3</v>
      </c>
      <c r="K71" s="6">
        <f>(Indices!K75-Indices!K74)/Indices!K74</f>
        <v>7.033475991315815E-3</v>
      </c>
      <c r="L71" s="6">
        <f>(Indices!L75-Indices!L74)/Indices!L74</f>
        <v>6.9840857393361844E-3</v>
      </c>
      <c r="M71" s="10">
        <f>WEEKNUM(Rend_j[[#This Row],[Date]])-1</f>
        <v>14</v>
      </c>
      <c r="N71" s="7" t="str">
        <f>TEXT(Rend_j[[#This Row],[Date]],"ddd")</f>
        <v>Tue</v>
      </c>
      <c r="O71" s="7">
        <f>MONTH(Rend_j[[#This Row],[Date]])</f>
        <v>4</v>
      </c>
      <c r="P71" s="7">
        <f>YEAR(Rend_j[[#This Row],[Date]])</f>
        <v>2021</v>
      </c>
      <c r="Q71" s="7" t="str">
        <f>Rend_j[[#This Row],[Week]]&amp;","&amp;Rend_j[[#This Row],[Year]]</f>
        <v>14,2021</v>
      </c>
      <c r="R71" s="7" t="str">
        <f>Rend_j[[#This Row],[Month]]&amp;","&amp;Rend_j[[#This Row],[Year]]</f>
        <v>4,2021</v>
      </c>
    </row>
    <row r="72" spans="1:18" x14ac:dyDescent="0.25">
      <c r="A72" s="1">
        <v>44293</v>
      </c>
      <c r="B72" s="6">
        <f>(Indices!B76-Indices!B75)/Indices!B75</f>
        <v>-1.9549358769906353E-2</v>
      </c>
      <c r="C72" s="6">
        <f>(Indices!C76-Indices!C75)/Indices!C75</f>
        <v>-3.4666376436538909E-3</v>
      </c>
      <c r="D72" s="6">
        <f>(Indices!D76-Indices!D75)/Indices!D75</f>
        <v>-3.6083121167569706E-3</v>
      </c>
      <c r="E72" s="6">
        <f>(Indices!E76-Indices!E75)/Indices!E75</f>
        <v>-1.1187449646405799E-2</v>
      </c>
      <c r="F72" s="6">
        <f>(Indices!F76-Indices!F75)/Indices!F75</f>
        <v>1.1216408002563633E-3</v>
      </c>
      <c r="G72" s="6">
        <f>(Indices!G76-Indices!G75)/Indices!G75</f>
        <v>-4.4727156345015003E-3</v>
      </c>
      <c r="H72" s="6">
        <f>(Indices!H76-Indices!H75)/Indices!H75</f>
        <v>-1.4665666901904945E-3</v>
      </c>
      <c r="I72" s="6">
        <f>(Indices!I76-Indices!I75)/Indices!I75</f>
        <v>-3.1742661631975136E-4</v>
      </c>
      <c r="J72" s="6">
        <f>(Indices!J76-Indices!J75)/Indices!J75</f>
        <v>-1.1085472625780116E-4</v>
      </c>
      <c r="K72" s="6">
        <f>(Indices!K76-Indices!K75)/Indices!K75</f>
        <v>-2.1596355704721114E-3</v>
      </c>
      <c r="L72" s="6">
        <f>(Indices!L76-Indices!L75)/Indices!L75</f>
        <v>-2.3874386853668123E-3</v>
      </c>
      <c r="M72" s="10">
        <f>WEEKNUM(Rend_j[[#This Row],[Date]])-1</f>
        <v>14</v>
      </c>
      <c r="N72" s="7" t="str">
        <f>TEXT(Rend_j[[#This Row],[Date]],"ddd")</f>
        <v>Wed</v>
      </c>
      <c r="O72" s="7">
        <f>MONTH(Rend_j[[#This Row],[Date]])</f>
        <v>4</v>
      </c>
      <c r="P72" s="7">
        <f>YEAR(Rend_j[[#This Row],[Date]])</f>
        <v>2021</v>
      </c>
      <c r="Q72" s="7" t="str">
        <f>Rend_j[[#This Row],[Week]]&amp;","&amp;Rend_j[[#This Row],[Year]]</f>
        <v>14,2021</v>
      </c>
      <c r="R72" s="7" t="str">
        <f>Rend_j[[#This Row],[Month]]&amp;","&amp;Rend_j[[#This Row],[Year]]</f>
        <v>4,2021</v>
      </c>
    </row>
    <row r="73" spans="1:18" x14ac:dyDescent="0.25">
      <c r="A73" s="1">
        <v>44294</v>
      </c>
      <c r="B73" s="6">
        <f>(Indices!B77-Indices!B76)/Indices!B76</f>
        <v>4.3935177173377834E-3</v>
      </c>
      <c r="C73" s="6">
        <f>(Indices!C77-Indices!C76)/Indices!C76</f>
        <v>5.2746754901524641E-3</v>
      </c>
      <c r="D73" s="6">
        <f>(Indices!D77-Indices!D76)/Indices!D76</f>
        <v>2.8998524956526119E-3</v>
      </c>
      <c r="E73" s="6">
        <f>(Indices!E77-Indices!E76)/Indices!E76</f>
        <v>3.6891098834195908E-3</v>
      </c>
      <c r="F73" s="6">
        <f>(Indices!F77-Indices!F76)/Indices!F76</f>
        <v>-2.0178346861781677E-3</v>
      </c>
      <c r="G73" s="6">
        <f>(Indices!G77-Indices!G76)/Indices!G76</f>
        <v>5.0674725327717815E-3</v>
      </c>
      <c r="H73" s="6">
        <f>(Indices!H77-Indices!H76)/Indices!H76</f>
        <v>4.715366351940726E-3</v>
      </c>
      <c r="I73" s="6">
        <f>(Indices!I77-Indices!I76)/Indices!I76</f>
        <v>5.3023853590992206E-3</v>
      </c>
      <c r="J73" s="6">
        <f>(Indices!J77-Indices!J76)/Indices!J76</f>
        <v>5.7188064756268581E-3</v>
      </c>
      <c r="K73" s="6">
        <f>(Indices!K77-Indices!K76)/Indices!K76</f>
        <v>5.848171760597755E-3</v>
      </c>
      <c r="L73" s="6">
        <f>(Indices!L77-Indices!L76)/Indices!L76</f>
        <v>1.734232674568775E-3</v>
      </c>
      <c r="M73" s="10">
        <f>WEEKNUM(Rend_j[[#This Row],[Date]])-1</f>
        <v>14</v>
      </c>
      <c r="N73" s="7" t="str">
        <f>TEXT(Rend_j[[#This Row],[Date]],"ddd")</f>
        <v>Thu</v>
      </c>
      <c r="O73" s="7">
        <f>MONTH(Rend_j[[#This Row],[Date]])</f>
        <v>4</v>
      </c>
      <c r="P73" s="7">
        <f>YEAR(Rend_j[[#This Row],[Date]])</f>
        <v>2021</v>
      </c>
      <c r="Q73" s="7" t="str">
        <f>Rend_j[[#This Row],[Week]]&amp;","&amp;Rend_j[[#This Row],[Year]]</f>
        <v>14,2021</v>
      </c>
      <c r="R73" s="7" t="str">
        <f>Rend_j[[#This Row],[Month]]&amp;","&amp;Rend_j[[#This Row],[Year]]</f>
        <v>4,2021</v>
      </c>
    </row>
    <row r="74" spans="1:18" x14ac:dyDescent="0.25">
      <c r="A74" s="1">
        <v>44295</v>
      </c>
      <c r="B74" s="6">
        <f>(Indices!B78-Indices!B77)/Indices!B77</f>
        <v>-1.4110237485716378E-2</v>
      </c>
      <c r="C74" s="6">
        <f>(Indices!C78-Indices!C77)/Indices!C77</f>
        <v>5.6775429235925903E-3</v>
      </c>
      <c r="D74" s="6">
        <f>(Indices!D78-Indices!D77)/Indices!D77</f>
        <v>-6.3398973445496108E-3</v>
      </c>
      <c r="E74" s="6">
        <f>(Indices!E78-Indices!E77)/Indices!E77</f>
        <v>-9.0062258862474171E-3</v>
      </c>
      <c r="F74" s="6">
        <f>(Indices!F78-Indices!F77)/Indices!F77</f>
        <v>1.6152405391009108E-3</v>
      </c>
      <c r="G74" s="6">
        <f>(Indices!G78-Indices!G77)/Indices!G77</f>
        <v>3.7824416340467644E-3</v>
      </c>
      <c r="H74" s="6">
        <f>(Indices!H78-Indices!H77)/Indices!H77</f>
        <v>-3.3413202611505799E-3</v>
      </c>
      <c r="I74" s="6">
        <f>(Indices!I78-Indices!I77)/Indices!I77</f>
        <v>6.7321379472148968E-3</v>
      </c>
      <c r="J74" s="6">
        <f>(Indices!J78-Indices!J77)/Indices!J77</f>
        <v>5.9846066174438551E-4</v>
      </c>
      <c r="K74" s="6">
        <f>(Indices!K78-Indices!K77)/Indices!K77</f>
        <v>8.4701280205371919E-4</v>
      </c>
      <c r="L74" s="6">
        <f>(Indices!L78-Indices!L77)/Indices!L77</f>
        <v>2.0707184944971108E-3</v>
      </c>
      <c r="M74" s="10">
        <f>WEEKNUM(Rend_j[[#This Row],[Date]])-1</f>
        <v>14</v>
      </c>
      <c r="N74" s="7" t="str">
        <f>TEXT(Rend_j[[#This Row],[Date]],"ddd")</f>
        <v>Fri</v>
      </c>
      <c r="O74" s="7">
        <f>MONTH(Rend_j[[#This Row],[Date]])</f>
        <v>4</v>
      </c>
      <c r="P74" s="7">
        <f>YEAR(Rend_j[[#This Row],[Date]])</f>
        <v>2021</v>
      </c>
      <c r="Q74" s="7" t="str">
        <f>Rend_j[[#This Row],[Week]]&amp;","&amp;Rend_j[[#This Row],[Year]]</f>
        <v>14,2021</v>
      </c>
      <c r="R74" s="7" t="str">
        <f>Rend_j[[#This Row],[Month]]&amp;","&amp;Rend_j[[#This Row],[Year]]</f>
        <v>4,2021</v>
      </c>
    </row>
    <row r="75" spans="1:18" x14ac:dyDescent="0.25">
      <c r="A75" s="1">
        <v>44298</v>
      </c>
      <c r="B75" s="6">
        <f>(Indices!B79-Indices!B78)/Indices!B78</f>
        <v>-7.3992982062971984E-3</v>
      </c>
      <c r="C75" s="6">
        <f>(Indices!C79-Indices!C78)/Indices!C78</f>
        <v>-2.4886570054493814E-3</v>
      </c>
      <c r="D75" s="6">
        <f>(Indices!D79-Indices!D78)/Indices!D78</f>
        <v>-1.0793248733510624E-2</v>
      </c>
      <c r="E75" s="6">
        <f>(Indices!E79-Indices!E78)/Indices!E78</f>
        <v>-7.5521585885039719E-3</v>
      </c>
      <c r="F75" s="6">
        <f>(Indices!F79-Indices!F78)/Indices!F78</f>
        <v>-3.4597327142031451E-3</v>
      </c>
      <c r="G75" s="6">
        <f>(Indices!G79-Indices!G78)/Indices!G78</f>
        <v>-3.130862899274649E-3</v>
      </c>
      <c r="H75" s="6">
        <f>(Indices!H79-Indices!H78)/Indices!H78</f>
        <v>-3.9039237742340945E-3</v>
      </c>
      <c r="I75" s="6">
        <f>(Indices!I79-Indices!I78)/Indices!I78</f>
        <v>-1.4909216605513533E-4</v>
      </c>
      <c r="J75" s="6">
        <f>(Indices!J79-Indices!J78)/Indices!J78</f>
        <v>-1.2529528438763877E-3</v>
      </c>
      <c r="K75" s="6">
        <f>(Indices!K79-Indices!K78)/Indices!K78</f>
        <v>-4.5514281955362232E-3</v>
      </c>
      <c r="L75" s="6">
        <f>(Indices!L79-Indices!L78)/Indices!L78</f>
        <v>-1.2577102904765215E-3</v>
      </c>
      <c r="M75" s="10">
        <f>WEEKNUM(Rend_j[[#This Row],[Date]])-1</f>
        <v>15</v>
      </c>
      <c r="N75" s="7" t="str">
        <f>TEXT(Rend_j[[#This Row],[Date]],"ddd")</f>
        <v>Mon</v>
      </c>
      <c r="O75" s="7">
        <f>MONTH(Rend_j[[#This Row],[Date]])</f>
        <v>4</v>
      </c>
      <c r="P75" s="7">
        <f>YEAR(Rend_j[[#This Row],[Date]])</f>
        <v>2021</v>
      </c>
      <c r="Q75" s="7" t="str">
        <f>Rend_j[[#This Row],[Week]]&amp;","&amp;Rend_j[[#This Row],[Year]]</f>
        <v>15,2021</v>
      </c>
      <c r="R75" s="7" t="str">
        <f>Rend_j[[#This Row],[Month]]&amp;","&amp;Rend_j[[#This Row],[Year]]</f>
        <v>4,2021</v>
      </c>
    </row>
    <row r="76" spans="1:18" x14ac:dyDescent="0.25">
      <c r="A76" s="1">
        <v>44299</v>
      </c>
      <c r="B76" s="6">
        <f>(Indices!B80-Indices!B79)/Indices!B79</f>
        <v>-3.5338431466245793E-3</v>
      </c>
      <c r="C76" s="6">
        <f>(Indices!C80-Indices!C79)/Indices!C79</f>
        <v>2.2461814914645196E-3</v>
      </c>
      <c r="D76" s="6">
        <f>(Indices!D80-Indices!D79)/Indices!D79</f>
        <v>2.2396518778825094E-3</v>
      </c>
      <c r="E76" s="6">
        <f>(Indices!E80-Indices!E79)/Indices!E79</f>
        <v>-2.7971514909737777E-4</v>
      </c>
      <c r="F76" s="6">
        <f>(Indices!F80-Indices!F79)/Indices!F79</f>
        <v>2.4962126428866678E-3</v>
      </c>
      <c r="G76" s="6">
        <f>(Indices!G80-Indices!G79)/Indices!G79</f>
        <v>1.9259738754829892E-3</v>
      </c>
      <c r="H76" s="6">
        <f>(Indices!H80-Indices!H79)/Indices!H79</f>
        <v>-3.3988751605332156E-3</v>
      </c>
      <c r="I76" s="6">
        <f>(Indices!I80-Indices!I79)/Indices!I79</f>
        <v>3.6001017691604902E-3</v>
      </c>
      <c r="J76" s="6">
        <f>(Indices!J80-Indices!J79)/Indices!J79</f>
        <v>3.6386052764190145E-3</v>
      </c>
      <c r="K76" s="6">
        <f>(Indices!K80-Indices!K79)/Indices!K79</f>
        <v>1.1717903035518922E-3</v>
      </c>
      <c r="L76" s="6">
        <f>(Indices!L80-Indices!L79)/Indices!L79</f>
        <v>1.2724515280973273E-3</v>
      </c>
      <c r="M76" s="10">
        <f>WEEKNUM(Rend_j[[#This Row],[Date]])-1</f>
        <v>15</v>
      </c>
      <c r="N76" s="7" t="str">
        <f>TEXT(Rend_j[[#This Row],[Date]],"ddd")</f>
        <v>Tue</v>
      </c>
      <c r="O76" s="7">
        <f>MONTH(Rend_j[[#This Row],[Date]])</f>
        <v>4</v>
      </c>
      <c r="P76" s="7">
        <f>YEAR(Rend_j[[#This Row],[Date]])</f>
        <v>2021</v>
      </c>
      <c r="Q76" s="7" t="str">
        <f>Rend_j[[#This Row],[Week]]&amp;","&amp;Rend_j[[#This Row],[Year]]</f>
        <v>15,2021</v>
      </c>
      <c r="R76" s="7" t="str">
        <f>Rend_j[[#This Row],[Month]]&amp;","&amp;Rend_j[[#This Row],[Year]]</f>
        <v>4,2021</v>
      </c>
    </row>
    <row r="77" spans="1:18" x14ac:dyDescent="0.25">
      <c r="A77" s="1">
        <v>44300</v>
      </c>
      <c r="B77" s="6">
        <f>(Indices!B81-Indices!B80)/Indices!B80</f>
        <v>6.6624483926573785E-3</v>
      </c>
      <c r="C77" s="6">
        <f>(Indices!C81-Indices!C80)/Indices!C80</f>
        <v>-5.0986104885701513E-3</v>
      </c>
      <c r="D77" s="6">
        <f>(Indices!D81-Indices!D80)/Indices!D80</f>
        <v>6.2288825980591897E-3</v>
      </c>
      <c r="E77" s="6">
        <f>(Indices!E81-Indices!E80)/Indices!E80</f>
        <v>6.0063847939160328E-3</v>
      </c>
      <c r="F77" s="6">
        <f>(Indices!F81-Indices!F80)/Indices!F80</f>
        <v>-4.5277877950075573E-3</v>
      </c>
      <c r="G77" s="6">
        <f>(Indices!G81-Indices!G80)/Indices!G80</f>
        <v>-3.6929948752717546E-3</v>
      </c>
      <c r="H77" s="6">
        <f>(Indices!H81-Indices!H80)/Indices!H80</f>
        <v>7.3874934734550835E-3</v>
      </c>
      <c r="I77" s="6">
        <f>(Indices!I81-Indices!I80)/Indices!I80</f>
        <v>-3.2771752579986778E-3</v>
      </c>
      <c r="J77" s="6">
        <f>(Indices!J81-Indices!J80)/Indices!J80</f>
        <v>3.9585355366283832E-3</v>
      </c>
      <c r="K77" s="6">
        <f>(Indices!K81-Indices!K80)/Indices!K80</f>
        <v>1.8818290304072874E-3</v>
      </c>
      <c r="L77" s="6">
        <f>(Indices!L81-Indices!L80)/Indices!L80</f>
        <v>-1.6548092221016773E-3</v>
      </c>
      <c r="M77" s="10">
        <f>WEEKNUM(Rend_j[[#This Row],[Date]])-1</f>
        <v>15</v>
      </c>
      <c r="N77" s="7" t="str">
        <f>TEXT(Rend_j[[#This Row],[Date]],"ddd")</f>
        <v>Wed</v>
      </c>
      <c r="O77" s="7">
        <f>MONTH(Rend_j[[#This Row],[Date]])</f>
        <v>4</v>
      </c>
      <c r="P77" s="7">
        <f>YEAR(Rend_j[[#This Row],[Date]])</f>
        <v>2021</v>
      </c>
      <c r="Q77" s="7" t="str">
        <f>Rend_j[[#This Row],[Week]]&amp;","&amp;Rend_j[[#This Row],[Year]]</f>
        <v>15,2021</v>
      </c>
      <c r="R77" s="7" t="str">
        <f>Rend_j[[#This Row],[Month]]&amp;","&amp;Rend_j[[#This Row],[Year]]</f>
        <v>4,2021</v>
      </c>
    </row>
    <row r="78" spans="1:18" x14ac:dyDescent="0.25">
      <c r="A78" s="1">
        <v>44301</v>
      </c>
      <c r="B78" s="6">
        <f>(Indices!B82-Indices!B81)/Indices!B81</f>
        <v>-5.6560214360366363E-3</v>
      </c>
      <c r="C78" s="6">
        <f>(Indices!C82-Indices!C81)/Indices!C81</f>
        <v>9.4731252866072525E-3</v>
      </c>
      <c r="D78" s="6">
        <f>(Indices!D82-Indices!D81)/Indices!D81</f>
        <v>8.0043822987510369E-3</v>
      </c>
      <c r="E78" s="6">
        <f>(Indices!E82-Indices!E81)/Indices!E81</f>
        <v>3.1573788056674331E-3</v>
      </c>
      <c r="F78" s="6">
        <f>(Indices!F82-Indices!F81)/Indices!F81</f>
        <v>5.5834119189456704E-3</v>
      </c>
      <c r="G78" s="6">
        <f>(Indices!G82-Indices!G81)/Indices!G81</f>
        <v>8.6622714845548815E-3</v>
      </c>
      <c r="H78" s="6">
        <f>(Indices!H82-Indices!H81)/Indices!H81</f>
        <v>6.8591341170243254E-3</v>
      </c>
      <c r="I78" s="6">
        <f>(Indices!I82-Indices!I81)/Indices!I81</f>
        <v>1.0988820539815741E-2</v>
      </c>
      <c r="J78" s="6">
        <f>(Indices!J82-Indices!J81)/Indices!J81</f>
        <v>4.1168928609895857E-3</v>
      </c>
      <c r="K78" s="6">
        <f>(Indices!K82-Indices!K81)/Indices!K81</f>
        <v>4.535311561153603E-3</v>
      </c>
      <c r="L78" s="6">
        <f>(Indices!L82-Indices!L81)/Indices!L81</f>
        <v>3.0363096435920655E-3</v>
      </c>
      <c r="M78" s="10">
        <f>WEEKNUM(Rend_j[[#This Row],[Date]])-1</f>
        <v>15</v>
      </c>
      <c r="N78" s="7" t="str">
        <f>TEXT(Rend_j[[#This Row],[Date]],"ddd")</f>
        <v>Thu</v>
      </c>
      <c r="O78" s="7">
        <f>MONTH(Rend_j[[#This Row],[Date]])</f>
        <v>4</v>
      </c>
      <c r="P78" s="7">
        <f>YEAR(Rend_j[[#This Row],[Date]])</f>
        <v>2021</v>
      </c>
      <c r="Q78" s="7" t="str">
        <f>Rend_j[[#This Row],[Week]]&amp;","&amp;Rend_j[[#This Row],[Year]]</f>
        <v>15,2021</v>
      </c>
      <c r="R78" s="7" t="str">
        <f>Rend_j[[#This Row],[Month]]&amp;","&amp;Rend_j[[#This Row],[Year]]</f>
        <v>4,2021</v>
      </c>
    </row>
    <row r="79" spans="1:18" x14ac:dyDescent="0.25">
      <c r="A79" s="1">
        <v>44302</v>
      </c>
      <c r="B79" s="6">
        <f>(Indices!B83-Indices!B82)/Indices!B82</f>
        <v>7.2662650966551527E-3</v>
      </c>
      <c r="C79" s="6">
        <f>(Indices!C83-Indices!C82)/Indices!C82</f>
        <v>3.1479998246683326E-3</v>
      </c>
      <c r="D79" s="6">
        <f>(Indices!D83-Indices!D82)/Indices!D82</f>
        <v>2.854106618988478E-3</v>
      </c>
      <c r="E79" s="6">
        <f>(Indices!E83-Indices!E82)/Indices!E82</f>
        <v>4.8745568584673705E-3</v>
      </c>
      <c r="F79" s="6">
        <f>(Indices!F83-Indices!F82)/Indices!F82</f>
        <v>-5.6038746790629387E-4</v>
      </c>
      <c r="G79" s="6">
        <f>(Indices!G83-Indices!G82)/Indices!G82</f>
        <v>3.3692749114027118E-3</v>
      </c>
      <c r="H79" s="6">
        <f>(Indices!H83-Indices!H82)/Indices!H82</f>
        <v>6.1004994304740441E-3</v>
      </c>
      <c r="I79" s="6">
        <f>(Indices!I83-Indices!I82)/Indices!I82</f>
        <v>2.9272699040862045E-3</v>
      </c>
      <c r="J79" s="6">
        <f>(Indices!J83-Indices!J82)/Indices!J82</f>
        <v>8.490294705737993E-3</v>
      </c>
      <c r="K79" s="6">
        <f>(Indices!K83-Indices!K82)/Indices!K82</f>
        <v>8.9841571264619273E-3</v>
      </c>
      <c r="L79" s="6">
        <f>(Indices!L83-Indices!L82)/Indices!L82</f>
        <v>1.33999014723384E-2</v>
      </c>
      <c r="M79" s="10">
        <f>WEEKNUM(Rend_j[[#This Row],[Date]])-1</f>
        <v>15</v>
      </c>
      <c r="N79" s="7" t="str">
        <f>TEXT(Rend_j[[#This Row],[Date]],"ddd")</f>
        <v>Fri</v>
      </c>
      <c r="O79" s="7">
        <f>MONTH(Rend_j[[#This Row],[Date]])</f>
        <v>4</v>
      </c>
      <c r="P79" s="7">
        <f>YEAR(Rend_j[[#This Row],[Date]])</f>
        <v>2021</v>
      </c>
      <c r="Q79" s="7" t="str">
        <f>Rend_j[[#This Row],[Week]]&amp;","&amp;Rend_j[[#This Row],[Year]]</f>
        <v>15,2021</v>
      </c>
      <c r="R79" s="7" t="str">
        <f>Rend_j[[#This Row],[Month]]&amp;","&amp;Rend_j[[#This Row],[Year]]</f>
        <v>4,2021</v>
      </c>
    </row>
    <row r="80" spans="1:18" x14ac:dyDescent="0.25">
      <c r="A80" s="1">
        <v>44305</v>
      </c>
      <c r="B80" s="6">
        <f>(Indices!B84-Indices!B83)/Indices!B83</f>
        <v>8.3993966913789436E-3</v>
      </c>
      <c r="C80" s="6">
        <f>(Indices!C84-Indices!C83)/Indices!C83</f>
        <v>-6.4669126847617846E-3</v>
      </c>
      <c r="D80" s="6">
        <f>(Indices!D84-Indices!D83)/Indices!D83</f>
        <v>-6.5534225045105416E-3</v>
      </c>
      <c r="E80" s="6">
        <f>(Indices!E84-Indices!E83)/Indices!E83</f>
        <v>-3.4329522711083124E-3</v>
      </c>
      <c r="F80" s="6">
        <f>(Indices!F84-Indices!F83)/Indices!F83</f>
        <v>1.7393194912490605E-3</v>
      </c>
      <c r="G80" s="6">
        <f>(Indices!G84-Indices!G83)/Indices!G83</f>
        <v>-6.0791355524617381E-3</v>
      </c>
      <c r="H80" s="6">
        <f>(Indices!H84-Indices!H83)/Indices!H83</f>
        <v>6.7275557635992963E-3</v>
      </c>
      <c r="I80" s="6">
        <f>(Indices!I84-Indices!I83)/Indices!I83</f>
        <v>-6.3103747388681521E-3</v>
      </c>
      <c r="J80" s="6">
        <f>(Indices!J84-Indices!J83)/Indices!J83</f>
        <v>1.5301431778721537E-3</v>
      </c>
      <c r="K80" s="6">
        <f>(Indices!K84-Indices!K83)/Indices!K83</f>
        <v>-7.0057404010416828E-4</v>
      </c>
      <c r="L80" s="6">
        <f>(Indices!L84-Indices!L83)/Indices!L83</f>
        <v>-5.9095619269393645E-3</v>
      </c>
      <c r="M80" s="10">
        <f>WEEKNUM(Rend_j[[#This Row],[Date]])-1</f>
        <v>16</v>
      </c>
      <c r="N80" s="7" t="str">
        <f>TEXT(Rend_j[[#This Row],[Date]],"ddd")</f>
        <v>Mon</v>
      </c>
      <c r="O80" s="7">
        <f>MONTH(Rend_j[[#This Row],[Date]])</f>
        <v>4</v>
      </c>
      <c r="P80" s="7">
        <f>YEAR(Rend_j[[#This Row],[Date]])</f>
        <v>2021</v>
      </c>
      <c r="Q80" s="7" t="str">
        <f>Rend_j[[#This Row],[Week]]&amp;","&amp;Rend_j[[#This Row],[Year]]</f>
        <v>16,2021</v>
      </c>
      <c r="R80" s="7" t="str">
        <f>Rend_j[[#This Row],[Month]]&amp;","&amp;Rend_j[[#This Row],[Year]]</f>
        <v>4,2021</v>
      </c>
    </row>
    <row r="81" spans="1:18" x14ac:dyDescent="0.25">
      <c r="A81" s="1">
        <v>44306</v>
      </c>
      <c r="B81" s="6">
        <f>(Indices!B85-Indices!B84)/Indices!B84</f>
        <v>-4.557083517197383E-3</v>
      </c>
      <c r="C81" s="6">
        <f>(Indices!C85-Indices!C84)/Indices!C84</f>
        <v>-1.1986486216340558E-2</v>
      </c>
      <c r="D81" s="6">
        <f>(Indices!D85-Indices!D84)/Indices!D84</f>
        <v>-7.1669011826270201E-4</v>
      </c>
      <c r="E81" s="6">
        <f>(Indices!E85-Indices!E84)/Indices!E84</f>
        <v>-3.1066542309725288E-3</v>
      </c>
      <c r="F81" s="6">
        <f>(Indices!F85-Indices!F84)/Indices!F84</f>
        <v>-1.876802695833453E-2</v>
      </c>
      <c r="G81" s="6">
        <f>(Indices!G85-Indices!G84)/Indices!G84</f>
        <v>-1.0851787739509244E-2</v>
      </c>
      <c r="H81" s="6">
        <f>(Indices!H85-Indices!H84)/Indices!H84</f>
        <v>-2.4848884611641583E-2</v>
      </c>
      <c r="I81" s="6">
        <f>(Indices!I85-Indices!I84)/Indices!I84</f>
        <v>-8.2386173012525352E-3</v>
      </c>
      <c r="J81" s="6">
        <f>(Indices!J85-Indices!J84)/Indices!J84</f>
        <v>-2.0896705925320384E-2</v>
      </c>
      <c r="K81" s="6">
        <f>(Indices!K85-Indices!K84)/Indices!K84</f>
        <v>-1.8951569796600995E-2</v>
      </c>
      <c r="L81" s="6">
        <f>(Indices!L85-Indices!L84)/Indices!L84</f>
        <v>-1.5543585596165478E-2</v>
      </c>
      <c r="M81" s="10">
        <f>WEEKNUM(Rend_j[[#This Row],[Date]])-1</f>
        <v>16</v>
      </c>
      <c r="N81" s="7" t="str">
        <f>TEXT(Rend_j[[#This Row],[Date]],"ddd")</f>
        <v>Tue</v>
      </c>
      <c r="O81" s="7">
        <f>MONTH(Rend_j[[#This Row],[Date]])</f>
        <v>4</v>
      </c>
      <c r="P81" s="7">
        <f>YEAR(Rend_j[[#This Row],[Date]])</f>
        <v>2021</v>
      </c>
      <c r="Q81" s="7" t="str">
        <f>Rend_j[[#This Row],[Week]]&amp;","&amp;Rend_j[[#This Row],[Year]]</f>
        <v>16,2021</v>
      </c>
      <c r="R81" s="7" t="str">
        <f>Rend_j[[#This Row],[Month]]&amp;","&amp;Rend_j[[#This Row],[Year]]</f>
        <v>4,2021</v>
      </c>
    </row>
    <row r="82" spans="1:18" x14ac:dyDescent="0.25">
      <c r="A82" s="1">
        <v>44307</v>
      </c>
      <c r="B82" s="6">
        <f>(Indices!B86-Indices!B85)/Indices!B85</f>
        <v>-1.0354119801236066E-3</v>
      </c>
      <c r="C82" s="6">
        <f>(Indices!C86-Indices!C85)/Indices!C85</f>
        <v>7.571312374300471E-3</v>
      </c>
      <c r="D82" s="6">
        <f>(Indices!D86-Indices!D85)/Indices!D85</f>
        <v>-7.7178980382725335E-3</v>
      </c>
      <c r="E82" s="6">
        <f>(Indices!E86-Indices!E85)/Indices!E85</f>
        <v>-6.3214492212575217E-3</v>
      </c>
      <c r="F82" s="6">
        <f>(Indices!F86-Indices!F85)/Indices!F85</f>
        <v>-1.8376125588623976E-2</v>
      </c>
      <c r="G82" s="6">
        <f>(Indices!G86-Indices!G85)/Indices!G85</f>
        <v>5.7811142222650679E-3</v>
      </c>
      <c r="H82" s="6">
        <f>(Indices!H86-Indices!H85)/Indices!H85</f>
        <v>5.6885596744325881E-3</v>
      </c>
      <c r="I82" s="6">
        <f>(Indices!I86-Indices!I85)/Indices!I85</f>
        <v>1.0609571533218934E-2</v>
      </c>
      <c r="J82" s="6">
        <f>(Indices!J86-Indices!J85)/Indices!J85</f>
        <v>7.3704999602210615E-3</v>
      </c>
      <c r="K82" s="6">
        <f>(Indices!K86-Indices!K85)/Indices!K85</f>
        <v>6.5468581801805415E-3</v>
      </c>
      <c r="L82" s="6">
        <f>(Indices!L86-Indices!L85)/Indices!L85</f>
        <v>4.3927371745899032E-3</v>
      </c>
      <c r="M82" s="10">
        <f>WEEKNUM(Rend_j[[#This Row],[Date]])-1</f>
        <v>16</v>
      </c>
      <c r="N82" s="7" t="str">
        <f>TEXT(Rend_j[[#This Row],[Date]],"ddd")</f>
        <v>Wed</v>
      </c>
      <c r="O82" s="7">
        <f>MONTH(Rend_j[[#This Row],[Date]])</f>
        <v>4</v>
      </c>
      <c r="P82" s="7">
        <f>YEAR(Rend_j[[#This Row],[Date]])</f>
        <v>2021</v>
      </c>
      <c r="Q82" s="7" t="str">
        <f>Rend_j[[#This Row],[Week]]&amp;","&amp;Rend_j[[#This Row],[Year]]</f>
        <v>16,2021</v>
      </c>
      <c r="R82" s="7" t="str">
        <f>Rend_j[[#This Row],[Month]]&amp;","&amp;Rend_j[[#This Row],[Year]]</f>
        <v>4,2021</v>
      </c>
    </row>
    <row r="83" spans="1:18" x14ac:dyDescent="0.25">
      <c r="A83" s="1">
        <v>44308</v>
      </c>
      <c r="B83" s="6">
        <f>(Indices!B87-Indices!B86)/Indices!B86</f>
        <v>5.3326779962729678E-3</v>
      </c>
      <c r="C83" s="6">
        <f>(Indices!C87-Indices!C86)/Indices!C86</f>
        <v>-2.5945025463073989E-3</v>
      </c>
      <c r="D83" s="6">
        <f>(Indices!D87-Indices!D86)/Indices!D86</f>
        <v>1.6987786919782288E-3</v>
      </c>
      <c r="E83" s="6">
        <f>(Indices!E87-Indices!E86)/Indices!E86</f>
        <v>3.9127556291678293E-3</v>
      </c>
      <c r="F83" s="6">
        <f>(Indices!F87-Indices!F86)/Indices!F86</f>
        <v>2.1536746480710647E-2</v>
      </c>
      <c r="G83" s="6">
        <f>(Indices!G87-Indices!G86)/Indices!G86</f>
        <v>-1.7639647207055959E-3</v>
      </c>
      <c r="H83" s="6">
        <f>(Indices!H87-Indices!H86)/Indices!H86</f>
        <v>-9.9234789511989116E-5</v>
      </c>
      <c r="I83" s="6">
        <f>(Indices!I87-Indices!I86)/Indices!I86</f>
        <v>-7.9230285137203305E-3</v>
      </c>
      <c r="J83" s="6">
        <f>(Indices!J87-Indices!J86)/Indices!J86</f>
        <v>9.134453757109846E-3</v>
      </c>
      <c r="K83" s="6">
        <f>(Indices!K87-Indices!K86)/Indices!K86</f>
        <v>6.8477232898592165E-3</v>
      </c>
      <c r="L83" s="6">
        <f>(Indices!L87-Indices!L86)/Indices!L86</f>
        <v>8.1962390168566664E-3</v>
      </c>
      <c r="M83" s="10">
        <f>WEEKNUM(Rend_j[[#This Row],[Date]])-1</f>
        <v>16</v>
      </c>
      <c r="N83" s="7" t="str">
        <f>TEXT(Rend_j[[#This Row],[Date]],"ddd")</f>
        <v>Thu</v>
      </c>
      <c r="O83" s="7">
        <f>MONTH(Rend_j[[#This Row],[Date]])</f>
        <v>4</v>
      </c>
      <c r="P83" s="7">
        <f>YEAR(Rend_j[[#This Row],[Date]])</f>
        <v>2021</v>
      </c>
      <c r="Q83" s="7" t="str">
        <f>Rend_j[[#This Row],[Week]]&amp;","&amp;Rend_j[[#This Row],[Year]]</f>
        <v>16,2021</v>
      </c>
      <c r="R83" s="7" t="str">
        <f>Rend_j[[#This Row],[Month]]&amp;","&amp;Rend_j[[#This Row],[Year]]</f>
        <v>4,2021</v>
      </c>
    </row>
    <row r="84" spans="1:18" x14ac:dyDescent="0.25">
      <c r="A84" s="1">
        <v>44309</v>
      </c>
      <c r="B84" s="6">
        <f>(Indices!B88-Indices!B87)/Indices!B87</f>
        <v>1.0915925776517734E-2</v>
      </c>
      <c r="C84" s="6">
        <f>(Indices!C88-Indices!C87)/Indices!C87</f>
        <v>5.335384268468437E-3</v>
      </c>
      <c r="D84" s="6">
        <f>(Indices!D88-Indices!D87)/Indices!D87</f>
        <v>2.1964257361113929E-3</v>
      </c>
      <c r="E84" s="6">
        <f>(Indices!E88-Indices!E87)/Indices!E87</f>
        <v>6.3825077756150903E-3</v>
      </c>
      <c r="F84" s="6">
        <f>(Indices!F88-Indices!F87)/Indices!F87</f>
        <v>-6.9598430407375013E-3</v>
      </c>
      <c r="G84" s="6">
        <f>(Indices!G88-Indices!G87)/Indices!G87</f>
        <v>5.4695388757994307E-3</v>
      </c>
      <c r="H84" s="6">
        <f>(Indices!H88-Indices!H87)/Indices!H87</f>
        <v>-3.2640458730772066E-3</v>
      </c>
      <c r="I84" s="6">
        <f>(Indices!I88-Indices!I87)/Indices!I87</f>
        <v>1.2034315590323847E-2</v>
      </c>
      <c r="J84" s="6">
        <f>(Indices!J88-Indices!J87)/Indices!J87</f>
        <v>-1.4902548346978075E-3</v>
      </c>
      <c r="K84" s="6">
        <f>(Indices!K88-Indices!K87)/Indices!K87</f>
        <v>-1.3420285087228864E-3</v>
      </c>
      <c r="L84" s="6">
        <f>(Indices!L88-Indices!L87)/Indices!L87</f>
        <v>-2.6695837513807854E-3</v>
      </c>
      <c r="M84" s="10">
        <f>WEEKNUM(Rend_j[[#This Row],[Date]])-1</f>
        <v>16</v>
      </c>
      <c r="N84" s="7" t="str">
        <f>TEXT(Rend_j[[#This Row],[Date]],"ddd")</f>
        <v>Fri</v>
      </c>
      <c r="O84" s="7">
        <f>MONTH(Rend_j[[#This Row],[Date]])</f>
        <v>4</v>
      </c>
      <c r="P84" s="7">
        <f>YEAR(Rend_j[[#This Row],[Date]])</f>
        <v>2021</v>
      </c>
      <c r="Q84" s="7" t="str">
        <f>Rend_j[[#This Row],[Week]]&amp;","&amp;Rend_j[[#This Row],[Year]]</f>
        <v>16,2021</v>
      </c>
      <c r="R84" s="7" t="str">
        <f>Rend_j[[#This Row],[Month]]&amp;","&amp;Rend_j[[#This Row],[Year]]</f>
        <v>4,2021</v>
      </c>
    </row>
    <row r="85" spans="1:18" x14ac:dyDescent="0.25">
      <c r="A85" s="1">
        <v>44310</v>
      </c>
      <c r="B85" s="6">
        <f>(Indices!B89-Indices!B88)/Indices!B88</f>
        <v>-9.0014069984076621E-3</v>
      </c>
      <c r="C85" s="6">
        <f>(Indices!C89-Indices!C88)/Indices!C88</f>
        <v>6.6088029254964431E-4</v>
      </c>
      <c r="D85" s="6">
        <f>(Indices!D89-Indices!D88)/Indices!D88</f>
        <v>9.1542238512268993E-3</v>
      </c>
      <c r="E85" s="6">
        <f>(Indices!E89-Indices!E88)/Indices!E88</f>
        <v>2.8841836989202253E-3</v>
      </c>
      <c r="F85" s="6">
        <f>(Indices!F89-Indices!F88)/Indices!F88</f>
        <v>-9.0603536460617362E-4</v>
      </c>
      <c r="G85" s="6">
        <f>(Indices!G89-Indices!G88)/Indices!G88</f>
        <v>9.444902741412701E-4</v>
      </c>
      <c r="H85" s="6">
        <f>(Indices!H89-Indices!H88)/Indices!H88</f>
        <v>4.3810640675303499E-3</v>
      </c>
      <c r="I85" s="6">
        <f>(Indices!I89-Indices!I88)/Indices!I88</f>
        <v>3.3171074227088472E-3</v>
      </c>
      <c r="J85" s="6">
        <f>(Indices!J89-Indices!J88)/Indices!J88</f>
        <v>2.8092438031917344E-3</v>
      </c>
      <c r="K85" s="6">
        <f>(Indices!K89-Indices!K88)/Indices!K88</f>
        <v>2.6421350588119578E-3</v>
      </c>
      <c r="L85" s="6">
        <f>(Indices!L89-Indices!L88)/Indices!L88</f>
        <v>1.094249717512019E-3</v>
      </c>
      <c r="M85" s="10">
        <f>WEEKNUM(Rend_j[[#This Row],[Date]])-1</f>
        <v>16</v>
      </c>
      <c r="N85" s="7" t="str">
        <f>TEXT(Rend_j[[#This Row],[Date]],"ddd")</f>
        <v>Sat</v>
      </c>
      <c r="O85" s="7">
        <f>MONTH(Rend_j[[#This Row],[Date]])</f>
        <v>4</v>
      </c>
      <c r="P85" s="7">
        <f>YEAR(Rend_j[[#This Row],[Date]])</f>
        <v>2021</v>
      </c>
      <c r="Q85" s="7" t="str">
        <f>Rend_j[[#This Row],[Week]]&amp;","&amp;Rend_j[[#This Row],[Year]]</f>
        <v>16,2021</v>
      </c>
      <c r="R85" s="7" t="str">
        <f>Rend_j[[#This Row],[Month]]&amp;","&amp;Rend_j[[#This Row],[Year]]</f>
        <v>4,2021</v>
      </c>
    </row>
    <row r="86" spans="1:18" x14ac:dyDescent="0.25">
      <c r="A86" s="1">
        <v>44313</v>
      </c>
      <c r="B86" s="6">
        <f>(Indices!B90-Indices!B89)/Indices!B89</f>
        <v>2.1312479574093005E-3</v>
      </c>
      <c r="C86" s="6">
        <f>(Indices!C90-Indices!C89)/Indices!C89</f>
        <v>-1.3128822568766331E-3</v>
      </c>
      <c r="D86" s="6">
        <f>(Indices!D90-Indices!D89)/Indices!D89</f>
        <v>9.6089462878337108E-4</v>
      </c>
      <c r="E86" s="6">
        <f>(Indices!E90-Indices!E89)/Indices!E89</f>
        <v>1.0535883047176524E-3</v>
      </c>
      <c r="F86" s="6">
        <f>(Indices!F90-Indices!F89)/Indices!F89</f>
        <v>-1.1765738357126116E-2</v>
      </c>
      <c r="G86" s="6">
        <f>(Indices!G90-Indices!G89)/Indices!G89</f>
        <v>-1.0112833743420315E-3</v>
      </c>
      <c r="H86" s="6">
        <f>(Indices!H90-Indices!H89)/Indices!H89</f>
        <v>-8.0409759321466428E-4</v>
      </c>
      <c r="I86" s="6">
        <f>(Indices!I90-Indices!I89)/Indices!I89</f>
        <v>-1.4187285544221704E-4</v>
      </c>
      <c r="J86" s="6">
        <f>(Indices!J90-Indices!J89)/Indices!J89</f>
        <v>-2.804953206092719E-4</v>
      </c>
      <c r="K86" s="6">
        <f>(Indices!K90-Indices!K89)/Indices!K89</f>
        <v>-7.9510674797529895E-4</v>
      </c>
      <c r="L86" s="6">
        <f>(Indices!L90-Indices!L89)/Indices!L89</f>
        <v>-3.0772270028227204E-3</v>
      </c>
      <c r="M86" s="10">
        <f>WEEKNUM(Rend_j[[#This Row],[Date]])-1</f>
        <v>17</v>
      </c>
      <c r="N86" s="7" t="str">
        <f>TEXT(Rend_j[[#This Row],[Date]],"ddd")</f>
        <v>Tue</v>
      </c>
      <c r="O86" s="7">
        <f>MONTH(Rend_j[[#This Row],[Date]])</f>
        <v>4</v>
      </c>
      <c r="P86" s="7">
        <f>YEAR(Rend_j[[#This Row],[Date]])</f>
        <v>2021</v>
      </c>
      <c r="Q86" s="7" t="str">
        <f>Rend_j[[#This Row],[Week]]&amp;","&amp;Rend_j[[#This Row],[Year]]</f>
        <v>17,2021</v>
      </c>
      <c r="R86" s="7" t="str">
        <f>Rend_j[[#This Row],[Month]]&amp;","&amp;Rend_j[[#This Row],[Year]]</f>
        <v>4,2021</v>
      </c>
    </row>
    <row r="87" spans="1:18" x14ac:dyDescent="0.25">
      <c r="A87" s="1">
        <v>44314</v>
      </c>
      <c r="B87" s="6">
        <f>(Indices!B91-Indices!B90)/Indices!B90</f>
        <v>4.2307222852838297E-3</v>
      </c>
      <c r="C87" s="6">
        <f>(Indices!C91-Indices!C90)/Indices!C90</f>
        <v>-7.0539951263301481E-4</v>
      </c>
      <c r="D87" s="6">
        <f>(Indices!D91-Indices!D90)/Indices!D90</f>
        <v>5.2529598935270518E-4</v>
      </c>
      <c r="E87" s="6">
        <f>(Indices!E91-Indices!E90)/Indices!E90</f>
        <v>1.5403239649113666E-3</v>
      </c>
      <c r="F87" s="6">
        <f>(Indices!F91-Indices!F90)/Indices!F90</f>
        <v>-4.0850398735406879E-4</v>
      </c>
      <c r="G87" s="6">
        <f>(Indices!G91-Indices!G90)/Indices!G90</f>
        <v>-4.1448794796587415E-4</v>
      </c>
      <c r="H87" s="6">
        <f>(Indices!H91-Indices!H90)/Indices!H90</f>
        <v>1.2016050798129758E-3</v>
      </c>
      <c r="I87" s="6">
        <f>(Indices!I91-Indices!I90)/Indices!I90</f>
        <v>-7.7879205131873251E-4</v>
      </c>
      <c r="J87" s="6">
        <f>(Indices!J91-Indices!J90)/Indices!J90</f>
        <v>5.2951045687202585E-3</v>
      </c>
      <c r="K87" s="6">
        <f>(Indices!K91-Indices!K90)/Indices!K90</f>
        <v>1.5916107546893042E-4</v>
      </c>
      <c r="L87" s="6">
        <f>(Indices!L91-Indices!L90)/Indices!L90</f>
        <v>2.8139157692493922E-3</v>
      </c>
      <c r="M87" s="10">
        <f>WEEKNUM(Rend_j[[#This Row],[Date]])-1</f>
        <v>17</v>
      </c>
      <c r="N87" s="7" t="str">
        <f>TEXT(Rend_j[[#This Row],[Date]],"ddd")</f>
        <v>Wed</v>
      </c>
      <c r="O87" s="7">
        <f>MONTH(Rend_j[[#This Row],[Date]])</f>
        <v>4</v>
      </c>
      <c r="P87" s="7">
        <f>YEAR(Rend_j[[#This Row],[Date]])</f>
        <v>2021</v>
      </c>
      <c r="Q87" s="7" t="str">
        <f>Rend_j[[#This Row],[Week]]&amp;","&amp;Rend_j[[#This Row],[Year]]</f>
        <v>17,2021</v>
      </c>
      <c r="R87" s="7" t="str">
        <f>Rend_j[[#This Row],[Month]]&amp;","&amp;Rend_j[[#This Row],[Year]]</f>
        <v>4,2021</v>
      </c>
    </row>
    <row r="88" spans="1:18" x14ac:dyDescent="0.25">
      <c r="A88" s="1">
        <v>44315</v>
      </c>
      <c r="B88" s="6">
        <f>(Indices!B92-Indices!B91)/Indices!B91</f>
        <v>-2.9679359277600114E-4</v>
      </c>
      <c r="C88" s="6">
        <f>(Indices!C92-Indices!C91)/Indices!C91</f>
        <v>2.0094012706154333E-3</v>
      </c>
      <c r="D88" s="6">
        <f>(Indices!D92-Indices!D91)/Indices!D91</f>
        <v>-6.4147017599124295E-4</v>
      </c>
      <c r="E88" s="6">
        <f>(Indices!E92-Indices!E91)/Indices!E91</f>
        <v>-2.1648633655507914E-3</v>
      </c>
      <c r="F88" s="6">
        <f>(Indices!F92-Indices!F91)/Indices!F91</f>
        <v>-2.2269604359156881E-3</v>
      </c>
      <c r="G88" s="6">
        <f>(Indices!G92-Indices!G91)/Indices!G91</f>
        <v>1.4712449363656654E-3</v>
      </c>
      <c r="H88" s="6">
        <f>(Indices!H92-Indices!H91)/Indices!H91</f>
        <v>1.1451096112132569E-3</v>
      </c>
      <c r="I88" s="6">
        <f>(Indices!I92-Indices!I91)/Indices!I91</f>
        <v>4.8114309229273875E-3</v>
      </c>
      <c r="J88" s="6">
        <f>(Indices!J92-Indices!J91)/Indices!J91</f>
        <v>-6.9925003947767645E-4</v>
      </c>
      <c r="K88" s="6">
        <f>(Indices!K92-Indices!K91)/Indices!K91</f>
        <v>-2.6141661347877198E-3</v>
      </c>
      <c r="L88" s="6">
        <f>(Indices!L92-Indices!L91)/Indices!L91</f>
        <v>-9.0228791968897885E-3</v>
      </c>
      <c r="M88" s="10">
        <f>WEEKNUM(Rend_j[[#This Row],[Date]])-1</f>
        <v>17</v>
      </c>
      <c r="N88" s="7" t="str">
        <f>TEXT(Rend_j[[#This Row],[Date]],"ddd")</f>
        <v>Thu</v>
      </c>
      <c r="O88" s="7">
        <f>MONTH(Rend_j[[#This Row],[Date]])</f>
        <v>4</v>
      </c>
      <c r="P88" s="7">
        <f>YEAR(Rend_j[[#This Row],[Date]])</f>
        <v>2021</v>
      </c>
      <c r="Q88" s="7" t="str">
        <f>Rend_j[[#This Row],[Week]]&amp;","&amp;Rend_j[[#This Row],[Year]]</f>
        <v>17,2021</v>
      </c>
      <c r="R88" s="7" t="str">
        <f>Rend_j[[#This Row],[Month]]&amp;","&amp;Rend_j[[#This Row],[Year]]</f>
        <v>4,2021</v>
      </c>
    </row>
    <row r="89" spans="1:18" x14ac:dyDescent="0.25">
      <c r="A89" s="1">
        <v>44316</v>
      </c>
      <c r="B89" s="6">
        <f>(Indices!B93-Indices!B92)/Indices!B92</f>
        <v>-5.9944971640727516E-3</v>
      </c>
      <c r="C89" s="6">
        <f>(Indices!C93-Indices!C92)/Indices!C92</f>
        <v>-2.189497616369585E-3</v>
      </c>
      <c r="D89" s="6">
        <f>(Indices!D93-Indices!D92)/Indices!D92</f>
        <v>-4.6744341517037102E-3</v>
      </c>
      <c r="E89" s="6">
        <f>(Indices!E93-Indices!E92)/Indices!E92</f>
        <v>-6.3346636955745432E-3</v>
      </c>
      <c r="F89" s="6">
        <f>(Indices!F93-Indices!F92)/Indices!F92</f>
        <v>-3.7871592743850629E-3</v>
      </c>
      <c r="G89" s="6">
        <f>(Indices!G93-Indices!G92)/Indices!G92</f>
        <v>-2.723179271987473E-3</v>
      </c>
      <c r="H89" s="6">
        <f>(Indices!H93-Indices!H92)/Indices!H92</f>
        <v>6.5988452020898842E-4</v>
      </c>
      <c r="I89" s="6">
        <f>(Indices!I93-Indices!I92)/Indices!I92</f>
        <v>-7.952996267603327E-3</v>
      </c>
      <c r="J89" s="6">
        <f>(Indices!J93-Indices!J92)/Indices!J92</f>
        <v>-5.250214582945981E-3</v>
      </c>
      <c r="K89" s="6">
        <f>(Indices!K93-Indices!K92)/Indices!K92</f>
        <v>-3.1450965986646005E-3</v>
      </c>
      <c r="L89" s="6">
        <f>(Indices!L93-Indices!L92)/Indices!L92</f>
        <v>-1.2069287562929162E-3</v>
      </c>
      <c r="M89" s="10">
        <f>WEEKNUM(Rend_j[[#This Row],[Date]])-1</f>
        <v>17</v>
      </c>
      <c r="N89" s="7" t="str">
        <f>TEXT(Rend_j[[#This Row],[Date]],"ddd")</f>
        <v>Fri</v>
      </c>
      <c r="O89" s="7">
        <f>MONTH(Rend_j[[#This Row],[Date]])</f>
        <v>4</v>
      </c>
      <c r="P89" s="7">
        <f>YEAR(Rend_j[[#This Row],[Date]])</f>
        <v>2021</v>
      </c>
      <c r="Q89" s="7" t="str">
        <f>Rend_j[[#This Row],[Week]]&amp;","&amp;Rend_j[[#This Row],[Year]]</f>
        <v>17,2021</v>
      </c>
      <c r="R89" s="7" t="str">
        <f>Rend_j[[#This Row],[Month]]&amp;","&amp;Rend_j[[#This Row],[Year]]</f>
        <v>4,2021</v>
      </c>
    </row>
    <row r="90" spans="1:18" x14ac:dyDescent="0.25">
      <c r="A90" s="1">
        <v>44319</v>
      </c>
      <c r="B90" s="6">
        <f>(Indices!B94-Indices!B93)/Indices!B93</f>
        <v>-6.5047305551034626E-3</v>
      </c>
      <c r="C90" s="6">
        <f>(Indices!C94-Indices!C93)/Indices!C93</f>
        <v>3.4097929252805873E-4</v>
      </c>
      <c r="D90" s="6">
        <f>(Indices!D94-Indices!D93)/Indices!D93</f>
        <v>-1.0163498010401985E-2</v>
      </c>
      <c r="E90" s="6">
        <f>(Indices!E94-Indices!E93)/Indices!E93</f>
        <v>-9.4750081308579061E-3</v>
      </c>
      <c r="F90" s="6">
        <f>(Indices!F94-Indices!F93)/Indices!F93</f>
        <v>4.5284997556989626E-4</v>
      </c>
      <c r="G90" s="6">
        <f>(Indices!G94-Indices!G93)/Indices!G93</f>
        <v>-9.1419720311539641E-4</v>
      </c>
      <c r="H90" s="6">
        <f>(Indices!H94-Indices!H93)/Indices!H93</f>
        <v>2.8905863603891327E-3</v>
      </c>
      <c r="I90" s="6">
        <f>(Indices!I94-Indices!I93)/Indices!I93</f>
        <v>2.1732323208631761E-3</v>
      </c>
      <c r="J90" s="6">
        <f>(Indices!J94-Indices!J93)/Indices!J93</f>
        <v>6.1280875164386505E-3</v>
      </c>
      <c r="K90" s="6">
        <f>(Indices!K94-Indices!K93)/Indices!K93</f>
        <v>5.7843067130830088E-3</v>
      </c>
      <c r="L90" s="6">
        <f>(Indices!L94-Indices!L93)/Indices!L93</f>
        <v>6.6437742386812144E-3</v>
      </c>
      <c r="M90" s="10">
        <f>WEEKNUM(Rend_j[[#This Row],[Date]])-1</f>
        <v>18</v>
      </c>
      <c r="N90" s="7" t="str">
        <f>TEXT(Rend_j[[#This Row],[Date]],"ddd")</f>
        <v>Mon</v>
      </c>
      <c r="O90" s="7">
        <f>MONTH(Rend_j[[#This Row],[Date]])</f>
        <v>5</v>
      </c>
      <c r="P90" s="7">
        <f>YEAR(Rend_j[[#This Row],[Date]])</f>
        <v>2021</v>
      </c>
      <c r="Q90" s="7" t="str">
        <f>Rend_j[[#This Row],[Week]]&amp;","&amp;Rend_j[[#This Row],[Year]]</f>
        <v>18,2021</v>
      </c>
      <c r="R90" s="7" t="str">
        <f>Rend_j[[#This Row],[Month]]&amp;","&amp;Rend_j[[#This Row],[Year]]</f>
        <v>5,2021</v>
      </c>
    </row>
    <row r="91" spans="1:18" x14ac:dyDescent="0.25">
      <c r="A91" s="1">
        <v>44320</v>
      </c>
      <c r="B91" s="6">
        <f>(Indices!B95-Indices!B94)/Indices!B94</f>
        <v>2.0999394291066407E-3</v>
      </c>
      <c r="C91" s="6">
        <f>(Indices!C95-Indices!C94)/Indices!C94</f>
        <v>-5.3776161240259527E-3</v>
      </c>
      <c r="D91" s="6">
        <f>(Indices!D95-Indices!D94)/Indices!D94</f>
        <v>3.3536252512065612E-4</v>
      </c>
      <c r="E91" s="6">
        <f>(Indices!E95-Indices!E94)/Indices!E94</f>
        <v>6.0847222955702387E-4</v>
      </c>
      <c r="F91" s="6">
        <f>(Indices!F95-Indices!F94)/Indices!F94</f>
        <v>1.0065395290110371E-3</v>
      </c>
      <c r="G91" s="6">
        <f>(Indices!G95-Indices!G94)/Indices!G94</f>
        <v>-4.6191222069494851E-3</v>
      </c>
      <c r="H91" s="6">
        <f>(Indices!H95-Indices!H94)/Indices!H94</f>
        <v>-5.194634402945859E-3</v>
      </c>
      <c r="I91" s="6">
        <f>(Indices!I95-Indices!I94)/Indices!I94</f>
        <v>-7.9570610389790315E-3</v>
      </c>
      <c r="J91" s="6">
        <f>(Indices!J95-Indices!J94)/Indices!J94</f>
        <v>-8.9015207711519127E-3</v>
      </c>
      <c r="K91" s="6">
        <f>(Indices!K95-Indices!K94)/Indices!K94</f>
        <v>-1.425263414874465E-2</v>
      </c>
      <c r="L91" s="6">
        <f>(Indices!L95-Indices!L94)/Indices!L94</f>
        <v>-2.4939455578205007E-2</v>
      </c>
      <c r="M91" s="10">
        <f>WEEKNUM(Rend_j[[#This Row],[Date]])-1</f>
        <v>18</v>
      </c>
      <c r="N91" s="7" t="str">
        <f>TEXT(Rend_j[[#This Row],[Date]],"ddd")</f>
        <v>Tue</v>
      </c>
      <c r="O91" s="7">
        <f>MONTH(Rend_j[[#This Row],[Date]])</f>
        <v>5</v>
      </c>
      <c r="P91" s="7">
        <f>YEAR(Rend_j[[#This Row],[Date]])</f>
        <v>2021</v>
      </c>
      <c r="Q91" s="7" t="str">
        <f>Rend_j[[#This Row],[Week]]&amp;","&amp;Rend_j[[#This Row],[Year]]</f>
        <v>18,2021</v>
      </c>
      <c r="R91" s="7" t="str">
        <f>Rend_j[[#This Row],[Month]]&amp;","&amp;Rend_j[[#This Row],[Year]]</f>
        <v>5,2021</v>
      </c>
    </row>
    <row r="92" spans="1:18" x14ac:dyDescent="0.25">
      <c r="A92" s="1">
        <v>44321</v>
      </c>
      <c r="B92" s="6">
        <f>(Indices!B96-Indices!B95)/Indices!B95</f>
        <v>-2.9520400631740948E-3</v>
      </c>
      <c r="C92" s="6">
        <f>(Indices!C96-Indices!C95)/Indices!C95</f>
        <v>5.7977792650770006E-3</v>
      </c>
      <c r="D92" s="6">
        <f>(Indices!D96-Indices!D95)/Indices!D95</f>
        <v>4.6437317200906407E-3</v>
      </c>
      <c r="E92" s="6">
        <f>(Indices!E96-Indices!E95)/Indices!E95</f>
        <v>7.9168024379168325E-4</v>
      </c>
      <c r="F92" s="6">
        <f>(Indices!F96-Indices!F95)/Indices!F95</f>
        <v>2.1122025810519944E-3</v>
      </c>
      <c r="G92" s="6">
        <f>(Indices!G96-Indices!G95)/Indices!G95</f>
        <v>5.1624195128217535E-3</v>
      </c>
      <c r="H92" s="6">
        <f>(Indices!H96-Indices!H95)/Indices!H95</f>
        <v>2.0457399695948172E-2</v>
      </c>
      <c r="I92" s="6">
        <f>(Indices!I96-Indices!I95)/Indices!I95</f>
        <v>-3.0469510242834452E-4</v>
      </c>
      <c r="J92" s="6">
        <f>(Indices!J96-Indices!J95)/Indices!J95</f>
        <v>1.4031305634422406E-2</v>
      </c>
      <c r="K92" s="6">
        <f>(Indices!K96-Indices!K95)/Indices!K95</f>
        <v>1.8217442890129481E-2</v>
      </c>
      <c r="L92" s="6">
        <f>(Indices!L96-Indices!L95)/Indices!L95</f>
        <v>2.1155737432877925E-2</v>
      </c>
      <c r="M92" s="10">
        <f>WEEKNUM(Rend_j[[#This Row],[Date]])-1</f>
        <v>18</v>
      </c>
      <c r="N92" s="7" t="str">
        <f>TEXT(Rend_j[[#This Row],[Date]],"ddd")</f>
        <v>Wed</v>
      </c>
      <c r="O92" s="7">
        <f>MONTH(Rend_j[[#This Row],[Date]])</f>
        <v>5</v>
      </c>
      <c r="P92" s="7">
        <f>YEAR(Rend_j[[#This Row],[Date]])</f>
        <v>2021</v>
      </c>
      <c r="Q92" s="7" t="str">
        <f>Rend_j[[#This Row],[Week]]&amp;","&amp;Rend_j[[#This Row],[Year]]</f>
        <v>18,2021</v>
      </c>
      <c r="R92" s="7" t="str">
        <f>Rend_j[[#This Row],[Month]]&amp;","&amp;Rend_j[[#This Row],[Year]]</f>
        <v>5,2021</v>
      </c>
    </row>
    <row r="93" spans="1:18" x14ac:dyDescent="0.25">
      <c r="A93" s="1">
        <v>44322</v>
      </c>
      <c r="B93" s="6">
        <f>(Indices!B97-Indices!B96)/Indices!B96</f>
        <v>-8.5922808930165608E-3</v>
      </c>
      <c r="C93" s="6">
        <f>(Indices!C97-Indices!C96)/Indices!C96</f>
        <v>2.032357374210327E-3</v>
      </c>
      <c r="D93" s="6">
        <f>(Indices!D97-Indices!D96)/Indices!D96</f>
        <v>4.450513249946015E-3</v>
      </c>
      <c r="E93" s="6">
        <f>(Indices!E97-Indices!E96)/Indices!E96</f>
        <v>1.3092516629329748E-3</v>
      </c>
      <c r="F93" s="6">
        <f>(Indices!F97-Indices!F96)/Indices!F96</f>
        <v>1.2456509090045559E-2</v>
      </c>
      <c r="G93" s="6">
        <f>(Indices!G97-Indices!G96)/Indices!G96</f>
        <v>1.9369473709433341E-3</v>
      </c>
      <c r="H93" s="6">
        <f>(Indices!H97-Indices!H96)/Indices!H96</f>
        <v>-8.636417613968937E-5</v>
      </c>
      <c r="I93" s="6">
        <f>(Indices!I97-Indices!I96)/Indices!I96</f>
        <v>5.8833877934118678E-3</v>
      </c>
      <c r="J93" s="6">
        <f>(Indices!J97-Indices!J96)/Indices!J96</f>
        <v>2.7793535425577835E-3</v>
      </c>
      <c r="K93" s="6">
        <f>(Indices!K97-Indices!K96)/Indices!K96</f>
        <v>-1.2003148327567733E-3</v>
      </c>
      <c r="L93" s="6">
        <f>(Indices!L97-Indices!L96)/Indices!L96</f>
        <v>1.7111815963306506E-3</v>
      </c>
      <c r="M93" s="10">
        <f>WEEKNUM(Rend_j[[#This Row],[Date]])-1</f>
        <v>18</v>
      </c>
      <c r="N93" s="7" t="str">
        <f>TEXT(Rend_j[[#This Row],[Date]],"ddd")</f>
        <v>Thu</v>
      </c>
      <c r="O93" s="7">
        <f>MONTH(Rend_j[[#This Row],[Date]])</f>
        <v>5</v>
      </c>
      <c r="P93" s="7">
        <f>YEAR(Rend_j[[#This Row],[Date]])</f>
        <v>2021</v>
      </c>
      <c r="Q93" s="7" t="str">
        <f>Rend_j[[#This Row],[Week]]&amp;","&amp;Rend_j[[#This Row],[Year]]</f>
        <v>18,2021</v>
      </c>
      <c r="R93" s="7" t="str">
        <f>Rend_j[[#This Row],[Month]]&amp;","&amp;Rend_j[[#This Row],[Year]]</f>
        <v>5,2021</v>
      </c>
    </row>
    <row r="94" spans="1:18" x14ac:dyDescent="0.25">
      <c r="A94" s="1">
        <v>44323</v>
      </c>
      <c r="B94" s="6">
        <f>(Indices!B98-Indices!B97)/Indices!B97</f>
        <v>-1.610153705832856E-2</v>
      </c>
      <c r="C94" s="6">
        <f>(Indices!C98-Indices!C97)/Indices!C97</f>
        <v>2.3762756479751416E-3</v>
      </c>
      <c r="D94" s="6">
        <f>(Indices!D98-Indices!D97)/Indices!D97</f>
        <v>6.6389306009184976E-3</v>
      </c>
      <c r="E94" s="6">
        <f>(Indices!E98-Indices!E97)/Indices!E97</f>
        <v>-1.07854856216425E-3</v>
      </c>
      <c r="F94" s="6">
        <f>(Indices!F98-Indices!F97)/Indices!F97</f>
        <v>-1.2256339283620089E-3</v>
      </c>
      <c r="G94" s="6">
        <f>(Indices!G98-Indices!G97)/Indices!G97</f>
        <v>1.9411748293002731E-3</v>
      </c>
      <c r="H94" s="6">
        <f>(Indices!H98-Indices!H97)/Indices!H97</f>
        <v>6.8557485721688011E-3</v>
      </c>
      <c r="I94" s="6">
        <f>(Indices!I98-Indices!I97)/Indices!I97</f>
        <v>8.3398098047465976E-3</v>
      </c>
      <c r="J94" s="6">
        <f>(Indices!J98-Indices!J97)/Indices!J97</f>
        <v>4.4705868089663014E-3</v>
      </c>
      <c r="K94" s="6">
        <f>(Indices!K98-Indices!K97)/Indices!K97</f>
        <v>8.865820365344064E-3</v>
      </c>
      <c r="L94" s="6">
        <f>(Indices!L98-Indices!L97)/Indices!L97</f>
        <v>1.3352216128524379E-2</v>
      </c>
      <c r="M94" s="10">
        <f>WEEKNUM(Rend_j[[#This Row],[Date]])-1</f>
        <v>18</v>
      </c>
      <c r="N94" s="7" t="str">
        <f>TEXT(Rend_j[[#This Row],[Date]],"ddd")</f>
        <v>Fri</v>
      </c>
      <c r="O94" s="7">
        <f>MONTH(Rend_j[[#This Row],[Date]])</f>
        <v>5</v>
      </c>
      <c r="P94" s="7">
        <f>YEAR(Rend_j[[#This Row],[Date]])</f>
        <v>2021</v>
      </c>
      <c r="Q94" s="7" t="str">
        <f>Rend_j[[#This Row],[Week]]&amp;","&amp;Rend_j[[#This Row],[Year]]</f>
        <v>18,2021</v>
      </c>
      <c r="R94" s="7" t="str">
        <f>Rend_j[[#This Row],[Month]]&amp;","&amp;Rend_j[[#This Row],[Year]]</f>
        <v>5,2021</v>
      </c>
    </row>
    <row r="95" spans="1:18" x14ac:dyDescent="0.25">
      <c r="A95" s="1">
        <v>44326</v>
      </c>
      <c r="B95" s="6">
        <f>(Indices!B99-Indices!B98)/Indices!B98</f>
        <v>-8.5575681452301419E-3</v>
      </c>
      <c r="C95" s="6">
        <f>(Indices!C99-Indices!C98)/Indices!C98</f>
        <v>-7.4551513579310556E-3</v>
      </c>
      <c r="D95" s="6">
        <f>(Indices!D99-Indices!D98)/Indices!D98</f>
        <v>3.9220699376946583E-3</v>
      </c>
      <c r="E95" s="6">
        <f>(Indices!E99-Indices!E98)/Indices!E98</f>
        <v>-3.1199352630625569E-3</v>
      </c>
      <c r="F95" s="6">
        <f>(Indices!F99-Indices!F98)/Indices!F98</f>
        <v>6.9459530869271221E-3</v>
      </c>
      <c r="G95" s="6">
        <f>(Indices!G99-Indices!G98)/Indices!G98</f>
        <v>-6.9102424353334304E-3</v>
      </c>
      <c r="H95" s="6">
        <f>(Indices!H99-Indices!H98)/Indices!H98</f>
        <v>1.0948122413090575E-2</v>
      </c>
      <c r="I95" s="6">
        <f>(Indices!I99-Indices!I98)/Indices!I98</f>
        <v>-1.221170353232732E-2</v>
      </c>
      <c r="J95" s="6">
        <f>(Indices!J99-Indices!J98)/Indices!J98</f>
        <v>7.5243483700866698E-5</v>
      </c>
      <c r="K95" s="6">
        <f>(Indices!K99-Indices!K98)/Indices!K98</f>
        <v>1.0339199587292844E-3</v>
      </c>
      <c r="L95" s="6">
        <f>(Indices!L99-Indices!L98)/Indices!L98</f>
        <v>4.933683432788324E-5</v>
      </c>
      <c r="M95" s="10">
        <f>WEEKNUM(Rend_j[[#This Row],[Date]])-1</f>
        <v>19</v>
      </c>
      <c r="N95" s="7" t="str">
        <f>TEXT(Rend_j[[#This Row],[Date]],"ddd")</f>
        <v>Mon</v>
      </c>
      <c r="O95" s="7">
        <f>MONTH(Rend_j[[#This Row],[Date]])</f>
        <v>5</v>
      </c>
      <c r="P95" s="7">
        <f>YEAR(Rend_j[[#This Row],[Date]])</f>
        <v>2021</v>
      </c>
      <c r="Q95" s="7" t="str">
        <f>Rend_j[[#This Row],[Week]]&amp;","&amp;Rend_j[[#This Row],[Year]]</f>
        <v>19,2021</v>
      </c>
      <c r="R95" s="7" t="str">
        <f>Rend_j[[#This Row],[Month]]&amp;","&amp;Rend_j[[#This Row],[Year]]</f>
        <v>5,2021</v>
      </c>
    </row>
    <row r="96" spans="1:18" x14ac:dyDescent="0.25">
      <c r="A96" s="1">
        <v>44327</v>
      </c>
      <c r="B96" s="6">
        <f>(Indices!B100-Indices!B99)/Indices!B99</f>
        <v>-2.5357321934940213E-3</v>
      </c>
      <c r="C96" s="6">
        <f>(Indices!C100-Indices!C99)/Indices!C99</f>
        <v>-1.1347141300457999E-2</v>
      </c>
      <c r="D96" s="6">
        <f>(Indices!D100-Indices!D99)/Indices!D99</f>
        <v>-1.6757394702381165E-2</v>
      </c>
      <c r="E96" s="6">
        <f>(Indices!E100-Indices!E99)/Indices!E99</f>
        <v>-1.2953415534900363E-2</v>
      </c>
      <c r="F96" s="6">
        <f>(Indices!F100-Indices!F99)/Indices!F99</f>
        <v>-2.2163523772871917E-2</v>
      </c>
      <c r="G96" s="6">
        <f>(Indices!G100-Indices!G99)/Indices!G99</f>
        <v>-1.1549138922160413E-2</v>
      </c>
      <c r="H96" s="6">
        <f>(Indices!H100-Indices!H99)/Indices!H99</f>
        <v>-2.3738054073547659E-2</v>
      </c>
      <c r="I96" s="6">
        <f>(Indices!I100-Indices!I99)/Indices!I99</f>
        <v>-7.3976852040634001E-3</v>
      </c>
      <c r="J96" s="6">
        <f>(Indices!J100-Indices!J99)/Indices!J99</f>
        <v>-1.8571919569897601E-2</v>
      </c>
      <c r="K96" s="6">
        <f>(Indices!K100-Indices!K99)/Indices!K99</f>
        <v>-1.9713127156656195E-2</v>
      </c>
      <c r="L96" s="6">
        <f>(Indices!L100-Indices!L99)/Indices!L99</f>
        <v>-1.8224200335194153E-2</v>
      </c>
      <c r="M96" s="10">
        <f>WEEKNUM(Rend_j[[#This Row],[Date]])-1</f>
        <v>19</v>
      </c>
      <c r="N96" s="7" t="str">
        <f>TEXT(Rend_j[[#This Row],[Date]],"ddd")</f>
        <v>Tue</v>
      </c>
      <c r="O96" s="7">
        <f>MONTH(Rend_j[[#This Row],[Date]])</f>
        <v>5</v>
      </c>
      <c r="P96" s="7">
        <f>YEAR(Rend_j[[#This Row],[Date]])</f>
        <v>2021</v>
      </c>
      <c r="Q96" s="7" t="str">
        <f>Rend_j[[#This Row],[Week]]&amp;","&amp;Rend_j[[#This Row],[Year]]</f>
        <v>19,2021</v>
      </c>
      <c r="R96" s="7" t="str">
        <f>Rend_j[[#This Row],[Month]]&amp;","&amp;Rend_j[[#This Row],[Year]]</f>
        <v>5,2021</v>
      </c>
    </row>
    <row r="97" spans="1:18" x14ac:dyDescent="0.25">
      <c r="A97" s="1">
        <v>44328</v>
      </c>
      <c r="B97" s="6">
        <f>(Indices!B101-Indices!B100)/Indices!B100</f>
        <v>9.6808744143367809E-3</v>
      </c>
      <c r="C97" s="6">
        <f>(Indices!C101-Indices!C100)/Indices!C100</f>
        <v>-1.0647686832740193E-2</v>
      </c>
      <c r="D97" s="6">
        <f>(Indices!D101-Indices!D100)/Indices!D100</f>
        <v>-1.0557165687863629E-2</v>
      </c>
      <c r="E97" s="6">
        <f>(Indices!E101-Indices!E100)/Indices!E100</f>
        <v>-3.3990862771501799E-3</v>
      </c>
      <c r="F97" s="6">
        <f>(Indices!F101-Indices!F100)/Indices!F100</f>
        <v>-1.4782613880987814E-2</v>
      </c>
      <c r="G97" s="6">
        <f>(Indices!G101-Indices!G100)/Indices!G100</f>
        <v>-9.7266014444003374E-3</v>
      </c>
      <c r="H97" s="6">
        <f>(Indices!H101-Indices!H100)/Indices!H100</f>
        <v>1.3635227778924714E-2</v>
      </c>
      <c r="I97" s="6">
        <f>(Indices!I101-Indices!I100)/Indices!I100</f>
        <v>-2.3187757464975738E-2</v>
      </c>
      <c r="J97" s="6">
        <f>(Indices!J101-Indices!J100)/Indices!J100</f>
        <v>1.9082841084669445E-3</v>
      </c>
      <c r="K97" s="6">
        <f>(Indices!K101-Indices!K100)/Indices!K100</f>
        <v>3.0233115259607033E-3</v>
      </c>
      <c r="L97" s="6">
        <f>(Indices!L101-Indices!L100)/Indices!L100</f>
        <v>2.0152271036227918E-3</v>
      </c>
      <c r="M97" s="10">
        <f>WEEKNUM(Rend_j[[#This Row],[Date]])-1</f>
        <v>19</v>
      </c>
      <c r="N97" s="7" t="str">
        <f>TEXT(Rend_j[[#This Row],[Date]],"ddd")</f>
        <v>Wed</v>
      </c>
      <c r="O97" s="7">
        <f>MONTH(Rend_j[[#This Row],[Date]])</f>
        <v>5</v>
      </c>
      <c r="P97" s="7">
        <f>YEAR(Rend_j[[#This Row],[Date]])</f>
        <v>2021</v>
      </c>
      <c r="Q97" s="7" t="str">
        <f>Rend_j[[#This Row],[Week]]&amp;","&amp;Rend_j[[#This Row],[Year]]</f>
        <v>19,2021</v>
      </c>
      <c r="R97" s="7" t="str">
        <f>Rend_j[[#This Row],[Month]]&amp;","&amp;Rend_j[[#This Row],[Year]]</f>
        <v>5,2021</v>
      </c>
    </row>
    <row r="98" spans="1:18" x14ac:dyDescent="0.25">
      <c r="A98" s="1">
        <v>44329</v>
      </c>
      <c r="B98" s="6">
        <f>(Indices!B102-Indices!B101)/Indices!B101</f>
        <v>-2.3850487820425804E-2</v>
      </c>
      <c r="C98" s="6">
        <f>(Indices!C102-Indices!C101)/Indices!C101</f>
        <v>5.6236819495430555E-3</v>
      </c>
      <c r="D98" s="6">
        <f>(Indices!D102-Indices!D101)/Indices!D101</f>
        <v>-8.9794864455921292E-3</v>
      </c>
      <c r="E98" s="6">
        <f>(Indices!E102-Indices!E101)/Indices!E101</f>
        <v>-1.6920149424696218E-2</v>
      </c>
      <c r="F98" s="6">
        <f>(Indices!F102-Indices!F101)/Indices!F101</f>
        <v>-1.7746250408551056E-2</v>
      </c>
      <c r="G98" s="6">
        <f>(Indices!G102-Indices!G101)/Indices!G101</f>
        <v>2.7420133744771244E-3</v>
      </c>
      <c r="H98" s="6">
        <f>(Indices!H102-Indices!H101)/Indices!H101</f>
        <v>-9.6788715486195095E-3</v>
      </c>
      <c r="I98" s="6">
        <f>(Indices!I102-Indices!I101)/Indices!I101</f>
        <v>1.1743870028320119E-2</v>
      </c>
      <c r="J98" s="6">
        <f>(Indices!J102-Indices!J101)/Indices!J101</f>
        <v>1.4300811166525387E-3</v>
      </c>
      <c r="K98" s="6">
        <f>(Indices!K102-Indices!K101)/Indices!K101</f>
        <v>0</v>
      </c>
      <c r="L98" s="6">
        <f>(Indices!L102-Indices!L101)/Indices!L101</f>
        <v>3.2646364793020815E-3</v>
      </c>
      <c r="M98" s="10">
        <f>WEEKNUM(Rend_j[[#This Row],[Date]])-1</f>
        <v>19</v>
      </c>
      <c r="N98" s="7" t="str">
        <f>TEXT(Rend_j[[#This Row],[Date]],"ddd")</f>
        <v>Thu</v>
      </c>
      <c r="O98" s="7">
        <f>MONTH(Rend_j[[#This Row],[Date]])</f>
        <v>5</v>
      </c>
      <c r="P98" s="7">
        <f>YEAR(Rend_j[[#This Row],[Date]])</f>
        <v>2021</v>
      </c>
      <c r="Q98" s="7" t="str">
        <f>Rend_j[[#This Row],[Week]]&amp;","&amp;Rend_j[[#This Row],[Year]]</f>
        <v>19,2021</v>
      </c>
      <c r="R98" s="7" t="str">
        <f>Rend_j[[#This Row],[Month]]&amp;","&amp;Rend_j[[#This Row],[Year]]</f>
        <v>5,2021</v>
      </c>
    </row>
    <row r="99" spans="1:18" x14ac:dyDescent="0.25">
      <c r="A99" s="1">
        <v>44330</v>
      </c>
      <c r="B99" s="6">
        <f>(Indices!B103-Indices!B102)/Indices!B102</f>
        <v>1.4998379132876294E-2</v>
      </c>
      <c r="C99" s="6">
        <f>(Indices!C103-Indices!C102)/Indices!C102</f>
        <v>1.0971895758814501E-2</v>
      </c>
      <c r="D99" s="6">
        <f>(Indices!D103-Indices!D102)/Indices!D102</f>
        <v>3.1126992940796873E-3</v>
      </c>
      <c r="E99" s="6">
        <f>(Indices!E103-Indices!E102)/Indices!E102</f>
        <v>6.4512907337303397E-3</v>
      </c>
      <c r="F99" s="6">
        <f>(Indices!F103-Indices!F102)/Indices!F102</f>
        <v>1.5220043626683749E-2</v>
      </c>
      <c r="G99" s="6">
        <f>(Indices!G103-Indices!G102)/Indices!G102</f>
        <v>1.0407483592908265E-2</v>
      </c>
      <c r="H99" s="6">
        <f>(Indices!H103-Indices!H102)/Indices!H102</f>
        <v>9.2431244791271981E-3</v>
      </c>
      <c r="I99" s="6">
        <f>(Indices!I103-Indices!I102)/Indices!I102</f>
        <v>1.6534040431561505E-2</v>
      </c>
      <c r="J99" s="6">
        <f>(Indices!J103-Indices!J102)/Indices!J102</f>
        <v>1.5395193604530179E-2</v>
      </c>
      <c r="K99" s="6">
        <f>(Indices!K103-Indices!K102)/Indices!K102</f>
        <v>1.0503975689100496E-2</v>
      </c>
      <c r="L99" s="6">
        <f>(Indices!L103-Indices!L102)/Indices!L102</f>
        <v>1.4273982374953476E-2</v>
      </c>
      <c r="M99" s="10">
        <f>WEEKNUM(Rend_j[[#This Row],[Date]])-1</f>
        <v>19</v>
      </c>
      <c r="N99" s="7" t="str">
        <f>TEXT(Rend_j[[#This Row],[Date]],"ddd")</f>
        <v>Fri</v>
      </c>
      <c r="O99" s="7">
        <f>MONTH(Rend_j[[#This Row],[Date]])</f>
        <v>5</v>
      </c>
      <c r="P99" s="7">
        <f>YEAR(Rend_j[[#This Row],[Date]])</f>
        <v>2021</v>
      </c>
      <c r="Q99" s="7" t="str">
        <f>Rend_j[[#This Row],[Week]]&amp;","&amp;Rend_j[[#This Row],[Year]]</f>
        <v>19,2021</v>
      </c>
      <c r="R99" s="7" t="str">
        <f>Rend_j[[#This Row],[Month]]&amp;","&amp;Rend_j[[#This Row],[Year]]</f>
        <v>5,2021</v>
      </c>
    </row>
    <row r="100" spans="1:18" x14ac:dyDescent="0.25">
      <c r="A100" s="1">
        <v>44333</v>
      </c>
      <c r="B100" s="6">
        <f>(Indices!B104-Indices!B103)/Indices!B103</f>
        <v>1.399314117990976E-2</v>
      </c>
      <c r="C100" s="6">
        <f>(Indices!C104-Indices!C103)/Indices!C103</f>
        <v>-2.4584628945974636E-3</v>
      </c>
      <c r="D100" s="6">
        <f>(Indices!D104-Indices!D103)/Indices!D103</f>
        <v>-4.6612206778173888E-3</v>
      </c>
      <c r="E100" s="6">
        <f>(Indices!E104-Indices!E103)/Indices!E103</f>
        <v>2.0484395710325641E-3</v>
      </c>
      <c r="F100" s="6">
        <f>(Indices!F104-Indices!F103)/Indices!F103</f>
        <v>-1.0925247031974971E-3</v>
      </c>
      <c r="G100" s="6">
        <f>(Indices!G104-Indices!G103)/Indices!G103</f>
        <v>-1.8984836366867778E-3</v>
      </c>
      <c r="H100" s="6">
        <f>(Indices!H104-Indices!H103)/Indices!H103</f>
        <v>2.5738093450728615E-4</v>
      </c>
      <c r="I100" s="6">
        <f>(Indices!I104-Indices!I103)/Indices!I103</f>
        <v>-2.4166247575532198E-3</v>
      </c>
      <c r="J100" s="6">
        <f>(Indices!J104-Indices!J103)/Indices!J103</f>
        <v>-2.7861626555245695E-3</v>
      </c>
      <c r="K100" s="6">
        <f>(Indices!K104-Indices!K103)/Indices!K103</f>
        <v>-5.4231351669331129E-4</v>
      </c>
      <c r="L100" s="6">
        <f>(Indices!L104-Indices!L103)/Indices!L103</f>
        <v>-1.2985663837579273E-3</v>
      </c>
      <c r="M100" s="10">
        <f>WEEKNUM(Rend_j[[#This Row],[Date]])-1</f>
        <v>20</v>
      </c>
      <c r="N100" s="7" t="str">
        <f>TEXT(Rend_j[[#This Row],[Date]],"ddd")</f>
        <v>Mon</v>
      </c>
      <c r="O100" s="7">
        <f>MONTH(Rend_j[[#This Row],[Date]])</f>
        <v>5</v>
      </c>
      <c r="P100" s="7">
        <f>YEAR(Rend_j[[#This Row],[Date]])</f>
        <v>2021</v>
      </c>
      <c r="Q100" s="7" t="str">
        <f>Rend_j[[#This Row],[Week]]&amp;","&amp;Rend_j[[#This Row],[Year]]</f>
        <v>20,2021</v>
      </c>
      <c r="R100" s="7" t="str">
        <f>Rend_j[[#This Row],[Month]]&amp;","&amp;Rend_j[[#This Row],[Year]]</f>
        <v>5,2021</v>
      </c>
    </row>
    <row r="101" spans="1:18" x14ac:dyDescent="0.25">
      <c r="A101" s="1">
        <v>44334</v>
      </c>
      <c r="B101" s="6">
        <f>(Indices!B105-Indices!B104)/Indices!B104</f>
        <v>3.0267602439498732E-3</v>
      </c>
      <c r="C101" s="6">
        <f>(Indices!C105-Indices!C104)/Indices!C104</f>
        <v>-7.8799842724593273E-3</v>
      </c>
      <c r="D101" s="6">
        <f>(Indices!D105-Indices!D104)/Indices!D104</f>
        <v>1.2786317888389218E-2</v>
      </c>
      <c r="E101" s="6">
        <f>(Indices!E105-Indices!E104)/Indices!E104</f>
        <v>1.0452329079780043E-2</v>
      </c>
      <c r="F101" s="6">
        <f>(Indices!F105-Indices!F104)/Indices!F104</f>
        <v>1.2559546957029016E-2</v>
      </c>
      <c r="G101" s="6">
        <f>(Indices!G105-Indices!G104)/Indices!G104</f>
        <v>-5.5848738951662326E-3</v>
      </c>
      <c r="H101" s="6">
        <f>(Indices!H105-Indices!H104)/Indices!H104</f>
        <v>-1.5010024552107078E-4</v>
      </c>
      <c r="I101" s="6">
        <f>(Indices!I105-Indices!I104)/Indices!I104</f>
        <v>-7.7711492173612113E-3</v>
      </c>
      <c r="J101" s="6">
        <f>(Indices!J105-Indices!J104)/Indices!J104</f>
        <v>-2.1484881134927422E-3</v>
      </c>
      <c r="K101" s="6">
        <f>(Indices!K105-Indices!K104)/Indices!K104</f>
        <v>1.6957199682075567E-3</v>
      </c>
      <c r="L101" s="6">
        <f>(Indices!L105-Indices!L104)/Indices!L104</f>
        <v>-6.5209376614793445E-4</v>
      </c>
      <c r="M101" s="10">
        <f>WEEKNUM(Rend_j[[#This Row],[Date]])-1</f>
        <v>20</v>
      </c>
      <c r="N101" s="7" t="str">
        <f>TEXT(Rend_j[[#This Row],[Date]],"ddd")</f>
        <v>Tue</v>
      </c>
      <c r="O101" s="7">
        <f>MONTH(Rend_j[[#This Row],[Date]])</f>
        <v>5</v>
      </c>
      <c r="P101" s="7">
        <f>YEAR(Rend_j[[#This Row],[Date]])</f>
        <v>2021</v>
      </c>
      <c r="Q101" s="7" t="str">
        <f>Rend_j[[#This Row],[Week]]&amp;","&amp;Rend_j[[#This Row],[Year]]</f>
        <v>20,2021</v>
      </c>
      <c r="R101" s="7" t="str">
        <f>Rend_j[[#This Row],[Month]]&amp;","&amp;Rend_j[[#This Row],[Year]]</f>
        <v>5,2021</v>
      </c>
    </row>
    <row r="102" spans="1:18" x14ac:dyDescent="0.25">
      <c r="A102" s="1">
        <v>44335</v>
      </c>
      <c r="B102" s="6">
        <f>(Indices!B106-Indices!B105)/Indices!B105</f>
        <v>-1.4903221515917967E-3</v>
      </c>
      <c r="C102" s="6">
        <f>(Indices!C106-Indices!C105)/Indices!C105</f>
        <v>-5.8139297343896262E-3</v>
      </c>
      <c r="D102" s="6">
        <f>(Indices!D106-Indices!D105)/Indices!D105</f>
        <v>-6.1670986430858313E-3</v>
      </c>
      <c r="E102" s="6">
        <f>(Indices!E106-Indices!E105)/Indices!E105</f>
        <v>-3.9878753654774678E-3</v>
      </c>
      <c r="F102" s="6">
        <f>(Indices!F106-Indices!F105)/Indices!F105</f>
        <v>-3.324472075034667E-3</v>
      </c>
      <c r="G102" s="6">
        <f>(Indices!G106-Indices!G105)/Indices!G105</f>
        <v>-5.579612235263513E-3</v>
      </c>
      <c r="H102" s="6">
        <f>(Indices!H106-Indices!H105)/Indices!H105</f>
        <v>-1.5837953183139106E-2</v>
      </c>
      <c r="I102" s="6">
        <f>(Indices!I106-Indices!I105)/Indices!I105</f>
        <v>-3.3876365167360544E-3</v>
      </c>
      <c r="J102" s="6">
        <f>(Indices!J106-Indices!J105)/Indices!J105</f>
        <v>-1.4341336285741095E-2</v>
      </c>
      <c r="K102" s="6">
        <f>(Indices!K106-Indices!K105)/Indices!K105</f>
        <v>-1.5122817045627165E-2</v>
      </c>
      <c r="L102" s="6">
        <f>(Indices!L106-Indices!L105)/Indices!L105</f>
        <v>-1.7744067140357048E-2</v>
      </c>
      <c r="M102" s="10">
        <f>WEEKNUM(Rend_j[[#This Row],[Date]])-1</f>
        <v>20</v>
      </c>
      <c r="N102" s="7" t="str">
        <f>TEXT(Rend_j[[#This Row],[Date]],"ddd")</f>
        <v>Wed</v>
      </c>
      <c r="O102" s="7">
        <f>MONTH(Rend_j[[#This Row],[Date]])</f>
        <v>5</v>
      </c>
      <c r="P102" s="7">
        <f>YEAR(Rend_j[[#This Row],[Date]])</f>
        <v>2021</v>
      </c>
      <c r="Q102" s="7" t="str">
        <f>Rend_j[[#This Row],[Week]]&amp;","&amp;Rend_j[[#This Row],[Year]]</f>
        <v>20,2021</v>
      </c>
      <c r="R102" s="7" t="str">
        <f>Rend_j[[#This Row],[Month]]&amp;","&amp;Rend_j[[#This Row],[Year]]</f>
        <v>5,2021</v>
      </c>
    </row>
    <row r="103" spans="1:18" x14ac:dyDescent="0.25">
      <c r="A103" s="1">
        <v>44336</v>
      </c>
      <c r="B103" s="6">
        <f>(Indices!B107-Indices!B106)/Indices!B106</f>
        <v>5.9841563944443496E-3</v>
      </c>
      <c r="C103" s="6">
        <f>(Indices!C107-Indices!C106)/Indices!C106</f>
        <v>1.0742436322092286E-2</v>
      </c>
      <c r="D103" s="6">
        <f>(Indices!D107-Indices!D106)/Indices!D106</f>
        <v>-2.557828555941609E-3</v>
      </c>
      <c r="E103" s="6">
        <f>(Indices!E107-Indices!E106)/Indices!E106</f>
        <v>1.3307093993066266E-3</v>
      </c>
      <c r="F103" s="6">
        <f>(Indices!F107-Indices!F106)/Indices!F106</f>
        <v>-2.5287646984447345E-3</v>
      </c>
      <c r="G103" s="6">
        <f>(Indices!G107-Indices!G106)/Indices!G106</f>
        <v>9.5438826249769539E-3</v>
      </c>
      <c r="H103" s="6">
        <f>(Indices!H107-Indices!H106)/Indices!H106</f>
        <v>1.0220091523207697E-2</v>
      </c>
      <c r="I103" s="6">
        <f>(Indices!I107-Indices!I106)/Indices!I106</f>
        <v>1.0935758759212025E-2</v>
      </c>
      <c r="J103" s="6">
        <f>(Indices!J107-Indices!J106)/Indices!J106</f>
        <v>1.2938862847095603E-2</v>
      </c>
      <c r="K103" s="6">
        <f>(Indices!K107-Indices!K106)/Indices!K106</f>
        <v>1.2742352410893838E-2</v>
      </c>
      <c r="L103" s="6">
        <f>(Indices!L107-Indices!L106)/Indices!L106</f>
        <v>1.6984761188194471E-2</v>
      </c>
      <c r="M103" s="10">
        <f>WEEKNUM(Rend_j[[#This Row],[Date]])-1</f>
        <v>20</v>
      </c>
      <c r="N103" s="7" t="str">
        <f>TEXT(Rend_j[[#This Row],[Date]],"ddd")</f>
        <v>Thu</v>
      </c>
      <c r="O103" s="7">
        <f>MONTH(Rend_j[[#This Row],[Date]])</f>
        <v>5</v>
      </c>
      <c r="P103" s="7">
        <f>YEAR(Rend_j[[#This Row],[Date]])</f>
        <v>2021</v>
      </c>
      <c r="Q103" s="7" t="str">
        <f>Rend_j[[#This Row],[Week]]&amp;","&amp;Rend_j[[#This Row],[Year]]</f>
        <v>20,2021</v>
      </c>
      <c r="R103" s="7" t="str">
        <f>Rend_j[[#This Row],[Month]]&amp;","&amp;Rend_j[[#This Row],[Year]]</f>
        <v>5,2021</v>
      </c>
    </row>
    <row r="104" spans="1:18" x14ac:dyDescent="0.25">
      <c r="A104" s="1">
        <v>44337</v>
      </c>
      <c r="B104" s="6">
        <f>(Indices!B108-Indices!B107)/Indices!B107</f>
        <v>-7.2397444758072055E-3</v>
      </c>
      <c r="C104" s="6">
        <f>(Indices!C108-Indices!C107)/Indices!C107</f>
        <v>2.52898986777687E-3</v>
      </c>
      <c r="D104" s="6">
        <f>(Indices!D108-Indices!D107)/Indices!D107</f>
        <v>8.9853544848333237E-3</v>
      </c>
      <c r="E104" s="6">
        <f>(Indices!E108-Indices!E107)/Indices!E107</f>
        <v>2.7701868004341729E-3</v>
      </c>
      <c r="F104" s="6">
        <f>(Indices!F108-Indices!F107)/Indices!F107</f>
        <v>6.2836137116780858E-3</v>
      </c>
      <c r="G104" s="6">
        <f>(Indices!G108-Indices!G107)/Indices!G107</f>
        <v>2.5580009486089106E-3</v>
      </c>
      <c r="H104" s="6">
        <f>(Indices!H108-Indices!H107)/Indices!H107</f>
        <v>2.027653745766759E-3</v>
      </c>
      <c r="I104" s="6">
        <f>(Indices!I108-Indices!I107)/Indices!I107</f>
        <v>-5.2917428924025977E-4</v>
      </c>
      <c r="J104" s="6">
        <f>(Indices!J108-Indices!J107)/Indices!J107</f>
        <v>6.751720238944851E-3</v>
      </c>
      <c r="K104" s="6">
        <f>(Indices!K108-Indices!K107)/Indices!K107</f>
        <v>5.7479249479238511E-3</v>
      </c>
      <c r="L104" s="6">
        <f>(Indices!L108-Indices!L107)/Indices!L107</f>
        <v>4.3753326883427162E-3</v>
      </c>
      <c r="M104" s="10">
        <f>WEEKNUM(Rend_j[[#This Row],[Date]])-1</f>
        <v>20</v>
      </c>
      <c r="N104" s="7" t="str">
        <f>TEXT(Rend_j[[#This Row],[Date]],"ddd")</f>
        <v>Fri</v>
      </c>
      <c r="O104" s="7">
        <f>MONTH(Rend_j[[#This Row],[Date]])</f>
        <v>5</v>
      </c>
      <c r="P104" s="7">
        <f>YEAR(Rend_j[[#This Row],[Date]])</f>
        <v>2021</v>
      </c>
      <c r="Q104" s="7" t="str">
        <f>Rend_j[[#This Row],[Week]]&amp;","&amp;Rend_j[[#This Row],[Year]]</f>
        <v>20,2021</v>
      </c>
      <c r="R104" s="7" t="str">
        <f>Rend_j[[#This Row],[Month]]&amp;","&amp;Rend_j[[#This Row],[Year]]</f>
        <v>5,2021</v>
      </c>
    </row>
    <row r="105" spans="1:18" x14ac:dyDescent="0.25">
      <c r="A105" s="1">
        <v>44340</v>
      </c>
      <c r="B105" s="6">
        <f>(Indices!B109-Indices!B108)/Indices!B108</f>
        <v>-3.288914017507734E-3</v>
      </c>
      <c r="C105" s="6">
        <f>(Indices!C109-Indices!C108)/Indices!C108</f>
        <v>5.4021170458693011E-3</v>
      </c>
      <c r="D105" s="6">
        <f>(Indices!D109-Indices!D108)/Indices!D108</f>
        <v>-4.1062665087131479E-3</v>
      </c>
      <c r="E105" s="6">
        <f>(Indices!E109-Indices!E108)/Indices!E108</f>
        <v>-5.0187590995632459E-3</v>
      </c>
      <c r="F105" s="6">
        <f>(Indices!F109-Indices!F108)/Indices!F108</f>
        <v>3.3771219482933725E-3</v>
      </c>
      <c r="G105" s="6">
        <f>(Indices!G109-Indices!G108)/Indices!G108</f>
        <v>4.0880197971759737E-3</v>
      </c>
      <c r="H105" s="6">
        <f>(Indices!H109-Indices!H108)/Indices!H108</f>
        <v>1.4961358792757817E-3</v>
      </c>
      <c r="I105" s="6">
        <f>(Indices!I109-Indices!I108)/Indices!I108</f>
        <v>9.642471062954459E-3</v>
      </c>
      <c r="J105" s="6">
        <f>(Indices!J109-Indices!J108)/Indices!J108</f>
        <v>3.4573535774641466E-3</v>
      </c>
      <c r="K105" s="6">
        <f>(Indices!K109-Indices!K108)/Indices!K108</f>
        <v>0</v>
      </c>
      <c r="L105" s="6">
        <f>(Indices!L109-Indices!L108)/Indices!L108</f>
        <v>0</v>
      </c>
      <c r="M105" s="10">
        <f>WEEKNUM(Rend_j[[#This Row],[Date]])-1</f>
        <v>21</v>
      </c>
      <c r="N105" s="7" t="str">
        <f>TEXT(Rend_j[[#This Row],[Date]],"ddd")</f>
        <v>Mon</v>
      </c>
      <c r="O105" s="7">
        <f>MONTH(Rend_j[[#This Row],[Date]])</f>
        <v>5</v>
      </c>
      <c r="P105" s="7">
        <f>YEAR(Rend_j[[#This Row],[Date]])</f>
        <v>2021</v>
      </c>
      <c r="Q105" s="7" t="str">
        <f>Rend_j[[#This Row],[Week]]&amp;","&amp;Rend_j[[#This Row],[Year]]</f>
        <v>21,2021</v>
      </c>
      <c r="R105" s="7" t="str">
        <f>Rend_j[[#This Row],[Month]]&amp;","&amp;Rend_j[[#This Row],[Year]]</f>
        <v>5,2021</v>
      </c>
    </row>
    <row r="106" spans="1:18" x14ac:dyDescent="0.25">
      <c r="A106" s="1">
        <v>44341</v>
      </c>
      <c r="B106" s="6">
        <f>(Indices!B110-Indices!B109)/Indices!B109</f>
        <v>2.4031505427969262E-2</v>
      </c>
      <c r="C106" s="6">
        <f>(Indices!C110-Indices!C109)/Indices!C109</f>
        <v>-2.3920742874199859E-3</v>
      </c>
      <c r="D106" s="6">
        <f>(Indices!D110-Indices!D109)/Indices!D109</f>
        <v>7.494102064889519E-3</v>
      </c>
      <c r="E106" s="6">
        <f>(Indices!E110-Indices!E109)/Indices!E109</f>
        <v>1.2069664971238807E-2</v>
      </c>
      <c r="F106" s="6">
        <f>(Indices!F110-Indices!F109)/Indices!F109</f>
        <v>7.6521614366941663E-4</v>
      </c>
      <c r="G106" s="6">
        <f>(Indices!G110-Indices!G109)/Indices!G109</f>
        <v>-5.8392632057950383E-4</v>
      </c>
      <c r="H106" s="6">
        <f>(Indices!H110-Indices!H109)/Indices!H109</f>
        <v>-7.7704336611316991E-3</v>
      </c>
      <c r="I106" s="6">
        <f>(Indices!I110-Indices!I109)/Indices!I109</f>
        <v>-2.7798667925762743E-3</v>
      </c>
      <c r="J106" s="6">
        <f>(Indices!J110-Indices!J109)/Indices!J109</f>
        <v>-2.8431367349728166E-3</v>
      </c>
      <c r="K106" s="6">
        <f>(Indices!K110-Indices!K109)/Indices!K109</f>
        <v>1.7100395927007995E-3</v>
      </c>
      <c r="L106" s="6">
        <f>(Indices!L110-Indices!L109)/Indices!L109</f>
        <v>1.7865621081968053E-3</v>
      </c>
      <c r="M106" s="10">
        <f>WEEKNUM(Rend_j[[#This Row],[Date]])-1</f>
        <v>21</v>
      </c>
      <c r="N106" s="7" t="str">
        <f>TEXT(Rend_j[[#This Row],[Date]],"ddd")</f>
        <v>Tue</v>
      </c>
      <c r="O106" s="7">
        <f>MONTH(Rend_j[[#This Row],[Date]])</f>
        <v>5</v>
      </c>
      <c r="P106" s="7">
        <f>YEAR(Rend_j[[#This Row],[Date]])</f>
        <v>2021</v>
      </c>
      <c r="Q106" s="7" t="str">
        <f>Rend_j[[#This Row],[Week]]&amp;","&amp;Rend_j[[#This Row],[Year]]</f>
        <v>21,2021</v>
      </c>
      <c r="R106" s="7" t="str">
        <f>Rend_j[[#This Row],[Month]]&amp;","&amp;Rend_j[[#This Row],[Year]]</f>
        <v>5,2021</v>
      </c>
    </row>
    <row r="107" spans="1:18" x14ac:dyDescent="0.25">
      <c r="A107" s="1">
        <v>44342</v>
      </c>
      <c r="B107" s="6">
        <f>(Indices!B111-Indices!B110)/Indices!B110</f>
        <v>6.8306367972788499E-3</v>
      </c>
      <c r="C107" s="6">
        <f>(Indices!C111-Indices!C110)/Indices!C110</f>
        <v>3.5583015579699704E-3</v>
      </c>
      <c r="D107" s="6">
        <f>(Indices!D111-Indices!D110)/Indices!D110</f>
        <v>6.0239636825203686E-3</v>
      </c>
      <c r="E107" s="6">
        <f>(Indices!E111-Indices!E110)/Indices!E110</f>
        <v>7.02290147084721E-3</v>
      </c>
      <c r="F107" s="6">
        <f>(Indices!F111-Indices!F110)/Indices!F110</f>
        <v>2.7180243845615262E-3</v>
      </c>
      <c r="G107" s="6">
        <f>(Indices!G111-Indices!G110)/Indices!G110</f>
        <v>4.0012249470129622E-3</v>
      </c>
      <c r="H107" s="6">
        <f>(Indices!H111-Indices!H110)/Indices!H110</f>
        <v>8.1237408201731811E-4</v>
      </c>
      <c r="I107" s="6">
        <f>(Indices!I111-Indices!I110)/Indices!I110</f>
        <v>3.7632076394107867E-3</v>
      </c>
      <c r="J107" s="6">
        <f>(Indices!J111-Indices!J110)/Indices!J110</f>
        <v>2.0814112640579117E-4</v>
      </c>
      <c r="K107" s="6">
        <f>(Indices!K111-Indices!K110)/Indices!K110</f>
        <v>4.4898920622692123E-5</v>
      </c>
      <c r="L107" s="6">
        <f>(Indices!L111-Indices!L110)/Indices!L110</f>
        <v>-9.2919667125579658E-4</v>
      </c>
      <c r="M107" s="10">
        <f>WEEKNUM(Rend_j[[#This Row],[Date]])-1</f>
        <v>21</v>
      </c>
      <c r="N107" s="7" t="str">
        <f>TEXT(Rend_j[[#This Row],[Date]],"ddd")</f>
        <v>Wed</v>
      </c>
      <c r="O107" s="7">
        <f>MONTH(Rend_j[[#This Row],[Date]])</f>
        <v>5</v>
      </c>
      <c r="P107" s="7">
        <f>YEAR(Rend_j[[#This Row],[Date]])</f>
        <v>2021</v>
      </c>
      <c r="Q107" s="7" t="str">
        <f>Rend_j[[#This Row],[Week]]&amp;","&amp;Rend_j[[#This Row],[Year]]</f>
        <v>21,2021</v>
      </c>
      <c r="R107" s="7" t="str">
        <f>Rend_j[[#This Row],[Month]]&amp;","&amp;Rend_j[[#This Row],[Year]]</f>
        <v>5,2021</v>
      </c>
    </row>
    <row r="108" spans="1:18" x14ac:dyDescent="0.25">
      <c r="A108" s="1">
        <v>44343</v>
      </c>
      <c r="B108" s="6">
        <f>(Indices!B112-Indices!B111)/Indices!B111</f>
        <v>4.4508981412276771E-3</v>
      </c>
      <c r="C108" s="6">
        <f>(Indices!C112-Indices!C111)/Indices!C111</f>
        <v>1.6962879096173509E-3</v>
      </c>
      <c r="D108" s="6">
        <f>(Indices!D112-Indices!D111)/Indices!D111</f>
        <v>3.9547627293374122E-3</v>
      </c>
      <c r="E108" s="6">
        <f>(Indices!E112-Indices!E111)/Indices!E111</f>
        <v>3.0601515350225923E-3</v>
      </c>
      <c r="F108" s="6">
        <f>(Indices!F112-Indices!F111)/Indices!F111</f>
        <v>-8.1617576970737099E-3</v>
      </c>
      <c r="G108" s="6">
        <f>(Indices!G112-Indices!G111)/Indices!G111</f>
        <v>1.866218239172938E-3</v>
      </c>
      <c r="H108" s="6">
        <f>(Indices!H112-Indices!H111)/Indices!H111</f>
        <v>4.9676937562906694E-3</v>
      </c>
      <c r="I108" s="6">
        <f>(Indices!I112-Indices!I111)/Indices!I111</f>
        <v>1.9689475394414967E-3</v>
      </c>
      <c r="J108" s="6">
        <f>(Indices!J112-Indices!J111)/Indices!J111</f>
        <v>6.9012238443706964E-3</v>
      </c>
      <c r="K108" s="6">
        <f>(Indices!K112-Indices!K111)/Indices!K111</f>
        <v>2.7402205589590477E-3</v>
      </c>
      <c r="L108" s="6">
        <f>(Indices!L112-Indices!L111)/Indices!L111</f>
        <v>-2.8470686653249053E-3</v>
      </c>
      <c r="M108" s="10">
        <f>WEEKNUM(Rend_j[[#This Row],[Date]])-1</f>
        <v>21</v>
      </c>
      <c r="N108" s="7" t="str">
        <f>TEXT(Rend_j[[#This Row],[Date]],"ddd")</f>
        <v>Thu</v>
      </c>
      <c r="O108" s="7">
        <f>MONTH(Rend_j[[#This Row],[Date]])</f>
        <v>5</v>
      </c>
      <c r="P108" s="7">
        <f>YEAR(Rend_j[[#This Row],[Date]])</f>
        <v>2021</v>
      </c>
      <c r="Q108" s="7" t="str">
        <f>Rend_j[[#This Row],[Week]]&amp;","&amp;Rend_j[[#This Row],[Year]]</f>
        <v>21,2021</v>
      </c>
      <c r="R108" s="7" t="str">
        <f>Rend_j[[#This Row],[Month]]&amp;","&amp;Rend_j[[#This Row],[Year]]</f>
        <v>5,2021</v>
      </c>
    </row>
    <row r="109" spans="1:18" x14ac:dyDescent="0.25">
      <c r="A109" s="1">
        <v>44344</v>
      </c>
      <c r="B109" s="6">
        <f>(Indices!B113-Indices!B112)/Indices!B112</f>
        <v>-6.9367120363142767E-4</v>
      </c>
      <c r="C109" s="6">
        <f>(Indices!C113-Indices!C112)/Indices!C112</f>
        <v>4.5573388037487682E-3</v>
      </c>
      <c r="D109" s="6">
        <f>(Indices!D113-Indices!D112)/Indices!D112</f>
        <v>1.123694093881087E-2</v>
      </c>
      <c r="E109" s="6">
        <f>(Indices!E113-Indices!E112)/Indices!E112</f>
        <v>6.4250634821962837E-3</v>
      </c>
      <c r="F109" s="6">
        <f>(Indices!F113-Indices!F112)/Indices!F112</f>
        <v>1.7857357375395008E-2</v>
      </c>
      <c r="G109" s="6">
        <f>(Indices!G113-Indices!G112)/Indices!G112</f>
        <v>4.7990642225356024E-3</v>
      </c>
      <c r="H109" s="6">
        <f>(Indices!H113-Indices!H112)/Indices!H112</f>
        <v>1.2169380546222059E-3</v>
      </c>
      <c r="I109" s="6">
        <f>(Indices!I113-Indices!I112)/Indices!I112</f>
        <v>7.7427847822318391E-4</v>
      </c>
      <c r="J109" s="6">
        <f>(Indices!J113-Indices!J112)/Indices!J112</f>
        <v>7.5205225675644945E-3</v>
      </c>
      <c r="K109" s="6">
        <f>(Indices!K113-Indices!K112)/Indices!K112</f>
        <v>5.6894744839643598E-3</v>
      </c>
      <c r="L109" s="6">
        <f>(Indices!L113-Indices!L112)/Indices!L112</f>
        <v>7.3506835353886737E-3</v>
      </c>
      <c r="M109" s="10">
        <f>WEEKNUM(Rend_j[[#This Row],[Date]])-1</f>
        <v>21</v>
      </c>
      <c r="N109" s="7" t="str">
        <f>TEXT(Rend_j[[#This Row],[Date]],"ddd")</f>
        <v>Fri</v>
      </c>
      <c r="O109" s="7">
        <f>MONTH(Rend_j[[#This Row],[Date]])</f>
        <v>5</v>
      </c>
      <c r="P109" s="7">
        <f>YEAR(Rend_j[[#This Row],[Date]])</f>
        <v>2021</v>
      </c>
      <c r="Q109" s="7" t="str">
        <f>Rend_j[[#This Row],[Week]]&amp;","&amp;Rend_j[[#This Row],[Year]]</f>
        <v>21,2021</v>
      </c>
      <c r="R109" s="7" t="str">
        <f>Rend_j[[#This Row],[Month]]&amp;","&amp;Rend_j[[#This Row],[Year]]</f>
        <v>5,2021</v>
      </c>
    </row>
    <row r="110" spans="1:18" x14ac:dyDescent="0.25">
      <c r="A110" s="1">
        <v>44347</v>
      </c>
      <c r="B110" s="6">
        <f>(Indices!B114-Indices!B113)/Indices!B113</f>
        <v>8.1598424610788943E-3</v>
      </c>
      <c r="C110" s="6">
        <f>(Indices!C114-Indices!C113)/Indices!C113</f>
        <v>-4.8810176861813709E-3</v>
      </c>
      <c r="D110" s="6">
        <f>(Indices!D114-Indices!D113)/Indices!D113</f>
        <v>5.7547375623494424E-3</v>
      </c>
      <c r="E110" s="6">
        <f>(Indices!E114-Indices!E113)/Indices!E113</f>
        <v>7.6125356125355554E-3</v>
      </c>
      <c r="F110" s="6">
        <f>(Indices!F114-Indices!F113)/Indices!F113</f>
        <v>-1.0480411190907597E-2</v>
      </c>
      <c r="G110" s="6">
        <f>(Indices!G114-Indices!G113)/Indices!G113</f>
        <v>-3.2611729059522864E-3</v>
      </c>
      <c r="H110" s="6">
        <f>(Indices!H114-Indices!H113)/Indices!H113</f>
        <v>-1.1186524540438127E-3</v>
      </c>
      <c r="I110" s="6">
        <f>(Indices!I114-Indices!I113)/Indices!I113</f>
        <v>0</v>
      </c>
      <c r="J110" s="6">
        <f>(Indices!J114-Indices!J113)/Indices!J113</f>
        <v>-5.6969949276751844E-3</v>
      </c>
      <c r="K110" s="6">
        <f>(Indices!K114-Indices!K113)/Indices!K113</f>
        <v>-4.9445430656376551E-3</v>
      </c>
      <c r="L110" s="6">
        <f>(Indices!L114-Indices!L113)/Indices!L113</f>
        <v>-6.3692470613012321E-3</v>
      </c>
      <c r="M110" s="10">
        <f>WEEKNUM(Rend_j[[#This Row],[Date]])-1</f>
        <v>22</v>
      </c>
      <c r="N110" s="7" t="str">
        <f>TEXT(Rend_j[[#This Row],[Date]],"ddd")</f>
        <v>Mon</v>
      </c>
      <c r="O110" s="7">
        <f>MONTH(Rend_j[[#This Row],[Date]])</f>
        <v>5</v>
      </c>
      <c r="P110" s="7">
        <f>YEAR(Rend_j[[#This Row],[Date]])</f>
        <v>2021</v>
      </c>
      <c r="Q110" s="7" t="str">
        <f>Rend_j[[#This Row],[Week]]&amp;","&amp;Rend_j[[#This Row],[Year]]</f>
        <v>22,2021</v>
      </c>
      <c r="R110" s="7" t="str">
        <f>Rend_j[[#This Row],[Month]]&amp;","&amp;Rend_j[[#This Row],[Year]]</f>
        <v>5,2021</v>
      </c>
    </row>
    <row r="111" spans="1:18" x14ac:dyDescent="0.25">
      <c r="A111" s="1">
        <v>44348</v>
      </c>
      <c r="B111" s="6">
        <f>(Indices!B115-Indices!B114)/Indices!B114</f>
        <v>1.0130621323293645E-2</v>
      </c>
      <c r="C111" s="6">
        <f>(Indices!C115-Indices!C114)/Indices!C114</f>
        <v>6.1161095105497583E-4</v>
      </c>
      <c r="D111" s="6">
        <f>(Indices!D115-Indices!D114)/Indices!D114</f>
        <v>4.6495714866377699E-3</v>
      </c>
      <c r="E111" s="6">
        <f>(Indices!E115-Indices!E114)/Indices!E114</f>
        <v>9.1112669365966664E-3</v>
      </c>
      <c r="F111" s="6">
        <f>(Indices!F115-Indices!F114)/Indices!F114</f>
        <v>-2.1469081540765233E-4</v>
      </c>
      <c r="G111" s="6">
        <f>(Indices!G115-Indices!G114)/Indices!G114</f>
        <v>1.7239172519719517E-3</v>
      </c>
      <c r="H111" s="6">
        <f>(Indices!H115-Indices!H114)/Indices!H114</f>
        <v>3.7689118613041354E-3</v>
      </c>
      <c r="I111" s="6">
        <f>(Indices!I115-Indices!I114)/Indices!I114</f>
        <v>6.4056126293190216E-4</v>
      </c>
      <c r="J111" s="6">
        <f>(Indices!J115-Indices!J114)/Indices!J114</f>
        <v>6.5501577453227341E-3</v>
      </c>
      <c r="K111" s="6">
        <f>(Indices!K115-Indices!K114)/Indices!K114</f>
        <v>7.4760406599507084E-3</v>
      </c>
      <c r="L111" s="6">
        <f>(Indices!L115-Indices!L114)/Indices!L114</f>
        <v>9.4824744449918622E-3</v>
      </c>
      <c r="M111" s="10">
        <f>WEEKNUM(Rend_j[[#This Row],[Date]])-1</f>
        <v>22</v>
      </c>
      <c r="N111" s="7" t="str">
        <f>TEXT(Rend_j[[#This Row],[Date]],"ddd")</f>
        <v>Tue</v>
      </c>
      <c r="O111" s="7">
        <f>MONTH(Rend_j[[#This Row],[Date]])</f>
        <v>6</v>
      </c>
      <c r="P111" s="7">
        <f>YEAR(Rend_j[[#This Row],[Date]])</f>
        <v>2021</v>
      </c>
      <c r="Q111" s="7" t="str">
        <f>Rend_j[[#This Row],[Week]]&amp;","&amp;Rend_j[[#This Row],[Year]]</f>
        <v>22,2021</v>
      </c>
      <c r="R111" s="7" t="str">
        <f>Rend_j[[#This Row],[Month]]&amp;","&amp;Rend_j[[#This Row],[Year]]</f>
        <v>6,2021</v>
      </c>
    </row>
    <row r="112" spans="1:18" x14ac:dyDescent="0.25">
      <c r="A112" s="1">
        <v>44349</v>
      </c>
      <c r="B112" s="6">
        <f>(Indices!B116-Indices!B115)/Indices!B115</f>
        <v>-6.5815451022582802E-3</v>
      </c>
      <c r="C112" s="6">
        <f>(Indices!C116-Indices!C115)/Indices!C115</f>
        <v>4.47972462159599E-3</v>
      </c>
      <c r="D112" s="6">
        <f>(Indices!D116-Indices!D115)/Indices!D115</f>
        <v>5.5056730022798135E-3</v>
      </c>
      <c r="E112" s="6">
        <f>(Indices!E116-Indices!E115)/Indices!E115</f>
        <v>1.4368395805594474E-3</v>
      </c>
      <c r="F112" s="6">
        <f>(Indices!F116-Indices!F115)/Indices!F115</f>
        <v>9.5975472272096067E-3</v>
      </c>
      <c r="G112" s="6">
        <f>(Indices!G116-Indices!G115)/Indices!G115</f>
        <v>4.0807688775489487E-3</v>
      </c>
      <c r="H112" s="6">
        <f>(Indices!H116-Indices!H115)/Indices!H115</f>
        <v>6.7585688998551248E-3</v>
      </c>
      <c r="I112" s="6">
        <f>(Indices!I116-Indices!I115)/Indices!I115</f>
        <v>1.2525469562158871E-3</v>
      </c>
      <c r="J112" s="6">
        <f>(Indices!J116-Indices!J115)/Indices!J115</f>
        <v>4.9496283916946717E-3</v>
      </c>
      <c r="K112" s="6">
        <f>(Indices!K116-Indices!K115)/Indices!K115</f>
        <v>2.7549210919139101E-3</v>
      </c>
      <c r="L112" s="6">
        <f>(Indices!L116-Indices!L115)/Indices!L115</f>
        <v>2.2707517013312601E-3</v>
      </c>
      <c r="M112" s="10">
        <f>WEEKNUM(Rend_j[[#This Row],[Date]])-1</f>
        <v>22</v>
      </c>
      <c r="N112" s="7" t="str">
        <f>TEXT(Rend_j[[#This Row],[Date]],"ddd")</f>
        <v>Wed</v>
      </c>
      <c r="O112" s="7">
        <f>MONTH(Rend_j[[#This Row],[Date]])</f>
        <v>6</v>
      </c>
      <c r="P112" s="7">
        <f>YEAR(Rend_j[[#This Row],[Date]])</f>
        <v>2021</v>
      </c>
      <c r="Q112" s="7" t="str">
        <f>Rend_j[[#This Row],[Week]]&amp;","&amp;Rend_j[[#This Row],[Year]]</f>
        <v>22,2021</v>
      </c>
      <c r="R112" s="7" t="str">
        <f>Rend_j[[#This Row],[Month]]&amp;","&amp;Rend_j[[#This Row],[Year]]</f>
        <v>6,2021</v>
      </c>
    </row>
    <row r="113" spans="1:18" x14ac:dyDescent="0.25">
      <c r="A113" s="1">
        <v>44350</v>
      </c>
      <c r="B113" s="6">
        <f>(Indices!B117-Indices!B116)/Indices!B116</f>
        <v>-6.5431605750649229E-3</v>
      </c>
      <c r="C113" s="6">
        <f>(Indices!C117-Indices!C116)/Indices!C116</f>
        <v>1.3131030065254932E-3</v>
      </c>
      <c r="D113" s="6">
        <f>(Indices!D117-Indices!D116)/Indices!D116</f>
        <v>9.3452402448272812E-3</v>
      </c>
      <c r="E113" s="6">
        <f>(Indices!E117-Indices!E116)/Indices!E116</f>
        <v>2.1823846861506223E-3</v>
      </c>
      <c r="F113" s="6">
        <f>(Indices!F117-Indices!F116)/Indices!F116</f>
        <v>9.1518173654110135E-3</v>
      </c>
      <c r="G113" s="6">
        <f>(Indices!G117-Indices!G116)/Indices!G116</f>
        <v>1.4276340643827525E-3</v>
      </c>
      <c r="H113" s="6">
        <f>(Indices!H117-Indices!H116)/Indices!H116</f>
        <v>-3.9213596888485799E-3</v>
      </c>
      <c r="I113" s="6">
        <f>(Indices!I117-Indices!I116)/Indices!I116</f>
        <v>-4.7950330781988994E-3</v>
      </c>
      <c r="J113" s="6">
        <f>(Indices!J117-Indices!J116)/Indices!J116</f>
        <v>-2.0854184236637351E-3</v>
      </c>
      <c r="K113" s="6">
        <f>(Indices!K117-Indices!K116)/Indices!K116</f>
        <v>-1.2185647291936151E-3</v>
      </c>
      <c r="L113" s="6">
        <f>(Indices!L117-Indices!L116)/Indices!L116</f>
        <v>1.920176692177654E-3</v>
      </c>
      <c r="M113" s="10">
        <f>WEEKNUM(Rend_j[[#This Row],[Date]])-1</f>
        <v>22</v>
      </c>
      <c r="N113" s="7" t="str">
        <f>TEXT(Rend_j[[#This Row],[Date]],"ddd")</f>
        <v>Thu</v>
      </c>
      <c r="O113" s="7">
        <f>MONTH(Rend_j[[#This Row],[Date]])</f>
        <v>6</v>
      </c>
      <c r="P113" s="7">
        <f>YEAR(Rend_j[[#This Row],[Date]])</f>
        <v>2021</v>
      </c>
      <c r="Q113" s="7" t="str">
        <f>Rend_j[[#This Row],[Week]]&amp;","&amp;Rend_j[[#This Row],[Year]]</f>
        <v>22,2021</v>
      </c>
      <c r="R113" s="7" t="str">
        <f>Rend_j[[#This Row],[Month]]&amp;","&amp;Rend_j[[#This Row],[Year]]</f>
        <v>6,2021</v>
      </c>
    </row>
    <row r="114" spans="1:18" x14ac:dyDescent="0.25">
      <c r="A114" s="1">
        <v>44351</v>
      </c>
      <c r="B114" s="6">
        <f>(Indices!B118-Indices!B117)/Indices!B117</f>
        <v>-1.7964797156258619E-3</v>
      </c>
      <c r="C114" s="6">
        <f>(Indices!C118-Indices!C117)/Indices!C117</f>
        <v>6.041148577871228E-3</v>
      </c>
      <c r="D114" s="6">
        <f>(Indices!D118-Indices!D117)/Indices!D117</f>
        <v>-3.8882784746170004E-3</v>
      </c>
      <c r="E114" s="6">
        <f>(Indices!E118-Indices!E117)/Indices!E117</f>
        <v>-3.6316205604219835E-3</v>
      </c>
      <c r="F114" s="6">
        <f>(Indices!F118-Indices!F117)/Indices!F117</f>
        <v>3.3371388425396981E-3</v>
      </c>
      <c r="G114" s="6">
        <f>(Indices!G118-Indices!G117)/Indices!G117</f>
        <v>4.7652328610457645E-3</v>
      </c>
      <c r="H114" s="6">
        <f>(Indices!H118-Indices!H117)/Indices!H117</f>
        <v>2.524685216684211E-3</v>
      </c>
      <c r="I114" s="6">
        <f>(Indices!I118-Indices!I117)/Indices!I117</f>
        <v>8.600839908492126E-3</v>
      </c>
      <c r="J114" s="6">
        <f>(Indices!J118-Indices!J117)/Indices!J117</f>
        <v>1.1893560604263184E-3</v>
      </c>
      <c r="K114" s="6">
        <f>(Indices!K118-Indices!K117)/Indices!K117</f>
        <v>3.9486190120952254E-3</v>
      </c>
      <c r="L114" s="6">
        <f>(Indices!L118-Indices!L117)/Indices!L117</f>
        <v>3.8528588083947993E-3</v>
      </c>
      <c r="M114" s="10">
        <f>WEEKNUM(Rend_j[[#This Row],[Date]])-1</f>
        <v>22</v>
      </c>
      <c r="N114" s="7" t="str">
        <f>TEXT(Rend_j[[#This Row],[Date]],"ddd")</f>
        <v>Fri</v>
      </c>
      <c r="O114" s="7">
        <f>MONTH(Rend_j[[#This Row],[Date]])</f>
        <v>6</v>
      </c>
      <c r="P114" s="7">
        <f>YEAR(Rend_j[[#This Row],[Date]])</f>
        <v>2021</v>
      </c>
      <c r="Q114" s="7" t="str">
        <f>Rend_j[[#This Row],[Week]]&amp;","&amp;Rend_j[[#This Row],[Year]]</f>
        <v>22,2021</v>
      </c>
      <c r="R114" s="7" t="str">
        <f>Rend_j[[#This Row],[Month]]&amp;","&amp;Rend_j[[#This Row],[Year]]</f>
        <v>6,2021</v>
      </c>
    </row>
    <row r="115" spans="1:18" x14ac:dyDescent="0.25">
      <c r="A115" s="1">
        <v>44354</v>
      </c>
      <c r="B115" s="6">
        <f>(Indices!B119-Indices!B118)/Indices!B118</f>
        <v>-4.3375437707458882E-3</v>
      </c>
      <c r="C115" s="6">
        <f>(Indices!C119-Indices!C118)/Indices!C118</f>
        <v>-7.2328706150717108E-4</v>
      </c>
      <c r="D115" s="6">
        <f>(Indices!D119-Indices!D118)/Indices!D118</f>
        <v>-2.8637641850465617E-5</v>
      </c>
      <c r="E115" s="6">
        <f>(Indices!E119-Indices!E118)/Indices!E118</f>
        <v>-2.6271665157316737E-3</v>
      </c>
      <c r="F115" s="6">
        <f>(Indices!F119-Indices!F118)/Indices!F118</f>
        <v>9.8614150255294615E-4</v>
      </c>
      <c r="G115" s="6">
        <f>(Indices!G119-Indices!G118)/Indices!G118</f>
        <v>-9.7223978753007356E-4</v>
      </c>
      <c r="H115" s="6">
        <f>(Indices!H119-Indices!H118)/Indices!H118</f>
        <v>-1.1097713230821681E-3</v>
      </c>
      <c r="I115" s="6">
        <f>(Indices!I119-Indices!I118)/Indices!I118</f>
        <v>1.2550340063677637E-3</v>
      </c>
      <c r="J115" s="6">
        <f>(Indices!J119-Indices!J118)/Indices!J118</f>
        <v>4.2819763971742126E-3</v>
      </c>
      <c r="K115" s="6">
        <f>(Indices!K119-Indices!K118)/Indices!K118</f>
        <v>2.1874869847484874E-3</v>
      </c>
      <c r="L115" s="6">
        <f>(Indices!L119-Indices!L118)/Indices!L118</f>
        <v>-1.0036385632089008E-3</v>
      </c>
      <c r="M115" s="10">
        <f>WEEKNUM(Rend_j[[#This Row],[Date]])-1</f>
        <v>23</v>
      </c>
      <c r="N115" s="7" t="str">
        <f>TEXT(Rend_j[[#This Row],[Date]],"ddd")</f>
        <v>Mon</v>
      </c>
      <c r="O115" s="7">
        <f>MONTH(Rend_j[[#This Row],[Date]])</f>
        <v>6</v>
      </c>
      <c r="P115" s="7">
        <f>YEAR(Rend_j[[#This Row],[Date]])</f>
        <v>2021</v>
      </c>
      <c r="Q115" s="7" t="str">
        <f>Rend_j[[#This Row],[Week]]&amp;","&amp;Rend_j[[#This Row],[Year]]</f>
        <v>23,2021</v>
      </c>
      <c r="R115" s="7" t="str">
        <f>Rend_j[[#This Row],[Month]]&amp;","&amp;Rend_j[[#This Row],[Year]]</f>
        <v>6,2021</v>
      </c>
    </row>
    <row r="116" spans="1:18" x14ac:dyDescent="0.25">
      <c r="A116" s="1">
        <v>44355</v>
      </c>
      <c r="B116" s="6">
        <f>(Indices!B120-Indices!B119)/Indices!B119</f>
        <v>-5.6651401129996252E-3</v>
      </c>
      <c r="C116" s="6">
        <f>(Indices!C120-Indices!C119)/Indices!C119</f>
        <v>3.2611246107527088E-4</v>
      </c>
      <c r="D116" s="6">
        <f>(Indices!D120-Indices!D119)/Indices!D119</f>
        <v>-1.4775504795364206E-3</v>
      </c>
      <c r="E116" s="6">
        <f>(Indices!E120-Indices!E119)/Indices!E119</f>
        <v>-2.2475142492403401E-3</v>
      </c>
      <c r="F116" s="6">
        <f>(Indices!F120-Indices!F119)/Indices!F119</f>
        <v>-9.2104649535988117E-4</v>
      </c>
      <c r="G116" s="6">
        <f>(Indices!G120-Indices!G119)/Indices!G119</f>
        <v>-7.9120809563376874E-6</v>
      </c>
      <c r="H116" s="6">
        <f>(Indices!H120-Indices!H119)/Indices!H119</f>
        <v>5.5550214188813799E-4</v>
      </c>
      <c r="I116" s="6">
        <f>(Indices!I120-Indices!I119)/Indices!I119</f>
        <v>1.5184477314155315E-3</v>
      </c>
      <c r="J116" s="6">
        <f>(Indices!J120-Indices!J119)/Indices!J119</f>
        <v>1.1384791967720153E-3</v>
      </c>
      <c r="K116" s="6">
        <f>(Indices!K120-Indices!K119)/Indices!K119</f>
        <v>9.9217744506651826E-4</v>
      </c>
      <c r="L116" s="6">
        <f>(Indices!L120-Indices!L119)/Indices!L119</f>
        <v>-2.3314683530315612E-3</v>
      </c>
      <c r="M116" s="10">
        <f>WEEKNUM(Rend_j[[#This Row],[Date]])-1</f>
        <v>23</v>
      </c>
      <c r="N116" s="7" t="str">
        <f>TEXT(Rend_j[[#This Row],[Date]],"ddd")</f>
        <v>Tue</v>
      </c>
      <c r="O116" s="7">
        <f>MONTH(Rend_j[[#This Row],[Date]])</f>
        <v>6</v>
      </c>
      <c r="P116" s="7">
        <f>YEAR(Rend_j[[#This Row],[Date]])</f>
        <v>2021</v>
      </c>
      <c r="Q116" s="7" t="str">
        <f>Rend_j[[#This Row],[Week]]&amp;","&amp;Rend_j[[#This Row],[Year]]</f>
        <v>23,2021</v>
      </c>
      <c r="R116" s="7" t="str">
        <f>Rend_j[[#This Row],[Month]]&amp;","&amp;Rend_j[[#This Row],[Year]]</f>
        <v>6,2021</v>
      </c>
    </row>
    <row r="117" spans="1:18" x14ac:dyDescent="0.25">
      <c r="A117" s="1">
        <v>44356</v>
      </c>
      <c r="B117" s="6">
        <f>(Indices!B121-Indices!B120)/Indices!B120</f>
        <v>1.1748560483750847E-5</v>
      </c>
      <c r="C117" s="6">
        <f>(Indices!C121-Indices!C120)/Indices!C120</f>
        <v>-1.6459334708919739E-3</v>
      </c>
      <c r="D117" s="6">
        <f>(Indices!D121-Indices!D120)/Indices!D120</f>
        <v>-4.4846624350275742E-3</v>
      </c>
      <c r="E117" s="6">
        <f>(Indices!E121-Indices!E120)/Indices!E120</f>
        <v>-3.2774994593814969E-3</v>
      </c>
      <c r="F117" s="6">
        <f>(Indices!F121-Indices!F120)/Indices!F120</f>
        <v>-5.0529214754996641E-3</v>
      </c>
      <c r="G117" s="6">
        <f>(Indices!G121-Indices!G120)/Indices!G120</f>
        <v>-1.8593537361141835E-3</v>
      </c>
      <c r="H117" s="6">
        <f>(Indices!H121-Indices!H120)/Indices!H120</f>
        <v>-3.5767288412467085E-3</v>
      </c>
      <c r="I117" s="6">
        <f>(Indices!I121-Indices!I120)/Indices!I120</f>
        <v>-2.5831367424368154E-3</v>
      </c>
      <c r="J117" s="6">
        <f>(Indices!J121-Indices!J120)/Indices!J120</f>
        <v>1.8990093808998027E-3</v>
      </c>
      <c r="K117" s="6">
        <f>(Indices!K121-Indices!K120)/Indices!K120</f>
        <v>9.4709806067925714E-4</v>
      </c>
      <c r="L117" s="6">
        <f>(Indices!L121-Indices!L120)/Indices!L120</f>
        <v>-3.8016419755406128E-3</v>
      </c>
      <c r="M117" s="10">
        <f>WEEKNUM(Rend_j[[#This Row],[Date]])-1</f>
        <v>23</v>
      </c>
      <c r="N117" s="7" t="str">
        <f>TEXT(Rend_j[[#This Row],[Date]],"ddd")</f>
        <v>Wed</v>
      </c>
      <c r="O117" s="7">
        <f>MONTH(Rend_j[[#This Row],[Date]])</f>
        <v>6</v>
      </c>
      <c r="P117" s="7">
        <f>YEAR(Rend_j[[#This Row],[Date]])</f>
        <v>2021</v>
      </c>
      <c r="Q117" s="7" t="str">
        <f>Rend_j[[#This Row],[Week]]&amp;","&amp;Rend_j[[#This Row],[Year]]</f>
        <v>23,2021</v>
      </c>
      <c r="R117" s="7" t="str">
        <f>Rend_j[[#This Row],[Month]]&amp;","&amp;Rend_j[[#This Row],[Year]]</f>
        <v>6,2021</v>
      </c>
    </row>
    <row r="118" spans="1:18" x14ac:dyDescent="0.25">
      <c r="A118" s="1">
        <v>44357</v>
      </c>
      <c r="B118" s="6">
        <f>(Indices!B122-Indices!B121)/Indices!B121</f>
        <v>6.1999918078568675E-3</v>
      </c>
      <c r="C118" s="6">
        <f>(Indices!C122-Indices!C121)/Indices!C121</f>
        <v>4.7229357067478193E-3</v>
      </c>
      <c r="D118" s="6">
        <f>(Indices!D122-Indices!D121)/Indices!D121</f>
        <v>6.6763611646484802E-3</v>
      </c>
      <c r="E118" s="6">
        <f>(Indices!E122-Indices!E121)/Indices!E121</f>
        <v>5.5188810366998972E-3</v>
      </c>
      <c r="F118" s="6">
        <f>(Indices!F122-Indices!F121)/Indices!F121</f>
        <v>9.6176401595113336E-4</v>
      </c>
      <c r="G118" s="6">
        <f>(Indices!G122-Indices!G121)/Indices!G121</f>
        <v>4.8274714037715681E-3</v>
      </c>
      <c r="H118" s="6">
        <f>(Indices!H122-Indices!H121)/Indices!H121</f>
        <v>3.3216895613226998E-3</v>
      </c>
      <c r="I118" s="6">
        <f>(Indices!I122-Indices!I121)/Indices!I121</f>
        <v>4.1440217157733194E-3</v>
      </c>
      <c r="J118" s="6">
        <f>(Indices!J122-Indices!J121)/Indices!J121</f>
        <v>-2.5840008678546049E-3</v>
      </c>
      <c r="K118" s="6">
        <f>(Indices!K122-Indices!K121)/Indices!K121</f>
        <v>2.6405245900869143E-4</v>
      </c>
      <c r="L118" s="6">
        <f>(Indices!L122-Indices!L121)/Indices!L121</f>
        <v>-6.3666203004595083E-4</v>
      </c>
      <c r="M118" s="10">
        <f>WEEKNUM(Rend_j[[#This Row],[Date]])-1</f>
        <v>23</v>
      </c>
      <c r="N118" s="7" t="str">
        <f>TEXT(Rend_j[[#This Row],[Date]],"ddd")</f>
        <v>Thu</v>
      </c>
      <c r="O118" s="7">
        <f>MONTH(Rend_j[[#This Row],[Date]])</f>
        <v>6</v>
      </c>
      <c r="P118" s="7">
        <f>YEAR(Rend_j[[#This Row],[Date]])</f>
        <v>2021</v>
      </c>
      <c r="Q118" s="7" t="str">
        <f>Rend_j[[#This Row],[Week]]&amp;","&amp;Rend_j[[#This Row],[Year]]</f>
        <v>23,2021</v>
      </c>
      <c r="R118" s="7" t="str">
        <f>Rend_j[[#This Row],[Month]]&amp;","&amp;Rend_j[[#This Row],[Year]]</f>
        <v>6,2021</v>
      </c>
    </row>
    <row r="119" spans="1:18" x14ac:dyDescent="0.25">
      <c r="A119" s="1">
        <v>44358</v>
      </c>
      <c r="B119" s="6">
        <f>(Indices!B123-Indices!B122)/Indices!B122</f>
        <v>2.7410272067303464E-3</v>
      </c>
      <c r="C119" s="6">
        <f>(Indices!C123-Indices!C122)/Indices!C122</f>
        <v>6.8212175140011481E-3</v>
      </c>
      <c r="D119" s="6">
        <f>(Indices!D123-Indices!D122)/Indices!D122</f>
        <v>8.5379124982202931E-3</v>
      </c>
      <c r="E119" s="6">
        <f>(Indices!E123-Indices!E122)/Indices!E122</f>
        <v>7.3675669722626609E-3</v>
      </c>
      <c r="F119" s="6">
        <f>(Indices!F123-Indices!F122)/Indices!F122</f>
        <v>2.7301914649293913E-3</v>
      </c>
      <c r="G119" s="6">
        <f>(Indices!G123-Indices!G122)/Indices!G122</f>
        <v>6.890866347959111E-3</v>
      </c>
      <c r="H119" s="6">
        <f>(Indices!H123-Indices!H122)/Indices!H122</f>
        <v>9.9854756717502064E-3</v>
      </c>
      <c r="I119" s="6">
        <f>(Indices!I123-Indices!I122)/Indices!I122</f>
        <v>3.2631554919289691E-3</v>
      </c>
      <c r="J119" s="6">
        <f>(Indices!J123-Indices!J122)/Indices!J122</f>
        <v>8.2746510059179355E-3</v>
      </c>
      <c r="K119" s="6">
        <f>(Indices!K123-Indices!K122)/Indices!K122</f>
        <v>6.4898187543550962E-3</v>
      </c>
      <c r="L119" s="6">
        <f>(Indices!L123-Indices!L122)/Indices!L122</f>
        <v>7.8381656746422945E-3</v>
      </c>
      <c r="M119" s="10">
        <f>WEEKNUM(Rend_j[[#This Row],[Date]])-1</f>
        <v>23</v>
      </c>
      <c r="N119" s="7" t="str">
        <f>TEXT(Rend_j[[#This Row],[Date]],"ddd")</f>
        <v>Fri</v>
      </c>
      <c r="O119" s="7">
        <f>MONTH(Rend_j[[#This Row],[Date]])</f>
        <v>6</v>
      </c>
      <c r="P119" s="7">
        <f>YEAR(Rend_j[[#This Row],[Date]])</f>
        <v>2021</v>
      </c>
      <c r="Q119" s="7" t="str">
        <f>Rend_j[[#This Row],[Week]]&amp;","&amp;Rend_j[[#This Row],[Year]]</f>
        <v>23,2021</v>
      </c>
      <c r="R119" s="7" t="str">
        <f>Rend_j[[#This Row],[Month]]&amp;","&amp;Rend_j[[#This Row],[Year]]</f>
        <v>6,2021</v>
      </c>
    </row>
    <row r="120" spans="1:18" x14ac:dyDescent="0.25">
      <c r="A120" s="1">
        <v>44361</v>
      </c>
      <c r="B120" s="6">
        <f>(Indices!B124-Indices!B123)/Indices!B123</f>
        <v>-3.5844989773639162E-4</v>
      </c>
      <c r="C120" s="6">
        <f>(Indices!C124-Indices!C123)/Indices!C123</f>
        <v>1.2321767405973365E-3</v>
      </c>
      <c r="D120" s="6">
        <f>(Indices!D124-Indices!D123)/Indices!D123</f>
        <v>-3.5062051173271198E-4</v>
      </c>
      <c r="E120" s="6">
        <f>(Indices!E124-Indices!E123)/Indices!E123</f>
        <v>-2.8781729625774842E-4</v>
      </c>
      <c r="F120" s="6">
        <f>(Indices!F124-Indices!F123)/Indices!F123</f>
        <v>7.8878177037680923E-4</v>
      </c>
      <c r="G120" s="6">
        <f>(Indices!G124-Indices!G123)/Indices!G123</f>
        <v>1.0381124373705388E-3</v>
      </c>
      <c r="H120" s="6">
        <f>(Indices!H124-Indices!H123)/Indices!H123</f>
        <v>9.3051781201433919E-4</v>
      </c>
      <c r="I120" s="6">
        <f>(Indices!I124-Indices!I123)/Indices!I123</f>
        <v>1.2689897206679776E-3</v>
      </c>
      <c r="J120" s="6">
        <f>(Indices!J124-Indices!J123)/Indices!J123</f>
        <v>2.377026180591621E-3</v>
      </c>
      <c r="K120" s="6">
        <f>(Indices!K124-Indices!K123)/Indices!K123</f>
        <v>1.7704465089189042E-3</v>
      </c>
      <c r="L120" s="6">
        <f>(Indices!L124-Indices!L123)/Indices!L123</f>
        <v>-1.2508470565980531E-3</v>
      </c>
      <c r="M120" s="10">
        <f>WEEKNUM(Rend_j[[#This Row],[Date]])-1</f>
        <v>24</v>
      </c>
      <c r="N120" s="7" t="str">
        <f>TEXT(Rend_j[[#This Row],[Date]],"ddd")</f>
        <v>Mon</v>
      </c>
      <c r="O120" s="7">
        <f>MONTH(Rend_j[[#This Row],[Date]])</f>
        <v>6</v>
      </c>
      <c r="P120" s="7">
        <f>YEAR(Rend_j[[#This Row],[Date]])</f>
        <v>2021</v>
      </c>
      <c r="Q120" s="7" t="str">
        <f>Rend_j[[#This Row],[Week]]&amp;","&amp;Rend_j[[#This Row],[Year]]</f>
        <v>24,2021</v>
      </c>
      <c r="R120" s="7" t="str">
        <f>Rend_j[[#This Row],[Month]]&amp;","&amp;Rend_j[[#This Row],[Year]]</f>
        <v>6,2021</v>
      </c>
    </row>
    <row r="121" spans="1:18" x14ac:dyDescent="0.25">
      <c r="A121" s="1">
        <v>44362</v>
      </c>
      <c r="B121" s="6">
        <f>(Indices!B125-Indices!B124)/Indices!B124</f>
        <v>-9.8106932558291865E-3</v>
      </c>
      <c r="C121" s="6">
        <f>(Indices!C125-Indices!C124)/Indices!C124</f>
        <v>-1.0262055949829779E-3</v>
      </c>
      <c r="D121" s="6">
        <f>(Indices!D125-Indices!D124)/Indices!D124</f>
        <v>-1.1628902803156962E-3</v>
      </c>
      <c r="E121" s="6">
        <f>(Indices!E125-Indices!E124)/Indices!E124</f>
        <v>-3.7248477923190531E-3</v>
      </c>
      <c r="F121" s="6">
        <f>(Indices!F125-Indices!F124)/Indices!F124</f>
        <v>8.0333946346732334E-3</v>
      </c>
      <c r="G121" s="6">
        <f>(Indices!G125-Indices!G124)/Indices!G124</f>
        <v>-1.3814100557260371E-3</v>
      </c>
      <c r="H121" s="6">
        <f>(Indices!H125-Indices!H124)/Indices!H124</f>
        <v>2.0600259880200842E-3</v>
      </c>
      <c r="I121" s="6">
        <f>(Indices!I125-Indices!I124)/Indices!I124</f>
        <v>-2.7787166492826689E-3</v>
      </c>
      <c r="J121" s="6">
        <f>(Indices!J125-Indices!J124)/Indices!J124</f>
        <v>3.5019189820387348E-3</v>
      </c>
      <c r="K121" s="6">
        <f>(Indices!K125-Indices!K124)/Indices!K124</f>
        <v>1.0691023575587261E-3</v>
      </c>
      <c r="L121" s="6">
        <f>(Indices!L125-Indices!L124)/Indices!L124</f>
        <v>3.5652140311902866E-3</v>
      </c>
      <c r="M121" s="10">
        <f>WEEKNUM(Rend_j[[#This Row],[Date]])-1</f>
        <v>24</v>
      </c>
      <c r="N121" s="7" t="str">
        <f>TEXT(Rend_j[[#This Row],[Date]],"ddd")</f>
        <v>Tue</v>
      </c>
      <c r="O121" s="7">
        <f>MONTH(Rend_j[[#This Row],[Date]])</f>
        <v>6</v>
      </c>
      <c r="P121" s="7">
        <f>YEAR(Rend_j[[#This Row],[Date]])</f>
        <v>2021</v>
      </c>
      <c r="Q121" s="7" t="str">
        <f>Rend_j[[#This Row],[Week]]&amp;","&amp;Rend_j[[#This Row],[Year]]</f>
        <v>24,2021</v>
      </c>
      <c r="R121" s="7" t="str">
        <f>Rend_j[[#This Row],[Month]]&amp;","&amp;Rend_j[[#This Row],[Year]]</f>
        <v>6,2021</v>
      </c>
    </row>
    <row r="122" spans="1:18" x14ac:dyDescent="0.25">
      <c r="A122" s="1">
        <v>44363</v>
      </c>
      <c r="B122" s="6">
        <f>(Indices!B126-Indices!B125)/Indices!B125</f>
        <v>-1.5069935194732117E-2</v>
      </c>
      <c r="C122" s="6">
        <f>(Indices!C126-Indices!C125)/Indices!C125</f>
        <v>-2.2985429441816289E-3</v>
      </c>
      <c r="D122" s="6">
        <f>(Indices!D126-Indices!D125)/Indices!D125</f>
        <v>-6.5437554942752443E-4</v>
      </c>
      <c r="E122" s="6">
        <f>(Indices!E126-Indices!E125)/Indices!E125</f>
        <v>-5.3830283398633516E-3</v>
      </c>
      <c r="F122" s="6">
        <f>(Indices!F126-Indices!F125)/Indices!F125</f>
        <v>1.2104644360915503E-3</v>
      </c>
      <c r="G122" s="6">
        <f>(Indices!G126-Indices!G125)/Indices!G125</f>
        <v>-2.6961043643188936E-3</v>
      </c>
      <c r="H122" s="6">
        <f>(Indices!H126-Indices!H125)/Indices!H125</f>
        <v>3.0784152486980159E-3</v>
      </c>
      <c r="I122" s="6">
        <f>(Indices!I126-Indices!I125)/Indices!I125</f>
        <v>-4.8154718129418241E-3</v>
      </c>
      <c r="J122" s="6">
        <f>(Indices!J126-Indices!J125)/Indices!J125</f>
        <v>1.977534815837513E-3</v>
      </c>
      <c r="K122" s="6">
        <f>(Indices!K126-Indices!K125)/Indices!K125</f>
        <v>2.2885006965344887E-3</v>
      </c>
      <c r="L122" s="6">
        <f>(Indices!L126-Indices!L125)/Indices!L125</f>
        <v>-1.2046915968322921E-3</v>
      </c>
      <c r="M122" s="10">
        <f>WEEKNUM(Rend_j[[#This Row],[Date]])-1</f>
        <v>24</v>
      </c>
      <c r="N122" s="7" t="str">
        <f>TEXT(Rend_j[[#This Row],[Date]],"ddd")</f>
        <v>Wed</v>
      </c>
      <c r="O122" s="7">
        <f>MONTH(Rend_j[[#This Row],[Date]])</f>
        <v>6</v>
      </c>
      <c r="P122" s="7">
        <f>YEAR(Rend_j[[#This Row],[Date]])</f>
        <v>2021</v>
      </c>
      <c r="Q122" s="7" t="str">
        <f>Rend_j[[#This Row],[Week]]&amp;","&amp;Rend_j[[#This Row],[Year]]</f>
        <v>24,2021</v>
      </c>
      <c r="R122" s="7" t="str">
        <f>Rend_j[[#This Row],[Month]]&amp;","&amp;Rend_j[[#This Row],[Year]]</f>
        <v>6,2021</v>
      </c>
    </row>
    <row r="123" spans="1:18" x14ac:dyDescent="0.25">
      <c r="A123" s="1">
        <v>44364</v>
      </c>
      <c r="B123" s="6">
        <f>(Indices!B127-Indices!B126)/Indices!B126</f>
        <v>1.9487583404080834E-2</v>
      </c>
      <c r="C123" s="6">
        <f>(Indices!C127-Indices!C126)/Indices!C126</f>
        <v>1.0785435322892344E-2</v>
      </c>
      <c r="D123" s="6">
        <f>(Indices!D127-Indices!D126)/Indices!D126</f>
        <v>3.3513820173025279E-3</v>
      </c>
      <c r="E123" s="6">
        <f>(Indices!E127-Indices!E126)/Indices!E126</f>
        <v>9.5518018018017695E-3</v>
      </c>
      <c r="F123" s="6">
        <f>(Indices!F127-Indices!F126)/Indices!F126</f>
        <v>5.778909006768064E-3</v>
      </c>
      <c r="G123" s="6">
        <f>(Indices!G127-Indices!G126)/Indices!G126</f>
        <v>1.0624963162341136E-2</v>
      </c>
      <c r="H123" s="6">
        <f>(Indices!H127-Indices!H126)/Indices!H126</f>
        <v>-4.8346751308522146E-4</v>
      </c>
      <c r="I123" s="6">
        <f>(Indices!I127-Indices!I126)/Indices!I126</f>
        <v>-7.4405811196702422E-4</v>
      </c>
      <c r="J123" s="6">
        <f>(Indices!J127-Indices!J126)/Indices!J126</f>
        <v>2.0457808843823955E-3</v>
      </c>
      <c r="K123" s="6">
        <f>(Indices!K127-Indices!K126)/Indices!K126</f>
        <v>-1.1525203698686194E-3</v>
      </c>
      <c r="L123" s="6">
        <f>(Indices!L127-Indices!L126)/Indices!L126</f>
        <v>1.0884143390464303E-3</v>
      </c>
      <c r="M123" s="10">
        <f>WEEKNUM(Rend_j[[#This Row],[Date]])-1</f>
        <v>24</v>
      </c>
      <c r="N123" s="7" t="str">
        <f>TEXT(Rend_j[[#This Row],[Date]],"ddd")</f>
        <v>Thu</v>
      </c>
      <c r="O123" s="7">
        <f>MONTH(Rend_j[[#This Row],[Date]])</f>
        <v>6</v>
      </c>
      <c r="P123" s="7">
        <f>YEAR(Rend_j[[#This Row],[Date]])</f>
        <v>2021</v>
      </c>
      <c r="Q123" s="7" t="str">
        <f>Rend_j[[#This Row],[Week]]&amp;","&amp;Rend_j[[#This Row],[Year]]</f>
        <v>24,2021</v>
      </c>
      <c r="R123" s="7" t="str">
        <f>Rend_j[[#This Row],[Month]]&amp;","&amp;Rend_j[[#This Row],[Year]]</f>
        <v>6,2021</v>
      </c>
    </row>
    <row r="124" spans="1:18" x14ac:dyDescent="0.25">
      <c r="A124" s="1">
        <v>44365</v>
      </c>
      <c r="B124" s="6">
        <f>(Indices!B128-Indices!B127)/Indices!B127</f>
        <v>1.055809564820921E-2</v>
      </c>
      <c r="C124" s="6">
        <f>(Indices!C128-Indices!C127)/Indices!C127</f>
        <v>-6.9743661795927695E-3</v>
      </c>
      <c r="D124" s="6">
        <f>(Indices!D128-Indices!D127)/Indices!D127</f>
        <v>2.3796375850630132E-3</v>
      </c>
      <c r="E124" s="6">
        <f>(Indices!E128-Indices!E127)/Indices!E127</f>
        <v>6.0413929114026318E-3</v>
      </c>
      <c r="F124" s="6">
        <f>(Indices!F128-Indices!F127)/Indices!F127</f>
        <v>-7.0742915643381196E-4</v>
      </c>
      <c r="G124" s="6">
        <f>(Indices!G128-Indices!G127)/Indices!G127</f>
        <v>-5.2916224402117362E-3</v>
      </c>
      <c r="H124" s="6">
        <f>(Indices!H128-Indices!H127)/Indices!H127</f>
        <v>-2.2628811777076773E-2</v>
      </c>
      <c r="I124" s="6">
        <f>(Indices!I128-Indices!I127)/Indices!I127</f>
        <v>-1.3036352648535031E-2</v>
      </c>
      <c r="J124" s="6">
        <f>(Indices!J128-Indices!J127)/Indices!J127</f>
        <v>-1.4565830526922825E-2</v>
      </c>
      <c r="K124" s="6">
        <f>(Indices!K128-Indices!K127)/Indices!K127</f>
        <v>-1.584916989101352E-2</v>
      </c>
      <c r="L124" s="6">
        <f>(Indices!L128-Indices!L127)/Indices!L127</f>
        <v>-1.7779485545052716E-2</v>
      </c>
      <c r="M124" s="10">
        <f>WEEKNUM(Rend_j[[#This Row],[Date]])-1</f>
        <v>24</v>
      </c>
      <c r="N124" s="7" t="str">
        <f>TEXT(Rend_j[[#This Row],[Date]],"ddd")</f>
        <v>Fri</v>
      </c>
      <c r="O124" s="7">
        <f>MONTH(Rend_j[[#This Row],[Date]])</f>
        <v>6</v>
      </c>
      <c r="P124" s="7">
        <f>YEAR(Rend_j[[#This Row],[Date]])</f>
        <v>2021</v>
      </c>
      <c r="Q124" s="7" t="str">
        <f>Rend_j[[#This Row],[Week]]&amp;","&amp;Rend_j[[#This Row],[Year]]</f>
        <v>24,2021</v>
      </c>
      <c r="R124" s="7" t="str">
        <f>Rend_j[[#This Row],[Month]]&amp;","&amp;Rend_j[[#This Row],[Year]]</f>
        <v>6,2021</v>
      </c>
    </row>
    <row r="125" spans="1:18" x14ac:dyDescent="0.25">
      <c r="A125" s="1">
        <v>44368</v>
      </c>
      <c r="B125" s="6">
        <f>(Indices!B129-Indices!B128)/Indices!B128</f>
        <v>-1.1201957648002466E-2</v>
      </c>
      <c r="C125" s="6">
        <f>(Indices!C129-Indices!C128)/Indices!C128</f>
        <v>4.7909698668039402E-3</v>
      </c>
      <c r="D125" s="6">
        <f>(Indices!D129-Indices!D128)/Indices!D128</f>
        <v>-1.2431628320696162E-2</v>
      </c>
      <c r="E125" s="6">
        <f>(Indices!E129-Indices!E128)/Indices!E128</f>
        <v>-1.2458171544897527E-2</v>
      </c>
      <c r="F125" s="6">
        <f>(Indices!F129-Indices!F128)/Indices!F128</f>
        <v>-2.8927284656913025E-2</v>
      </c>
      <c r="G125" s="6">
        <f>(Indices!G129-Indices!G128)/Indices!G128</f>
        <v>2.5367615444149396E-3</v>
      </c>
      <c r="H125" s="6">
        <f>(Indices!H129-Indices!H128)/Indices!H128</f>
        <v>9.1448982226622257E-3</v>
      </c>
      <c r="I125" s="6">
        <f>(Indices!I129-Indices!I128)/Indices!I128</f>
        <v>1.4297751988742644E-2</v>
      </c>
      <c r="J125" s="6">
        <f>(Indices!J129-Indices!J128)/Indices!J128</f>
        <v>5.0813014460475148E-3</v>
      </c>
      <c r="K125" s="6">
        <f>(Indices!K129-Indices!K128)/Indices!K128</f>
        <v>7.0346711302202393E-3</v>
      </c>
      <c r="L125" s="6">
        <f>(Indices!L129-Indices!L128)/Indices!L128</f>
        <v>1.0046594234487729E-2</v>
      </c>
      <c r="M125" s="10">
        <f>WEEKNUM(Rend_j[[#This Row],[Date]])-1</f>
        <v>25</v>
      </c>
      <c r="N125" s="7" t="str">
        <f>TEXT(Rend_j[[#This Row],[Date]],"ddd")</f>
        <v>Mon</v>
      </c>
      <c r="O125" s="7">
        <f>MONTH(Rend_j[[#This Row],[Date]])</f>
        <v>6</v>
      </c>
      <c r="P125" s="7">
        <f>YEAR(Rend_j[[#This Row],[Date]])</f>
        <v>2021</v>
      </c>
      <c r="Q125" s="7" t="str">
        <f>Rend_j[[#This Row],[Week]]&amp;","&amp;Rend_j[[#This Row],[Year]]</f>
        <v>25,2021</v>
      </c>
      <c r="R125" s="7" t="str">
        <f>Rend_j[[#This Row],[Month]]&amp;","&amp;Rend_j[[#This Row],[Year]]</f>
        <v>6,2021</v>
      </c>
    </row>
    <row r="126" spans="1:18" x14ac:dyDescent="0.25">
      <c r="A126" s="1">
        <v>44369</v>
      </c>
      <c r="B126" s="6">
        <f>(Indices!B130-Indices!B129)/Indices!B129</f>
        <v>-1.6499605650868979E-3</v>
      </c>
      <c r="C126" s="6">
        <f>(Indices!C130-Indices!C129)/Indices!C129</f>
        <v>7.396658009199939E-3</v>
      </c>
      <c r="D126" s="6">
        <f>(Indices!D130-Indices!D129)/Indices!D129</f>
        <v>1.4269883509125502E-3</v>
      </c>
      <c r="E126" s="6">
        <f>(Indices!E130-Indices!E129)/Indices!E129</f>
        <v>-1.7200688925765768E-3</v>
      </c>
      <c r="F126" s="6">
        <f>(Indices!F130-Indices!F129)/Indices!F129</f>
        <v>2.7874585111427236E-2</v>
      </c>
      <c r="G126" s="6">
        <f>(Indices!G130-Indices!G129)/Indices!G129</f>
        <v>6.2225375944979806E-3</v>
      </c>
      <c r="H126" s="6">
        <f>(Indices!H130-Indices!H129)/Indices!H129</f>
        <v>5.3839101046930151E-3</v>
      </c>
      <c r="I126" s="6">
        <f>(Indices!I130-Indices!I129)/Indices!I129</f>
        <v>5.3921703350191504E-3</v>
      </c>
      <c r="J126" s="6">
        <f>(Indices!J130-Indices!J129)/Indices!J129</f>
        <v>1.3570475827597728E-3</v>
      </c>
      <c r="K126" s="6">
        <f>(Indices!K130-Indices!K129)/Indices!K129</f>
        <v>2.6140675510077315E-3</v>
      </c>
      <c r="L126" s="6">
        <f>(Indices!L130-Indices!L129)/Indices!L129</f>
        <v>2.1207037456475986E-3</v>
      </c>
      <c r="M126" s="10">
        <f>WEEKNUM(Rend_j[[#This Row],[Date]])-1</f>
        <v>25</v>
      </c>
      <c r="N126" s="7" t="str">
        <f>TEXT(Rend_j[[#This Row],[Date]],"ddd")</f>
        <v>Tue</v>
      </c>
      <c r="O126" s="7">
        <f>MONTH(Rend_j[[#This Row],[Date]])</f>
        <v>6</v>
      </c>
      <c r="P126" s="7">
        <f>YEAR(Rend_j[[#This Row],[Date]])</f>
        <v>2021</v>
      </c>
      <c r="Q126" s="7" t="str">
        <f>Rend_j[[#This Row],[Week]]&amp;","&amp;Rend_j[[#This Row],[Year]]</f>
        <v>25,2021</v>
      </c>
      <c r="R126" s="7" t="str">
        <f>Rend_j[[#This Row],[Month]]&amp;","&amp;Rend_j[[#This Row],[Year]]</f>
        <v>6,2021</v>
      </c>
    </row>
    <row r="127" spans="1:18" x14ac:dyDescent="0.25">
      <c r="A127" s="1">
        <v>44370</v>
      </c>
      <c r="B127" s="6">
        <f>(Indices!B131-Indices!B130)/Indices!B130</f>
        <v>8.0968036193441433E-3</v>
      </c>
      <c r="C127" s="6">
        <f>(Indices!C131-Indices!C130)/Indices!C130</f>
        <v>-5.1408092503504683E-3</v>
      </c>
      <c r="D127" s="6">
        <f>(Indices!D131-Indices!D130)/Indices!D130</f>
        <v>1.9177892336305756E-3</v>
      </c>
      <c r="E127" s="6">
        <f>(Indices!E131-Indices!E130)/Indices!E130</f>
        <v>5.9946239582513708E-3</v>
      </c>
      <c r="F127" s="6">
        <f>(Indices!F131-Indices!F130)/Indices!F130</f>
        <v>-1.0050569993599436E-2</v>
      </c>
      <c r="G127" s="6">
        <f>(Indices!G131-Indices!G130)/Indices!G130</f>
        <v>-3.7197335740828969E-3</v>
      </c>
      <c r="H127" s="6">
        <f>(Indices!H131-Indices!H130)/Indices!H130</f>
        <v>-2.290489167894913E-3</v>
      </c>
      <c r="I127" s="6">
        <f>(Indices!I131-Indices!I130)/Indices!I130</f>
        <v>-2.8319456218562001E-4</v>
      </c>
      <c r="J127" s="6">
        <f>(Indices!J131-Indices!J130)/Indices!J130</f>
        <v>-9.1401612342130907E-3</v>
      </c>
      <c r="K127" s="6">
        <f>(Indices!K131-Indices!K130)/Indices!K130</f>
        <v>-7.2740171452560206E-3</v>
      </c>
      <c r="L127" s="6">
        <f>(Indices!L131-Indices!L130)/Indices!L130</f>
        <v>-1.1507842894040554E-2</v>
      </c>
      <c r="M127" s="10">
        <f>WEEKNUM(Rend_j[[#This Row],[Date]])-1</f>
        <v>25</v>
      </c>
      <c r="N127" s="7" t="str">
        <f>TEXT(Rend_j[[#This Row],[Date]],"ddd")</f>
        <v>Wed</v>
      </c>
      <c r="O127" s="7">
        <f>MONTH(Rend_j[[#This Row],[Date]])</f>
        <v>6</v>
      </c>
      <c r="P127" s="7">
        <f>YEAR(Rend_j[[#This Row],[Date]])</f>
        <v>2021</v>
      </c>
      <c r="Q127" s="7" t="str">
        <f>Rend_j[[#This Row],[Week]]&amp;","&amp;Rend_j[[#This Row],[Year]]</f>
        <v>25,2021</v>
      </c>
      <c r="R127" s="7" t="str">
        <f>Rend_j[[#This Row],[Month]]&amp;","&amp;Rend_j[[#This Row],[Year]]</f>
        <v>6,2021</v>
      </c>
    </row>
    <row r="128" spans="1:18" x14ac:dyDescent="0.25">
      <c r="A128" s="1">
        <v>44371</v>
      </c>
      <c r="B128" s="6">
        <f>(Indices!B132-Indices!B131)/Indices!B131</f>
        <v>6.534040104076197E-3</v>
      </c>
      <c r="C128" s="6">
        <f>(Indices!C132-Indices!C131)/Indices!C131</f>
        <v>6.9353648969842155E-3</v>
      </c>
      <c r="D128" s="6">
        <f>(Indices!D132-Indices!D131)/Indices!D131</f>
        <v>5.8453764791492353E-3</v>
      </c>
      <c r="E128" s="6">
        <f>(Indices!E132-Indices!E131)/Indices!E131</f>
        <v>6.8823647787491322E-3</v>
      </c>
      <c r="F128" s="6">
        <f>(Indices!F132-Indices!F131)/Indices!F131</f>
        <v>6.640260950606029E-4</v>
      </c>
      <c r="G128" s="6">
        <f>(Indices!G132-Indices!G131)/Indices!G131</f>
        <v>6.9266460021079638E-3</v>
      </c>
      <c r="H128" s="6">
        <f>(Indices!H132-Indices!H131)/Indices!H131</f>
        <v>6.8022149712492635E-4</v>
      </c>
      <c r="I128" s="6">
        <f>(Indices!I132-Indices!I131)/Indices!I131</f>
        <v>6.6040049089503743E-3</v>
      </c>
      <c r="J128" s="6">
        <f>(Indices!J132-Indices!J131)/Indices!J131</f>
        <v>1.2223969542596644E-2</v>
      </c>
      <c r="K128" s="6">
        <f>(Indices!K132-Indices!K131)/Indices!K131</f>
        <v>8.6956586798191092E-3</v>
      </c>
      <c r="L128" s="6">
        <f>(Indices!L132-Indices!L131)/Indices!L131</f>
        <v>8.5945568795880653E-3</v>
      </c>
      <c r="M128" s="10">
        <f>WEEKNUM(Rend_j[[#This Row],[Date]])-1</f>
        <v>25</v>
      </c>
      <c r="N128" s="7" t="str">
        <f>TEXT(Rend_j[[#This Row],[Date]],"ddd")</f>
        <v>Thu</v>
      </c>
      <c r="O128" s="7">
        <f>MONTH(Rend_j[[#This Row],[Date]])</f>
        <v>6</v>
      </c>
      <c r="P128" s="7">
        <f>YEAR(Rend_j[[#This Row],[Date]])</f>
        <v>2021</v>
      </c>
      <c r="Q128" s="7" t="str">
        <f>Rend_j[[#This Row],[Week]]&amp;","&amp;Rend_j[[#This Row],[Year]]</f>
        <v>25,2021</v>
      </c>
      <c r="R128" s="7" t="str">
        <f>Rend_j[[#This Row],[Month]]&amp;","&amp;Rend_j[[#This Row],[Year]]</f>
        <v>6,2021</v>
      </c>
    </row>
    <row r="129" spans="1:18" x14ac:dyDescent="0.25">
      <c r="A129" s="1">
        <v>44372</v>
      </c>
      <c r="B129" s="6">
        <f>(Indices!B133-Indices!B132)/Indices!B132</f>
        <v>1.5142533882158452E-2</v>
      </c>
      <c r="C129" s="6">
        <f>(Indices!C133-Indices!C132)/Indices!C132</f>
        <v>1.7829457364340292E-3</v>
      </c>
      <c r="D129" s="6">
        <f>(Indices!D133-Indices!D132)/Indices!D132</f>
        <v>2.1826134331464687E-3</v>
      </c>
      <c r="E129" s="6">
        <f>(Indices!E133-Indices!E132)/Indices!E132</f>
        <v>6.8486458157527809E-3</v>
      </c>
      <c r="F129" s="6">
        <f>(Indices!F133-Indices!F132)/Indices!F132</f>
        <v>6.4204803427359517E-3</v>
      </c>
      <c r="G129" s="6">
        <f>(Indices!G133-Indices!G132)/Indices!G132</f>
        <v>2.4371967988135704E-3</v>
      </c>
      <c r="H129" s="6">
        <f>(Indices!H133-Indices!H132)/Indices!H132</f>
        <v>3.4200380240252651E-3</v>
      </c>
      <c r="I129" s="6">
        <f>(Indices!I133-Indices!I132)/Indices!I132</f>
        <v>3.5590945927505098E-3</v>
      </c>
      <c r="J129" s="6">
        <f>(Indices!J133-Indices!J132)/Indices!J132</f>
        <v>-1.2486197902874252E-3</v>
      </c>
      <c r="K129" s="6">
        <f>(Indices!K133-Indices!K132)/Indices!K132</f>
        <v>1.2909066785879244E-3</v>
      </c>
      <c r="L129" s="6">
        <f>(Indices!L133-Indices!L132)/Indices!L132</f>
        <v>1.2020644659826037E-3</v>
      </c>
      <c r="M129" s="10">
        <f>WEEKNUM(Rend_j[[#This Row],[Date]])-1</f>
        <v>25</v>
      </c>
      <c r="N129" s="7" t="str">
        <f>TEXT(Rend_j[[#This Row],[Date]],"ddd")</f>
        <v>Fri</v>
      </c>
      <c r="O129" s="7">
        <f>MONTH(Rend_j[[#This Row],[Date]])</f>
        <v>6</v>
      </c>
      <c r="P129" s="7">
        <f>YEAR(Rend_j[[#This Row],[Date]])</f>
        <v>2021</v>
      </c>
      <c r="Q129" s="7" t="str">
        <f>Rend_j[[#This Row],[Week]]&amp;","&amp;Rend_j[[#This Row],[Year]]</f>
        <v>25,2021</v>
      </c>
      <c r="R129" s="7" t="str">
        <f>Rend_j[[#This Row],[Month]]&amp;","&amp;Rend_j[[#This Row],[Year]]</f>
        <v>6,2021</v>
      </c>
    </row>
    <row r="130" spans="1:18" x14ac:dyDescent="0.25">
      <c r="A130" s="1">
        <v>44375</v>
      </c>
      <c r="B130" s="6">
        <f>(Indices!B134-Indices!B133)/Indices!B133</f>
        <v>7.5361338157544661E-3</v>
      </c>
      <c r="C130" s="6">
        <f>(Indices!C134-Indices!C133)/Indices!C133</f>
        <v>2.147334210322707E-3</v>
      </c>
      <c r="D130" s="6">
        <f>(Indices!D134-Indices!D133)/Indices!D133</f>
        <v>-3.5673913085202839E-4</v>
      </c>
      <c r="E130" s="6">
        <f>(Indices!E134-Indices!E133)/Indices!E133</f>
        <v>3.0106397995553718E-3</v>
      </c>
      <c r="F130" s="6">
        <f>(Indices!F134-Indices!F133)/Indices!F133</f>
        <v>4.1469776803531181E-3</v>
      </c>
      <c r="G130" s="6">
        <f>(Indices!G134-Indices!G133)/Indices!G133</f>
        <v>2.2578842930624224E-3</v>
      </c>
      <c r="H130" s="6">
        <f>(Indices!H134-Indices!H133)/Indices!H133</f>
        <v>-8.139891820943608E-3</v>
      </c>
      <c r="I130" s="6">
        <f>(Indices!I134-Indices!I133)/Indices!I133</f>
        <v>1.567324915560964E-3</v>
      </c>
      <c r="J130" s="6">
        <f>(Indices!J134-Indices!J133)/Indices!J133</f>
        <v>-9.7918418834062812E-3</v>
      </c>
      <c r="K130" s="6">
        <f>(Indices!K134-Indices!K133)/Indices!K133</f>
        <v>-5.878117629109547E-3</v>
      </c>
      <c r="L130" s="6">
        <f>(Indices!L134-Indices!L133)/Indices!L133</f>
        <v>-3.4463188313730705E-3</v>
      </c>
      <c r="M130" s="10">
        <f>WEEKNUM(Rend_j[[#This Row],[Date]])-1</f>
        <v>26</v>
      </c>
      <c r="N130" s="7" t="str">
        <f>TEXT(Rend_j[[#This Row],[Date]],"ddd")</f>
        <v>Mon</v>
      </c>
      <c r="O130" s="7">
        <f>MONTH(Rend_j[[#This Row],[Date]])</f>
        <v>6</v>
      </c>
      <c r="P130" s="7">
        <f>YEAR(Rend_j[[#This Row],[Date]])</f>
        <v>2021</v>
      </c>
      <c r="Q130" s="7" t="str">
        <f>Rend_j[[#This Row],[Week]]&amp;","&amp;Rend_j[[#This Row],[Year]]</f>
        <v>26,2021</v>
      </c>
      <c r="R130" s="7" t="str">
        <f>Rend_j[[#This Row],[Month]]&amp;","&amp;Rend_j[[#This Row],[Year]]</f>
        <v>6,2021</v>
      </c>
    </row>
    <row r="131" spans="1:18" x14ac:dyDescent="0.25">
      <c r="A131" s="1">
        <v>44376</v>
      </c>
      <c r="B131" s="6">
        <f>(Indices!B135-Indices!B134)/Indices!B134</f>
        <v>-4.5615038435601329E-3</v>
      </c>
      <c r="C131" s="6">
        <f>(Indices!C135-Indices!C134)/Indices!C134</f>
        <v>1.5481728857402485E-3</v>
      </c>
      <c r="D131" s="6">
        <f>(Indices!D135-Indices!D134)/Indices!D134</f>
        <v>3.592663478788522E-4</v>
      </c>
      <c r="E131" s="6">
        <f>(Indices!E135-Indices!E134)/Indices!E134</f>
        <v>-9.1697324065386572E-4</v>
      </c>
      <c r="F131" s="6">
        <f>(Indices!F135-Indices!F134)/Indices!F134</f>
        <v>-4.2680889789994689E-3</v>
      </c>
      <c r="G131" s="6">
        <f>(Indices!G135-Indices!G134)/Indices!G134</f>
        <v>1.2301967161436147E-3</v>
      </c>
      <c r="H131" s="6">
        <f>(Indices!H135-Indices!H134)/Indices!H134</f>
        <v>-6.1897037479715625E-4</v>
      </c>
      <c r="I131" s="6">
        <f>(Indices!I135-Indices!I134)/Indices!I134</f>
        <v>-4.2764432716375561E-5</v>
      </c>
      <c r="J131" s="6">
        <f>(Indices!J135-Indices!J134)/Indices!J134</f>
        <v>1.4349080928850099E-3</v>
      </c>
      <c r="K131" s="6">
        <f>(Indices!K135-Indices!K134)/Indices!K134</f>
        <v>3.1432562397536203E-3</v>
      </c>
      <c r="L131" s="6">
        <f>(Indices!L135-Indices!L134)/Indices!L134</f>
        <v>8.7699996218829658E-3</v>
      </c>
      <c r="M131" s="10">
        <f>WEEKNUM(Rend_j[[#This Row],[Date]])-1</f>
        <v>26</v>
      </c>
      <c r="N131" s="7" t="str">
        <f>TEXT(Rend_j[[#This Row],[Date]],"ddd")</f>
        <v>Tue</v>
      </c>
      <c r="O131" s="7">
        <f>MONTH(Rend_j[[#This Row],[Date]])</f>
        <v>6</v>
      </c>
      <c r="P131" s="7">
        <f>YEAR(Rend_j[[#This Row],[Date]])</f>
        <v>2021</v>
      </c>
      <c r="Q131" s="7" t="str">
        <f>Rend_j[[#This Row],[Week]]&amp;","&amp;Rend_j[[#This Row],[Year]]</f>
        <v>26,2021</v>
      </c>
      <c r="R131" s="7" t="str">
        <f>Rend_j[[#This Row],[Month]]&amp;","&amp;Rend_j[[#This Row],[Year]]</f>
        <v>6,2021</v>
      </c>
    </row>
    <row r="132" spans="1:18" x14ac:dyDescent="0.25">
      <c r="A132" s="1">
        <v>44377</v>
      </c>
      <c r="B132" s="6">
        <f>(Indices!B136-Indices!B135)/Indices!B135</f>
        <v>3.1390175861177949E-3</v>
      </c>
      <c r="C132" s="6">
        <f>(Indices!C136-Indices!C135)/Indices!C135</f>
        <v>1.4841027538779062E-3</v>
      </c>
      <c r="D132" s="6">
        <f>(Indices!D136-Indices!D135)/Indices!D135</f>
        <v>3.7525891713739547E-3</v>
      </c>
      <c r="E132" s="6">
        <f>(Indices!E136-Indices!E135)/Indices!E135</f>
        <v>2.0469252101950231E-3</v>
      </c>
      <c r="F132" s="6">
        <f>(Indices!F136-Indices!F135)/Indices!F135</f>
        <v>-3.8062624007218424E-3</v>
      </c>
      <c r="G132" s="6">
        <f>(Indices!G136-Indices!G135)/Indices!G135</f>
        <v>1.5588943369131817E-3</v>
      </c>
      <c r="H132" s="6">
        <f>(Indices!H136-Indices!H135)/Indices!H135</f>
        <v>-4.1005488755526164E-3</v>
      </c>
      <c r="I132" s="6">
        <f>(Indices!I136-Indices!I135)/Indices!I135</f>
        <v>5.3649428006462122E-4</v>
      </c>
      <c r="J132" s="6">
        <f>(Indices!J136-Indices!J135)/Indices!J135</f>
        <v>-9.0751018895948582E-3</v>
      </c>
      <c r="K132" s="6">
        <f>(Indices!K136-Indices!K135)/Indices!K135</f>
        <v>-7.7349497966009619E-3</v>
      </c>
      <c r="L132" s="6">
        <f>(Indices!L136-Indices!L135)/Indices!L135</f>
        <v>-1.0168502371610058E-2</v>
      </c>
      <c r="M132" s="10">
        <f>WEEKNUM(Rend_j[[#This Row],[Date]])-1</f>
        <v>26</v>
      </c>
      <c r="N132" s="7" t="str">
        <f>TEXT(Rend_j[[#This Row],[Date]],"ddd")</f>
        <v>Wed</v>
      </c>
      <c r="O132" s="7">
        <f>MONTH(Rend_j[[#This Row],[Date]])</f>
        <v>6</v>
      </c>
      <c r="P132" s="7">
        <f>YEAR(Rend_j[[#This Row],[Date]])</f>
        <v>2021</v>
      </c>
      <c r="Q132" s="7" t="str">
        <f>Rend_j[[#This Row],[Week]]&amp;","&amp;Rend_j[[#This Row],[Year]]</f>
        <v>26,2021</v>
      </c>
      <c r="R132" s="7" t="str">
        <f>Rend_j[[#This Row],[Month]]&amp;","&amp;Rend_j[[#This Row],[Year]]</f>
        <v>6,2021</v>
      </c>
    </row>
    <row r="133" spans="1:18" x14ac:dyDescent="0.25">
      <c r="A133" s="1">
        <v>44378</v>
      </c>
      <c r="B133" s="6">
        <f>(Indices!B137-Indices!B136)/Indices!B136</f>
        <v>-3.5803356572334266E-3</v>
      </c>
      <c r="C133" s="6">
        <f>(Indices!C137-Indices!C136)/Indices!C136</f>
        <v>2.8752776163294756E-3</v>
      </c>
      <c r="D133" s="6">
        <f>(Indices!D137-Indices!D136)/Indices!D136</f>
        <v>-5.8028701967797859E-3</v>
      </c>
      <c r="E133" s="6">
        <f>(Indices!E137-Indices!E136)/Indices!E136</f>
        <v>-5.4231554901486905E-3</v>
      </c>
      <c r="F133" s="6">
        <f>(Indices!F137-Indices!F136)/Indices!F136</f>
        <v>-7.6474174723456566E-3</v>
      </c>
      <c r="G133" s="6">
        <f>(Indices!G137-Indices!G136)/Indices!G136</f>
        <v>1.8018225243151248E-3</v>
      </c>
      <c r="H133" s="6">
        <f>(Indices!H137-Indices!H136)/Indices!H136</f>
        <v>9.1355536016813257E-3</v>
      </c>
      <c r="I133" s="6">
        <f>(Indices!I137-Indices!I136)/Indices!I136</f>
        <v>4.9348321153270284E-3</v>
      </c>
      <c r="J133" s="6">
        <f>(Indices!J137-Indices!J136)/Indices!J136</f>
        <v>7.0668326383429266E-3</v>
      </c>
      <c r="K133" s="6">
        <f>(Indices!K137-Indices!K136)/Indices!K136</f>
        <v>6.161136438133874E-3</v>
      </c>
      <c r="L133" s="6">
        <f>(Indices!L137-Indices!L136)/Indices!L136</f>
        <v>4.6854254327194159E-3</v>
      </c>
      <c r="M133" s="10">
        <f>WEEKNUM(Rend_j[[#This Row],[Date]])-1</f>
        <v>26</v>
      </c>
      <c r="N133" s="7" t="str">
        <f>TEXT(Rend_j[[#This Row],[Date]],"ddd")</f>
        <v>Thu</v>
      </c>
      <c r="O133" s="7">
        <f>MONTH(Rend_j[[#This Row],[Date]])</f>
        <v>7</v>
      </c>
      <c r="P133" s="7">
        <f>YEAR(Rend_j[[#This Row],[Date]])</f>
        <v>2021</v>
      </c>
      <c r="Q133" s="7" t="str">
        <f>Rend_j[[#This Row],[Week]]&amp;","&amp;Rend_j[[#This Row],[Year]]</f>
        <v>26,2021</v>
      </c>
      <c r="R133" s="7" t="str">
        <f>Rend_j[[#This Row],[Month]]&amp;","&amp;Rend_j[[#This Row],[Year]]</f>
        <v>7,2021</v>
      </c>
    </row>
    <row r="134" spans="1:18" x14ac:dyDescent="0.25">
      <c r="A134" s="1">
        <v>44379</v>
      </c>
      <c r="B134" s="6">
        <f>(Indices!B138-Indices!B137)/Indices!B137</f>
        <v>-2.3411745431732838E-2</v>
      </c>
      <c r="C134" s="6">
        <f>(Indices!C138-Indices!C137)/Indices!C137</f>
        <v>8.0330687627616325E-3</v>
      </c>
      <c r="D134" s="6">
        <f>(Indices!D138-Indices!D137)/Indices!D137</f>
        <v>8.8780761043187194E-4</v>
      </c>
      <c r="E134" s="6">
        <f>(Indices!E138-Indices!E137)/Indices!E137</f>
        <v>-7.2901782460727512E-3</v>
      </c>
      <c r="F134" s="6">
        <f>(Indices!F138-Indices!F137)/Indices!F137</f>
        <v>1.2551346417161173E-2</v>
      </c>
      <c r="G134" s="6">
        <f>(Indices!G138-Indices!G137)/Indices!G137</f>
        <v>6.0654301097899464E-3</v>
      </c>
      <c r="H134" s="6">
        <f>(Indices!H138-Indices!H137)/Indices!H137</f>
        <v>2.1782094056144495E-3</v>
      </c>
      <c r="I134" s="6">
        <f>(Indices!I138-Indices!I137)/Indices!I137</f>
        <v>5.730605585218344E-3</v>
      </c>
      <c r="J134" s="6">
        <f>(Indices!J138-Indices!J137)/Indices!J137</f>
        <v>-1.4647351098745677E-4</v>
      </c>
      <c r="K134" s="6">
        <f>(Indices!K138-Indices!K137)/Indices!K137</f>
        <v>2.5898052960757591E-3</v>
      </c>
      <c r="L134" s="6">
        <f>(Indices!L138-Indices!L137)/Indices!L137</f>
        <v>2.9659596774995194E-3</v>
      </c>
      <c r="M134" s="10">
        <f>WEEKNUM(Rend_j[[#This Row],[Date]])-1</f>
        <v>26</v>
      </c>
      <c r="N134" s="7" t="str">
        <f>TEXT(Rend_j[[#This Row],[Date]],"ddd")</f>
        <v>Fri</v>
      </c>
      <c r="O134" s="7">
        <f>MONTH(Rend_j[[#This Row],[Date]])</f>
        <v>7</v>
      </c>
      <c r="P134" s="7">
        <f>YEAR(Rend_j[[#This Row],[Date]])</f>
        <v>2021</v>
      </c>
      <c r="Q134" s="7" t="str">
        <f>Rend_j[[#This Row],[Week]]&amp;","&amp;Rend_j[[#This Row],[Year]]</f>
        <v>26,2021</v>
      </c>
      <c r="R134" s="7" t="str">
        <f>Rend_j[[#This Row],[Month]]&amp;","&amp;Rend_j[[#This Row],[Year]]</f>
        <v>7,2021</v>
      </c>
    </row>
    <row r="135" spans="1:18" x14ac:dyDescent="0.25">
      <c r="A135" s="1">
        <v>44382</v>
      </c>
      <c r="B135" s="6">
        <f>(Indices!B139-Indices!B138)/Indices!B138</f>
        <v>-6.7625582273699728E-3</v>
      </c>
      <c r="C135" s="6">
        <f>(Indices!C139-Indices!C138)/Indices!C138</f>
        <v>-3.3125064251219699E-4</v>
      </c>
      <c r="D135" s="6">
        <f>(Indices!D139-Indices!D138)/Indices!D138</f>
        <v>4.1442309586109897E-3</v>
      </c>
      <c r="E135" s="6">
        <f>(Indices!E139-Indices!E138)/Indices!E138</f>
        <v>-2.235817575083416E-3</v>
      </c>
      <c r="F135" s="6">
        <f>(Indices!F139-Indices!F138)/Indices!F138</f>
        <v>-1.8723669839289209E-3</v>
      </c>
      <c r="G135" s="6">
        <f>(Indices!G139-Indices!G138)/Indices!G138</f>
        <v>-5.7435850621147982E-4</v>
      </c>
      <c r="H135" s="6">
        <f>(Indices!H139-Indices!H138)/Indices!H138</f>
        <v>8.7999236633127826E-3</v>
      </c>
      <c r="I135" s="6">
        <f>(Indices!I139-Indices!I138)/Indices!I138</f>
        <v>0</v>
      </c>
      <c r="J135" s="6">
        <f>(Indices!J139-Indices!J138)/Indices!J138</f>
        <v>2.2402700968611813E-3</v>
      </c>
      <c r="K135" s="6">
        <f>(Indices!K139-Indices!K138)/Indices!K138</f>
        <v>3.3930671543664142E-3</v>
      </c>
      <c r="L135" s="6">
        <f>(Indices!L139-Indices!L138)/Indices!L138</f>
        <v>7.5909404491956317E-4</v>
      </c>
      <c r="M135" s="10">
        <f>WEEKNUM(Rend_j[[#This Row],[Date]])-1</f>
        <v>27</v>
      </c>
      <c r="N135" s="7" t="str">
        <f>TEXT(Rend_j[[#This Row],[Date]],"ddd")</f>
        <v>Mon</v>
      </c>
      <c r="O135" s="7">
        <f>MONTH(Rend_j[[#This Row],[Date]])</f>
        <v>7</v>
      </c>
      <c r="P135" s="7">
        <f>YEAR(Rend_j[[#This Row],[Date]])</f>
        <v>2021</v>
      </c>
      <c r="Q135" s="7" t="str">
        <f>Rend_j[[#This Row],[Week]]&amp;","&amp;Rend_j[[#This Row],[Year]]</f>
        <v>27,2021</v>
      </c>
      <c r="R135" s="7" t="str">
        <f>Rend_j[[#This Row],[Month]]&amp;","&amp;Rend_j[[#This Row],[Year]]</f>
        <v>7,2021</v>
      </c>
    </row>
    <row r="136" spans="1:18" x14ac:dyDescent="0.25">
      <c r="A136" s="1">
        <v>44383</v>
      </c>
      <c r="B136" s="6">
        <f>(Indices!B140-Indices!B139)/Indices!B139</f>
        <v>-2.344635793991435E-3</v>
      </c>
      <c r="C136" s="6">
        <f>(Indices!C140-Indices!C139)/Indices!C139</f>
        <v>2.9327300288701824E-4</v>
      </c>
      <c r="D136" s="6">
        <f>(Indices!D140-Indices!D139)/Indices!D139</f>
        <v>-2.6634728911799246E-3</v>
      </c>
      <c r="E136" s="6">
        <f>(Indices!E140-Indices!E139)/Indices!E139</f>
        <v>-3.1750632671489719E-3</v>
      </c>
      <c r="F136" s="6">
        <f>(Indices!F140-Indices!F139)/Indices!F139</f>
        <v>9.0030627782699459E-3</v>
      </c>
      <c r="G136" s="6">
        <f>(Indices!G140-Indices!G139)/Indices!G139</f>
        <v>-1.4462361703648731E-4</v>
      </c>
      <c r="H136" s="6">
        <f>(Indices!H140-Indices!H139)/Indices!H139</f>
        <v>-8.6495916930289067E-3</v>
      </c>
      <c r="I136" s="6">
        <f>(Indices!I140-Indices!I139)/Indices!I139</f>
        <v>-2.5400073819677404E-3</v>
      </c>
      <c r="J136" s="6">
        <f>(Indices!J140-Indices!J139)/Indices!J139</f>
        <v>-9.1449855871979339E-3</v>
      </c>
      <c r="K136" s="6">
        <f>(Indices!K140-Indices!K139)/Indices!K139</f>
        <v>-5.1923686139399893E-3</v>
      </c>
      <c r="L136" s="6">
        <f>(Indices!L140-Indices!L139)/Indices!L139</f>
        <v>-9.6150007052784852E-3</v>
      </c>
      <c r="M136" s="10">
        <f>WEEKNUM(Rend_j[[#This Row],[Date]])-1</f>
        <v>27</v>
      </c>
      <c r="N136" s="7" t="str">
        <f>TEXT(Rend_j[[#This Row],[Date]],"ddd")</f>
        <v>Tue</v>
      </c>
      <c r="O136" s="7">
        <f>MONTH(Rend_j[[#This Row],[Date]])</f>
        <v>7</v>
      </c>
      <c r="P136" s="7">
        <f>YEAR(Rend_j[[#This Row],[Date]])</f>
        <v>2021</v>
      </c>
      <c r="Q136" s="7" t="str">
        <f>Rend_j[[#This Row],[Week]]&amp;","&amp;Rend_j[[#This Row],[Year]]</f>
        <v>27,2021</v>
      </c>
      <c r="R136" s="7" t="str">
        <f>Rend_j[[#This Row],[Month]]&amp;","&amp;Rend_j[[#This Row],[Year]]</f>
        <v>7,2021</v>
      </c>
    </row>
    <row r="137" spans="1:18" x14ac:dyDescent="0.25">
      <c r="A137" s="1">
        <v>44384</v>
      </c>
      <c r="B137" s="6">
        <f>(Indices!B141-Indices!B140)/Indices!B140</f>
        <v>2.1150996644237014E-3</v>
      </c>
      <c r="C137" s="6">
        <f>(Indices!C141-Indices!C140)/Indices!C140</f>
        <v>4.9004116041138886E-3</v>
      </c>
      <c r="D137" s="6">
        <f>(Indices!D141-Indices!D140)/Indices!D140</f>
        <v>7.8666563376714212E-5</v>
      </c>
      <c r="E137" s="6">
        <f>(Indices!E141-Indices!E140)/Indices!E140</f>
        <v>-1.8073191953851839E-3</v>
      </c>
      <c r="F137" s="6">
        <f>(Indices!F141-Indices!F140)/Indices!F140</f>
        <v>-6.3405901052365227E-3</v>
      </c>
      <c r="G137" s="6">
        <f>(Indices!G141-Indices!G140)/Indices!G140</f>
        <v>4.0538534446334885E-3</v>
      </c>
      <c r="H137" s="6">
        <f>(Indices!H141-Indices!H140)/Indices!H140</f>
        <v>7.6755083434048282E-3</v>
      </c>
      <c r="I137" s="6">
        <f>(Indices!I141-Indices!I140)/Indices!I140</f>
        <v>1.6495391919967898E-3</v>
      </c>
      <c r="J137" s="6">
        <f>(Indices!J141-Indices!J140)/Indices!J140</f>
        <v>3.1103030761840639E-3</v>
      </c>
      <c r="K137" s="6">
        <f>(Indices!K141-Indices!K140)/Indices!K140</f>
        <v>7.7854026807328289E-3</v>
      </c>
      <c r="L137" s="6">
        <f>(Indices!L141-Indices!L140)/Indices!L140</f>
        <v>1.1690132109639218E-2</v>
      </c>
      <c r="M137" s="10">
        <f>WEEKNUM(Rend_j[[#This Row],[Date]])-1</f>
        <v>27</v>
      </c>
      <c r="N137" s="7" t="str">
        <f>TEXT(Rend_j[[#This Row],[Date]],"ddd")</f>
        <v>Wed</v>
      </c>
      <c r="O137" s="7">
        <f>MONTH(Rend_j[[#This Row],[Date]])</f>
        <v>7</v>
      </c>
      <c r="P137" s="7">
        <f>YEAR(Rend_j[[#This Row],[Date]])</f>
        <v>2021</v>
      </c>
      <c r="Q137" s="7" t="str">
        <f>Rend_j[[#This Row],[Week]]&amp;","&amp;Rend_j[[#This Row],[Year]]</f>
        <v>27,2021</v>
      </c>
      <c r="R137" s="7" t="str">
        <f>Rend_j[[#This Row],[Month]]&amp;","&amp;Rend_j[[#This Row],[Year]]</f>
        <v>7,2021</v>
      </c>
    </row>
    <row r="138" spans="1:18" x14ac:dyDescent="0.25">
      <c r="A138" s="1">
        <v>44385</v>
      </c>
      <c r="B138" s="6">
        <f>(Indices!B142-Indices!B141)/Indices!B141</f>
        <v>-2.7758073442126628E-2</v>
      </c>
      <c r="C138" s="6">
        <f>(Indices!C142-Indices!C141)/Indices!C141</f>
        <v>-1.3587553709864475E-2</v>
      </c>
      <c r="D138" s="6">
        <f>(Indices!D142-Indices!D141)/Indices!D141</f>
        <v>-1.5688428171445966E-2</v>
      </c>
      <c r="E138" s="6">
        <f>(Indices!E142-Indices!E141)/Indices!E141</f>
        <v>-2.2780288753492889E-2</v>
      </c>
      <c r="F138" s="6">
        <f>(Indices!F142-Indices!F141)/Indices!F141</f>
        <v>-3.1241157481998812E-3</v>
      </c>
      <c r="G138" s="6">
        <f>(Indices!G142-Indices!G141)/Indices!G141</f>
        <v>-1.4743458514356806E-2</v>
      </c>
      <c r="H138" s="6">
        <f>(Indices!H142-Indices!H141)/Indices!H141</f>
        <v>-2.1841136244081995E-2</v>
      </c>
      <c r="I138" s="6">
        <f>(Indices!I142-Indices!I141)/Indices!I141</f>
        <v>-8.8762594151512251E-3</v>
      </c>
      <c r="J138" s="6">
        <f>(Indices!J142-Indices!J141)/Indices!J141</f>
        <v>-2.0066766142794956E-2</v>
      </c>
      <c r="K138" s="6">
        <f>(Indices!K142-Indices!K141)/Indices!K141</f>
        <v>-1.7235031482677982E-2</v>
      </c>
      <c r="L138" s="6">
        <f>(Indices!L142-Indices!L141)/Indices!L141</f>
        <v>-1.7337369434182862E-2</v>
      </c>
      <c r="M138" s="10">
        <f>WEEKNUM(Rend_j[[#This Row],[Date]])-1</f>
        <v>27</v>
      </c>
      <c r="N138" s="7" t="str">
        <f>TEXT(Rend_j[[#This Row],[Date]],"ddd")</f>
        <v>Thu</v>
      </c>
      <c r="O138" s="7">
        <f>MONTH(Rend_j[[#This Row],[Date]])</f>
        <v>7</v>
      </c>
      <c r="P138" s="7">
        <f>YEAR(Rend_j[[#This Row],[Date]])</f>
        <v>2021</v>
      </c>
      <c r="Q138" s="7" t="str">
        <f>Rend_j[[#This Row],[Week]]&amp;","&amp;Rend_j[[#This Row],[Year]]</f>
        <v>27,2021</v>
      </c>
      <c r="R138" s="7" t="str">
        <f>Rend_j[[#This Row],[Month]]&amp;","&amp;Rend_j[[#This Row],[Year]]</f>
        <v>7,2021</v>
      </c>
    </row>
    <row r="139" spans="1:18" x14ac:dyDescent="0.25">
      <c r="A139" s="1">
        <v>44386</v>
      </c>
      <c r="B139" s="6">
        <f>(Indices!B143-Indices!B142)/Indices!B142</f>
        <v>3.7960512460397306E-3</v>
      </c>
      <c r="C139" s="6">
        <f>(Indices!C143-Indices!C142)/Indices!C142</f>
        <v>9.3649647373353576E-3</v>
      </c>
      <c r="D139" s="6">
        <f>(Indices!D143-Indices!D142)/Indices!D142</f>
        <v>-4.3287617431702749E-3</v>
      </c>
      <c r="E139" s="6">
        <f>(Indices!E143-Indices!E142)/Indices!E142</f>
        <v>6.2142138102306373E-4</v>
      </c>
      <c r="F139" s="6">
        <f>(Indices!F143-Indices!F142)/Indices!F142</f>
        <v>-1.0687721574715568E-2</v>
      </c>
      <c r="G139" s="6">
        <f>(Indices!G143-Indices!G142)/Indices!G142</f>
        <v>8.2766103990550219E-3</v>
      </c>
      <c r="H139" s="6">
        <f>(Indices!H143-Indices!H142)/Indices!H142</f>
        <v>1.7693118506249016E-2</v>
      </c>
      <c r="I139" s="6">
        <f>(Indices!I143-Indices!I142)/Indices!I142</f>
        <v>1.2602297245222027E-2</v>
      </c>
      <c r="J139" s="6">
        <f>(Indices!J143-Indices!J142)/Indices!J142</f>
        <v>2.0743402084325586E-2</v>
      </c>
      <c r="K139" s="6">
        <f>(Indices!K143-Indices!K142)/Indices!K142</f>
        <v>1.3418720137465491E-2</v>
      </c>
      <c r="L139" s="6">
        <f>(Indices!L143-Indices!L142)/Indices!L142</f>
        <v>1.733326542002437E-2</v>
      </c>
      <c r="M139" s="10">
        <f>WEEKNUM(Rend_j[[#This Row],[Date]])-1</f>
        <v>27</v>
      </c>
      <c r="N139" s="7" t="str">
        <f>TEXT(Rend_j[[#This Row],[Date]],"ddd")</f>
        <v>Fri</v>
      </c>
      <c r="O139" s="7">
        <f>MONTH(Rend_j[[#This Row],[Date]])</f>
        <v>7</v>
      </c>
      <c r="P139" s="7">
        <f>YEAR(Rend_j[[#This Row],[Date]])</f>
        <v>2021</v>
      </c>
      <c r="Q139" s="7" t="str">
        <f>Rend_j[[#This Row],[Week]]&amp;","&amp;Rend_j[[#This Row],[Year]]</f>
        <v>27,2021</v>
      </c>
      <c r="R139" s="7" t="str">
        <f>Rend_j[[#This Row],[Month]]&amp;","&amp;Rend_j[[#This Row],[Year]]</f>
        <v>7,2021</v>
      </c>
    </row>
    <row r="140" spans="1:18" x14ac:dyDescent="0.25">
      <c r="A140" s="1">
        <v>44389</v>
      </c>
      <c r="B140" s="6">
        <f>(Indices!B144-Indices!B143)/Indices!B143</f>
        <v>9.4974345916684268E-3</v>
      </c>
      <c r="C140" s="6">
        <f>(Indices!C144-Indices!C143)/Indices!C143</f>
        <v>4.6618715987366242E-3</v>
      </c>
      <c r="D140" s="6">
        <f>(Indices!D144-Indices!D143)/Indices!D143</f>
        <v>6.5168451343891468E-3</v>
      </c>
      <c r="E140" s="6">
        <f>(Indices!E144-Indices!E143)/Indices!E143</f>
        <v>6.2676456568767957E-3</v>
      </c>
      <c r="F140" s="6">
        <f>(Indices!F144-Indices!F143)/Indices!F143</f>
        <v>1.9720932411305715E-2</v>
      </c>
      <c r="G140" s="6">
        <f>(Indices!G144-Indices!G143)/Indices!G143</f>
        <v>4.8618531521905086E-3</v>
      </c>
      <c r="H140" s="6">
        <f>(Indices!H144-Indices!H143)/Indices!H143</f>
        <v>5.13638909732722E-3</v>
      </c>
      <c r="I140" s="6">
        <f>(Indices!I144-Indices!I143)/Indices!I143</f>
        <v>2.6330500050763084E-3</v>
      </c>
      <c r="J140" s="6">
        <f>(Indices!J144-Indices!J143)/Indices!J143</f>
        <v>4.568564796926528E-3</v>
      </c>
      <c r="K140" s="6">
        <f>(Indices!K144-Indices!K143)/Indices!K143</f>
        <v>6.904481198771557E-3</v>
      </c>
      <c r="L140" s="6">
        <f>(Indices!L144-Indices!L143)/Indices!L143</f>
        <v>6.5387901416582468E-3</v>
      </c>
      <c r="M140" s="10">
        <f>WEEKNUM(Rend_j[[#This Row],[Date]])-1</f>
        <v>28</v>
      </c>
      <c r="N140" s="7" t="str">
        <f>TEXT(Rend_j[[#This Row],[Date]],"ddd")</f>
        <v>Mon</v>
      </c>
      <c r="O140" s="7">
        <f>MONTH(Rend_j[[#This Row],[Date]])</f>
        <v>7</v>
      </c>
      <c r="P140" s="7">
        <f>YEAR(Rend_j[[#This Row],[Date]])</f>
        <v>2021</v>
      </c>
      <c r="Q140" s="7" t="str">
        <f>Rend_j[[#This Row],[Week]]&amp;","&amp;Rend_j[[#This Row],[Year]]</f>
        <v>28,2021</v>
      </c>
      <c r="R140" s="7" t="str">
        <f>Rend_j[[#This Row],[Month]]&amp;","&amp;Rend_j[[#This Row],[Year]]</f>
        <v>7,2021</v>
      </c>
    </row>
    <row r="141" spans="1:18" x14ac:dyDescent="0.25">
      <c r="A141" s="1">
        <v>44390</v>
      </c>
      <c r="B141" s="6">
        <f>(Indices!B145-Indices!B144)/Indices!B144</f>
        <v>1.6086362737007774E-2</v>
      </c>
      <c r="C141" s="6">
        <f>(Indices!C145-Indices!C144)/Indices!C144</f>
        <v>7.3865035322636101E-4</v>
      </c>
      <c r="D141" s="6">
        <f>(Indices!D145-Indices!D144)/Indices!D144</f>
        <v>8.8151233373333967E-3</v>
      </c>
      <c r="E141" s="6">
        <f>(Indices!E145-Indices!E144)/Indices!E144</f>
        <v>1.3274789741814581E-2</v>
      </c>
      <c r="F141" s="6">
        <f>(Indices!F145-Indices!F144)/Indices!F144</f>
        <v>9.7673857744141196E-3</v>
      </c>
      <c r="G141" s="6">
        <f>(Indices!G145-Indices!G144)/Indices!G144</f>
        <v>2.2900415473539261E-3</v>
      </c>
      <c r="H141" s="6">
        <f>(Indices!H145-Indices!H144)/Indices!H144</f>
        <v>-2.5235266284633729E-4</v>
      </c>
      <c r="I141" s="6">
        <f>(Indices!I145-Indices!I144)/Indices!I144</f>
        <v>-5.5193591589972769E-3</v>
      </c>
      <c r="J141" s="6">
        <f>(Indices!J145-Indices!J144)/Indices!J144</f>
        <v>-1.1888325646982806E-4</v>
      </c>
      <c r="K141" s="6">
        <f>(Indices!K145-Indices!K144)/Indices!K144</f>
        <v>2.8210837763903012E-4</v>
      </c>
      <c r="L141" s="6">
        <f>(Indices!L145-Indices!L144)/Indices!L144</f>
        <v>-5.5103984144611112E-5</v>
      </c>
      <c r="M141" s="10">
        <f>WEEKNUM(Rend_j[[#This Row],[Date]])-1</f>
        <v>28</v>
      </c>
      <c r="N141" s="7" t="str">
        <f>TEXT(Rend_j[[#This Row],[Date]],"ddd")</f>
        <v>Tue</v>
      </c>
      <c r="O141" s="7">
        <f>MONTH(Rend_j[[#This Row],[Date]])</f>
        <v>7</v>
      </c>
      <c r="P141" s="7">
        <f>YEAR(Rend_j[[#This Row],[Date]])</f>
        <v>2021</v>
      </c>
      <c r="Q141" s="7" t="str">
        <f>Rend_j[[#This Row],[Week]]&amp;","&amp;Rend_j[[#This Row],[Year]]</f>
        <v>28,2021</v>
      </c>
      <c r="R141" s="7" t="str">
        <f>Rend_j[[#This Row],[Month]]&amp;","&amp;Rend_j[[#This Row],[Year]]</f>
        <v>7,2021</v>
      </c>
    </row>
    <row r="142" spans="1:18" x14ac:dyDescent="0.25">
      <c r="A142" s="1">
        <v>44391</v>
      </c>
      <c r="B142" s="6">
        <f>(Indices!B146-Indices!B145)/Indices!B145</f>
        <v>-7.2694493152297901E-3</v>
      </c>
      <c r="C142" s="6">
        <f>(Indices!C146-Indices!C145)/Indices!C145</f>
        <v>2.4224989590832874E-4</v>
      </c>
      <c r="D142" s="6">
        <f>(Indices!D146-Indices!D145)/Indices!D145</f>
        <v>1.7536921642470062E-3</v>
      </c>
      <c r="E142" s="6">
        <f>(Indices!E146-Indices!E145)/Indices!E145</f>
        <v>-5.6637868258522552E-4</v>
      </c>
      <c r="F142" s="6">
        <f>(Indices!F146-Indices!F145)/Indices!F145</f>
        <v>1.6491140277049088E-4</v>
      </c>
      <c r="G142" s="6">
        <f>(Indices!G146-Indices!G145)/Indices!G145</f>
        <v>1.4019559179603649E-4</v>
      </c>
      <c r="H142" s="6">
        <f>(Indices!H146-Indices!H145)/Indices!H145</f>
        <v>-2.5767503497018808E-3</v>
      </c>
      <c r="I142" s="6">
        <f>(Indices!I146-Indices!I145)/Indices!I145</f>
        <v>-1.197633696045583E-3</v>
      </c>
      <c r="J142" s="6">
        <f>(Indices!J146-Indices!J145)/Indices!J145</f>
        <v>-1.3773333878085095E-5</v>
      </c>
      <c r="K142" s="6">
        <f>(Indices!K146-Indices!K145)/Indices!K145</f>
        <v>-8.6773908323856011E-4</v>
      </c>
      <c r="L142" s="6">
        <f>(Indices!L146-Indices!L145)/Indices!L145</f>
        <v>-4.1747627850312693E-5</v>
      </c>
      <c r="M142" s="10">
        <f>WEEKNUM(Rend_j[[#This Row],[Date]])-1</f>
        <v>28</v>
      </c>
      <c r="N142" s="7" t="str">
        <f>TEXT(Rend_j[[#This Row],[Date]],"ddd")</f>
        <v>Wed</v>
      </c>
      <c r="O142" s="7">
        <f>MONTH(Rend_j[[#This Row],[Date]])</f>
        <v>7</v>
      </c>
      <c r="P142" s="7">
        <f>YEAR(Rend_j[[#This Row],[Date]])</f>
        <v>2021</v>
      </c>
      <c r="Q142" s="7" t="str">
        <f>Rend_j[[#This Row],[Week]]&amp;","&amp;Rend_j[[#This Row],[Year]]</f>
        <v>28,2021</v>
      </c>
      <c r="R142" s="7" t="str">
        <f>Rend_j[[#This Row],[Month]]&amp;","&amp;Rend_j[[#This Row],[Year]]</f>
        <v>7,2021</v>
      </c>
    </row>
    <row r="143" spans="1:18" x14ac:dyDescent="0.25">
      <c r="A143" s="1">
        <v>44392</v>
      </c>
      <c r="B143" s="6">
        <f>(Indices!B147-Indices!B146)/Indices!B146</f>
        <v>1.3017143028462309E-2</v>
      </c>
      <c r="C143" s="6">
        <f>(Indices!C147-Indices!C146)/Indices!C146</f>
        <v>-4.8854511189991325E-3</v>
      </c>
      <c r="D143" s="6">
        <f>(Indices!D147-Indices!D146)/Indices!D146</f>
        <v>5.2590834120796234E-3</v>
      </c>
      <c r="E143" s="6">
        <f>(Indices!E147-Indices!E146)/Indices!E146</f>
        <v>7.7786273275164235E-3</v>
      </c>
      <c r="F143" s="6">
        <f>(Indices!F147-Indices!F146)/Indices!F146</f>
        <v>-1.1234869030765114E-2</v>
      </c>
      <c r="G143" s="6">
        <f>(Indices!G147-Indices!G146)/Indices!G146</f>
        <v>-3.2998173924243652E-3</v>
      </c>
      <c r="H143" s="6">
        <f>(Indices!H147-Indices!H146)/Indices!H146</f>
        <v>-1.0597241553840266E-2</v>
      </c>
      <c r="I143" s="6">
        <f>(Indices!I147-Indices!I146)/Indices!I146</f>
        <v>-3.4487378141495818E-3</v>
      </c>
      <c r="J143" s="6">
        <f>(Indices!J147-Indices!J146)/Indices!J146</f>
        <v>-9.9140368749511699E-3</v>
      </c>
      <c r="K143" s="6">
        <f>(Indices!K147-Indices!K146)/Indices!K146</f>
        <v>-9.4667057906318471E-3</v>
      </c>
      <c r="L143" s="6">
        <f>(Indices!L147-Indices!L146)/Indices!L146</f>
        <v>-1.0090601499110029E-2</v>
      </c>
      <c r="M143" s="10">
        <f>WEEKNUM(Rend_j[[#This Row],[Date]])-1</f>
        <v>28</v>
      </c>
      <c r="N143" s="7" t="str">
        <f>TEXT(Rend_j[[#This Row],[Date]],"ddd")</f>
        <v>Thu</v>
      </c>
      <c r="O143" s="7">
        <f>MONTH(Rend_j[[#This Row],[Date]])</f>
        <v>7</v>
      </c>
      <c r="P143" s="7">
        <f>YEAR(Rend_j[[#This Row],[Date]])</f>
        <v>2021</v>
      </c>
      <c r="Q143" s="7" t="str">
        <f>Rend_j[[#This Row],[Week]]&amp;","&amp;Rend_j[[#This Row],[Year]]</f>
        <v>28,2021</v>
      </c>
      <c r="R143" s="7" t="str">
        <f>Rend_j[[#This Row],[Month]]&amp;","&amp;Rend_j[[#This Row],[Year]]</f>
        <v>7,2021</v>
      </c>
    </row>
    <row r="144" spans="1:18" x14ac:dyDescent="0.25">
      <c r="A144" s="1">
        <v>44393</v>
      </c>
      <c r="B144" s="6">
        <f>(Indices!B148-Indices!B147)/Indices!B147</f>
        <v>-9.074222169047937E-3</v>
      </c>
      <c r="C144" s="6">
        <f>(Indices!C148-Indices!C147)/Indices!C147</f>
        <v>-5.3999992394367872E-3</v>
      </c>
      <c r="D144" s="6">
        <f>(Indices!D148-Indices!D147)/Indices!D147</f>
        <v>-4.5492954814081278E-3</v>
      </c>
      <c r="E144" s="6">
        <f>(Indices!E148-Indices!E147)/Indices!E147</f>
        <v>-5.4313505407920888E-3</v>
      </c>
      <c r="F144" s="6">
        <f>(Indices!F148-Indices!F147)/Indices!F147</f>
        <v>-4.7267186107357619E-3</v>
      </c>
      <c r="G144" s="6">
        <f>(Indices!G148-Indices!G147)/Indices!G147</f>
        <v>-5.4051383023609482E-3</v>
      </c>
      <c r="H144" s="6">
        <f>(Indices!H148-Indices!H147)/Indices!H147</f>
        <v>-5.1155801387601533E-3</v>
      </c>
      <c r="I144" s="6">
        <f>(Indices!I148-Indices!I147)/Indices!I147</f>
        <v>-7.4897332817014401E-3</v>
      </c>
      <c r="J144" s="6">
        <f>(Indices!J148-Indices!J147)/Indices!J147</f>
        <v>-5.1252026227026504E-3</v>
      </c>
      <c r="K144" s="6">
        <f>(Indices!K148-Indices!K147)/Indices!K147</f>
        <v>-3.2003988636458819E-3</v>
      </c>
      <c r="L144" s="6">
        <f>(Indices!L148-Indices!L147)/Indices!L147</f>
        <v>-5.7167327430873594E-3</v>
      </c>
      <c r="M144" s="10">
        <f>WEEKNUM(Rend_j[[#This Row],[Date]])-1</f>
        <v>28</v>
      </c>
      <c r="N144" s="7" t="str">
        <f>TEXT(Rend_j[[#This Row],[Date]],"ddd")</f>
        <v>Fri</v>
      </c>
      <c r="O144" s="7">
        <f>MONTH(Rend_j[[#This Row],[Date]])</f>
        <v>7</v>
      </c>
      <c r="P144" s="7">
        <f>YEAR(Rend_j[[#This Row],[Date]])</f>
        <v>2021</v>
      </c>
      <c r="Q144" s="7" t="str">
        <f>Rend_j[[#This Row],[Week]]&amp;","&amp;Rend_j[[#This Row],[Year]]</f>
        <v>28,2021</v>
      </c>
      <c r="R144" s="7" t="str">
        <f>Rend_j[[#This Row],[Month]]&amp;","&amp;Rend_j[[#This Row],[Year]]</f>
        <v>7,2021</v>
      </c>
    </row>
    <row r="145" spans="1:18" x14ac:dyDescent="0.25">
      <c r="A145" s="1">
        <v>44396</v>
      </c>
      <c r="B145" s="6">
        <f>(Indices!B149-Indices!B148)/Indices!B148</f>
        <v>-1.1104053958305424E-2</v>
      </c>
      <c r="C145" s="6">
        <f>(Indices!C149-Indices!C148)/Indices!C148</f>
        <v>-1.5940017511460763E-2</v>
      </c>
      <c r="D145" s="6">
        <f>(Indices!D149-Indices!D148)/Indices!D148</f>
        <v>-1.6651124527274824E-2</v>
      </c>
      <c r="E145" s="6">
        <f>(Indices!E149-Indices!E148)/Indices!E148</f>
        <v>-1.6768939096487565E-2</v>
      </c>
      <c r="F145" s="6">
        <f>(Indices!F149-Indices!F148)/Indices!F148</f>
        <v>-5.4482531502227953E-3</v>
      </c>
      <c r="G145" s="6">
        <f>(Indices!G149-Indices!G148)/Indices!G148</f>
        <v>-1.6047481283034203E-2</v>
      </c>
      <c r="H145" s="6">
        <f>(Indices!H149-Indices!H148)/Indices!H148</f>
        <v>-3.165472249895554E-2</v>
      </c>
      <c r="I145" s="6">
        <f>(Indices!I149-Indices!I148)/Indices!I148</f>
        <v>-1.5062324905286346E-2</v>
      </c>
      <c r="J145" s="6">
        <f>(Indices!J149-Indices!J148)/Indices!J148</f>
        <v>-2.5403688656876072E-2</v>
      </c>
      <c r="K145" s="6">
        <f>(Indices!K149-Indices!K148)/Indices!K148</f>
        <v>-2.2980123212827577E-2</v>
      </c>
      <c r="L145" s="6">
        <f>(Indices!L149-Indices!L148)/Indices!L148</f>
        <v>-2.6196992290675465E-2</v>
      </c>
      <c r="M145" s="10">
        <f>WEEKNUM(Rend_j[[#This Row],[Date]])-1</f>
        <v>29</v>
      </c>
      <c r="N145" s="7" t="str">
        <f>TEXT(Rend_j[[#This Row],[Date]],"ddd")</f>
        <v>Mon</v>
      </c>
      <c r="O145" s="7">
        <f>MONTH(Rend_j[[#This Row],[Date]])</f>
        <v>7</v>
      </c>
      <c r="P145" s="7">
        <f>YEAR(Rend_j[[#This Row],[Date]])</f>
        <v>2021</v>
      </c>
      <c r="Q145" s="7" t="str">
        <f>Rend_j[[#This Row],[Week]]&amp;","&amp;Rend_j[[#This Row],[Year]]</f>
        <v>29,2021</v>
      </c>
      <c r="R145" s="7" t="str">
        <f>Rend_j[[#This Row],[Month]]&amp;","&amp;Rend_j[[#This Row],[Year]]</f>
        <v>7,2021</v>
      </c>
    </row>
    <row r="146" spans="1:18" x14ac:dyDescent="0.25">
      <c r="A146" s="1">
        <v>44397</v>
      </c>
      <c r="B146" s="6">
        <f>(Indices!B150-Indices!B149)/Indices!B149</f>
        <v>9.5746940194396636E-5</v>
      </c>
      <c r="C146" s="6">
        <f>(Indices!C150-Indices!C149)/Indices!C149</f>
        <v>1.3878635759633849E-2</v>
      </c>
      <c r="D146" s="6">
        <f>(Indices!D150-Indices!D149)/Indices!D149</f>
        <v>-3.2881901898991066E-4</v>
      </c>
      <c r="E146" s="6">
        <f>(Indices!E150-Indices!E149)/Indices!E149</f>
        <v>-1.0268556993913909E-3</v>
      </c>
      <c r="F146" s="6">
        <f>(Indices!F150-Indices!F149)/Indices!F149</f>
        <v>-1.1014290693621394E-2</v>
      </c>
      <c r="G146" s="6">
        <f>(Indices!G150-Indices!G149)/Indices!G149</f>
        <v>1.1997887066829275E-2</v>
      </c>
      <c r="H146" s="6">
        <f>(Indices!H150-Indices!H149)/Indices!H149</f>
        <v>4.5577237930882579E-3</v>
      </c>
      <c r="I146" s="6">
        <f>(Indices!I150-Indices!I149)/Indices!I149</f>
        <v>1.7318728048920463E-2</v>
      </c>
      <c r="J146" s="6">
        <f>(Indices!J150-Indices!J149)/Indices!J149</f>
        <v>8.0813411217828656E-3</v>
      </c>
      <c r="K146" s="6">
        <f>(Indices!K150-Indices!K149)/Indices!K149</f>
        <v>5.2217604560178101E-3</v>
      </c>
      <c r="L146" s="6">
        <f>(Indices!L150-Indices!L149)/Indices!L149</f>
        <v>5.4892110658788656E-3</v>
      </c>
      <c r="M146" s="10">
        <f>WEEKNUM(Rend_j[[#This Row],[Date]])-1</f>
        <v>29</v>
      </c>
      <c r="N146" s="7" t="str">
        <f>TEXT(Rend_j[[#This Row],[Date]],"ddd")</f>
        <v>Tue</v>
      </c>
      <c r="O146" s="7">
        <f>MONTH(Rend_j[[#This Row],[Date]])</f>
        <v>7</v>
      </c>
      <c r="P146" s="7">
        <f>YEAR(Rend_j[[#This Row],[Date]])</f>
        <v>2021</v>
      </c>
      <c r="Q146" s="7" t="str">
        <f>Rend_j[[#This Row],[Week]]&amp;","&amp;Rend_j[[#This Row],[Year]]</f>
        <v>29,2021</v>
      </c>
      <c r="R146" s="7" t="str">
        <f>Rend_j[[#This Row],[Month]]&amp;","&amp;Rend_j[[#This Row],[Year]]</f>
        <v>7,2021</v>
      </c>
    </row>
    <row r="147" spans="1:18" x14ac:dyDescent="0.25">
      <c r="A147" s="1">
        <v>44398</v>
      </c>
      <c r="B147" s="6">
        <f>(Indices!B151-Indices!B150)/Indices!B150</f>
        <v>3.2795006471938019E-3</v>
      </c>
      <c r="C147" s="6">
        <f>(Indices!C151-Indices!C150)/Indices!C150</f>
        <v>8.0361454093949691E-3</v>
      </c>
      <c r="D147" s="6">
        <f>(Indices!D151-Indices!D150)/Indices!D150</f>
        <v>-2.6739700727625411E-3</v>
      </c>
      <c r="E147" s="6">
        <f>(Indices!E151-Indices!E150)/Indices!E150</f>
        <v>-1.3865380178674446E-3</v>
      </c>
      <c r="F147" s="6">
        <f>(Indices!F151-Indices!F150)/Indices!F150</f>
        <v>1.7445548741805705E-3</v>
      </c>
      <c r="G147" s="6">
        <f>(Indices!G151-Indices!G150)/Indices!G150</f>
        <v>6.8623801098441801E-3</v>
      </c>
      <c r="H147" s="6">
        <f>(Indices!H151-Indices!H150)/Indices!H150</f>
        <v>1.9414589022993468E-2</v>
      </c>
      <c r="I147" s="6">
        <f>(Indices!I151-Indices!I150)/Indices!I150</f>
        <v>9.1306496597181718E-3</v>
      </c>
      <c r="J147" s="6">
        <f>(Indices!J151-Indices!J150)/Indices!J150</f>
        <v>1.8533584405446623E-2</v>
      </c>
      <c r="K147" s="6">
        <f>(Indices!K151-Indices!K150)/Indices!K150</f>
        <v>1.6479739027778408E-2</v>
      </c>
      <c r="L147" s="6">
        <f>(Indices!L151-Indices!L150)/Indices!L150</f>
        <v>1.3553287130817564E-2</v>
      </c>
      <c r="M147" s="10">
        <f>WEEKNUM(Rend_j[[#This Row],[Date]])-1</f>
        <v>29</v>
      </c>
      <c r="N147" s="7" t="str">
        <f>TEXT(Rend_j[[#This Row],[Date]],"ddd")</f>
        <v>Wed</v>
      </c>
      <c r="O147" s="7">
        <f>MONTH(Rend_j[[#This Row],[Date]])</f>
        <v>7</v>
      </c>
      <c r="P147" s="7">
        <f>YEAR(Rend_j[[#This Row],[Date]])</f>
        <v>2021</v>
      </c>
      <c r="Q147" s="7" t="str">
        <f>Rend_j[[#This Row],[Week]]&amp;","&amp;Rend_j[[#This Row],[Year]]</f>
        <v>29,2021</v>
      </c>
      <c r="R147" s="7" t="str">
        <f>Rend_j[[#This Row],[Month]]&amp;","&amp;Rend_j[[#This Row],[Year]]</f>
        <v>7,2021</v>
      </c>
    </row>
    <row r="148" spans="1:18" x14ac:dyDescent="0.25">
      <c r="A148" s="1">
        <v>44399</v>
      </c>
      <c r="B148" s="6">
        <f>(Indices!B152-Indices!B151)/Indices!B151</f>
        <v>6.9724167810643481E-3</v>
      </c>
      <c r="C148" s="6">
        <f>(Indices!C152-Indices!C151)/Indices!C151</f>
        <v>2.912071410377845E-3</v>
      </c>
      <c r="D148" s="6">
        <f>(Indices!D152-Indices!D151)/Indices!D151</f>
        <v>1.1073492987081943E-2</v>
      </c>
      <c r="E148" s="6">
        <f>(Indices!E152-Indices!E151)/Indices!E151</f>
        <v>1.0499252014072273E-2</v>
      </c>
      <c r="F148" s="6">
        <f>(Indices!F152-Indices!F151)/Indices!F151</f>
        <v>1.4776505356483751E-3</v>
      </c>
      <c r="G148" s="6">
        <f>(Indices!G152-Indices!G151)/Indices!G151</f>
        <v>3.8499803689119455E-3</v>
      </c>
      <c r="H148" s="6">
        <f>(Indices!H152-Indices!H151)/Indices!H151</f>
        <v>-5.4012595737276822E-5</v>
      </c>
      <c r="I148" s="6">
        <f>(Indices!I152-Indices!I151)/Indices!I151</f>
        <v>6.599439535306678E-4</v>
      </c>
      <c r="J148" s="6">
        <f>(Indices!J152-Indices!J151)/Indices!J151</f>
        <v>2.6467502495073109E-3</v>
      </c>
      <c r="K148" s="6">
        <f>(Indices!K152-Indices!K151)/Indices!K151</f>
        <v>5.6391347321647148E-3</v>
      </c>
      <c r="L148" s="6">
        <f>(Indices!L152-Indices!L151)/Indices!L151</f>
        <v>5.9679066299238035E-3</v>
      </c>
      <c r="M148" s="10">
        <f>WEEKNUM(Rend_j[[#This Row],[Date]])-1</f>
        <v>29</v>
      </c>
      <c r="N148" s="7" t="str">
        <f>TEXT(Rend_j[[#This Row],[Date]],"ddd")</f>
        <v>Thu</v>
      </c>
      <c r="O148" s="7">
        <f>MONTH(Rend_j[[#This Row],[Date]])</f>
        <v>7</v>
      </c>
      <c r="P148" s="7">
        <f>YEAR(Rend_j[[#This Row],[Date]])</f>
        <v>2021</v>
      </c>
      <c r="Q148" s="7" t="str">
        <f>Rend_j[[#This Row],[Week]]&amp;","&amp;Rend_j[[#This Row],[Year]]</f>
        <v>29,2021</v>
      </c>
      <c r="R148" s="7" t="str">
        <f>Rend_j[[#This Row],[Month]]&amp;","&amp;Rend_j[[#This Row],[Year]]</f>
        <v>7,2021</v>
      </c>
    </row>
    <row r="149" spans="1:18" x14ac:dyDescent="0.25">
      <c r="A149" s="1">
        <v>44400</v>
      </c>
      <c r="B149" s="6">
        <f>(Indices!B153-Indices!B152)/Indices!B152</f>
        <v>-1.9518223166895055E-2</v>
      </c>
      <c r="C149" s="6">
        <f>(Indices!C153-Indices!C152)/Indices!C152</f>
        <v>1.1121682732582924E-2</v>
      </c>
      <c r="D149" s="6">
        <f>(Indices!D153-Indices!D152)/Indices!D152</f>
        <v>3.2765209023130333E-4</v>
      </c>
      <c r="E149" s="6">
        <f>(Indices!E153-Indices!E152)/Indices!E152</f>
        <v>-8.7603335717713633E-3</v>
      </c>
      <c r="F149" s="6">
        <f>(Indices!F153-Indices!F152)/Indices!F152</f>
        <v>-1.3115291610312949E-3</v>
      </c>
      <c r="G149" s="6">
        <f>(Indices!G153-Indices!G152)/Indices!G152</f>
        <v>8.6425237992170494E-3</v>
      </c>
      <c r="H149" s="6">
        <f>(Indices!H153-Indices!H152)/Indices!H152</f>
        <v>1.1040770909405088E-2</v>
      </c>
      <c r="I149" s="6">
        <f>(Indices!I153-Indices!I152)/Indices!I152</f>
        <v>1.0126956729427075E-2</v>
      </c>
      <c r="J149" s="6">
        <f>(Indices!J153-Indices!J152)/Indices!J152</f>
        <v>1.3458114768053205E-2</v>
      </c>
      <c r="K149" s="6">
        <f>(Indices!K153-Indices!K152)/Indices!K152</f>
        <v>1.0908398157642314E-2</v>
      </c>
      <c r="L149" s="6">
        <f>(Indices!L153-Indices!L152)/Indices!L152</f>
        <v>9.974514204160706E-3</v>
      </c>
      <c r="M149" s="10">
        <f>WEEKNUM(Rend_j[[#This Row],[Date]])-1</f>
        <v>29</v>
      </c>
      <c r="N149" s="7" t="str">
        <f>TEXT(Rend_j[[#This Row],[Date]],"ddd")</f>
        <v>Fri</v>
      </c>
      <c r="O149" s="7">
        <f>MONTH(Rend_j[[#This Row],[Date]])</f>
        <v>7</v>
      </c>
      <c r="P149" s="7">
        <f>YEAR(Rend_j[[#This Row],[Date]])</f>
        <v>2021</v>
      </c>
      <c r="Q149" s="7" t="str">
        <f>Rend_j[[#This Row],[Week]]&amp;","&amp;Rend_j[[#This Row],[Year]]</f>
        <v>29,2021</v>
      </c>
      <c r="R149" s="7" t="str">
        <f>Rend_j[[#This Row],[Month]]&amp;","&amp;Rend_j[[#This Row],[Year]]</f>
        <v>7,2021</v>
      </c>
    </row>
    <row r="150" spans="1:18" x14ac:dyDescent="0.25">
      <c r="A150" s="1">
        <v>44403</v>
      </c>
      <c r="B150" s="6">
        <f>(Indices!B154-Indices!B153)/Indices!B153</f>
        <v>-5.1231597072331977E-2</v>
      </c>
      <c r="C150" s="6">
        <f>(Indices!C154-Indices!C153)/Indices!C153</f>
        <v>-1.3346179656073245E-3</v>
      </c>
      <c r="D150" s="6">
        <f>(Indices!D154-Indices!D153)/Indices!D153</f>
        <v>-9.1116117893812777E-3</v>
      </c>
      <c r="E150" s="6">
        <f>(Indices!E154-Indices!E153)/Indices!E153</f>
        <v>-2.7723604342603431E-2</v>
      </c>
      <c r="F150" s="6">
        <f>(Indices!F154-Indices!F153)/Indices!F153</f>
        <v>8.9465260393155298E-3</v>
      </c>
      <c r="G150" s="6">
        <f>(Indices!G154-Indices!G153)/Indices!G153</f>
        <v>-4.5628235294117234E-3</v>
      </c>
      <c r="H150" s="6">
        <f>(Indices!H154-Indices!H153)/Indices!H153</f>
        <v>1.186049493524856E-3</v>
      </c>
      <c r="I150" s="6">
        <f>(Indices!I154-Indices!I153)/Indices!I153</f>
        <v>1.9859930723847446E-3</v>
      </c>
      <c r="J150" s="6">
        <f>(Indices!J154-Indices!J153)/Indices!J153</f>
        <v>1.4888936311308598E-3</v>
      </c>
      <c r="K150" s="6">
        <f>(Indices!K154-Indices!K153)/Indices!K153</f>
        <v>-8.0170525445378128E-4</v>
      </c>
      <c r="L150" s="6">
        <f>(Indices!L154-Indices!L153)/Indices!L153</f>
        <v>-3.210711517341946E-3</v>
      </c>
      <c r="M150" s="10">
        <f>WEEKNUM(Rend_j[[#This Row],[Date]])-1</f>
        <v>30</v>
      </c>
      <c r="N150" s="7" t="str">
        <f>TEXT(Rend_j[[#This Row],[Date]],"ddd")</f>
        <v>Mon</v>
      </c>
      <c r="O150" s="7">
        <f>MONTH(Rend_j[[#This Row],[Date]])</f>
        <v>7</v>
      </c>
      <c r="P150" s="7">
        <f>YEAR(Rend_j[[#This Row],[Date]])</f>
        <v>2021</v>
      </c>
      <c r="Q150" s="7" t="str">
        <f>Rend_j[[#This Row],[Week]]&amp;","&amp;Rend_j[[#This Row],[Year]]</f>
        <v>30,2021</v>
      </c>
      <c r="R150" s="7" t="str">
        <f>Rend_j[[#This Row],[Month]]&amp;","&amp;Rend_j[[#This Row],[Year]]</f>
        <v>7,2021</v>
      </c>
    </row>
    <row r="151" spans="1:18" x14ac:dyDescent="0.25">
      <c r="A151" s="1">
        <v>44404</v>
      </c>
      <c r="B151" s="6">
        <f>(Indices!B155-Indices!B154)/Indices!B154</f>
        <v>-5.1578088080861138E-2</v>
      </c>
      <c r="C151" s="6">
        <f>(Indices!C155-Indices!C154)/Indices!C154</f>
        <v>-5.2217262854419308E-3</v>
      </c>
      <c r="D151" s="6">
        <f>(Indices!D155-Indices!D154)/Indices!D154</f>
        <v>-3.3833735620723468E-3</v>
      </c>
      <c r="E151" s="6">
        <f>(Indices!E155-Indices!E154)/Indices!E154</f>
        <v>-2.297570897748474E-2</v>
      </c>
      <c r="F151" s="6">
        <f>(Indices!F155-Indices!F154)/Indices!F154</f>
        <v>8.7626020511927128E-3</v>
      </c>
      <c r="G151" s="6">
        <f>(Indices!G155-Indices!G154)/Indices!G154</f>
        <v>-7.3445708040073944E-3</v>
      </c>
      <c r="H151" s="6">
        <f>(Indices!H155-Indices!H154)/Indices!H154</f>
        <v>-1.0565747766785531E-3</v>
      </c>
      <c r="I151" s="6">
        <f>(Indices!I155-Indices!I154)/Indices!I154</f>
        <v>-5.5250366384492784E-3</v>
      </c>
      <c r="J151" s="6">
        <f>(Indices!J155-Indices!J154)/Indices!J154</f>
        <v>-7.0957613024982885E-3</v>
      </c>
      <c r="K151" s="6">
        <f>(Indices!K155-Indices!K154)/Indices!K154</f>
        <v>-5.3997070716147091E-3</v>
      </c>
      <c r="L151" s="6">
        <f>(Indices!L155-Indices!L154)/Indices!L154</f>
        <v>-6.3929006244541394E-3</v>
      </c>
      <c r="M151" s="10">
        <f>WEEKNUM(Rend_j[[#This Row],[Date]])-1</f>
        <v>30</v>
      </c>
      <c r="N151" s="7" t="str">
        <f>TEXT(Rend_j[[#This Row],[Date]],"ddd")</f>
        <v>Tue</v>
      </c>
      <c r="O151" s="7">
        <f>MONTH(Rend_j[[#This Row],[Date]])</f>
        <v>7</v>
      </c>
      <c r="P151" s="7">
        <f>YEAR(Rend_j[[#This Row],[Date]])</f>
        <v>2021</v>
      </c>
      <c r="Q151" s="7" t="str">
        <f>Rend_j[[#This Row],[Week]]&amp;","&amp;Rend_j[[#This Row],[Year]]</f>
        <v>30,2021</v>
      </c>
      <c r="R151" s="7" t="str">
        <f>Rend_j[[#This Row],[Month]]&amp;","&amp;Rend_j[[#This Row],[Year]]</f>
        <v>7,2021</v>
      </c>
    </row>
    <row r="152" spans="1:18" x14ac:dyDescent="0.25">
      <c r="A152" s="1">
        <v>44405</v>
      </c>
      <c r="B152" s="6">
        <f>(Indices!B156-Indices!B155)/Indices!B155</f>
        <v>2.3644496346997532E-2</v>
      </c>
      <c r="C152" s="6">
        <f>(Indices!C156-Indices!C155)/Indices!C155</f>
        <v>2.4075835106946281E-3</v>
      </c>
      <c r="D152" s="6">
        <f>(Indices!D156-Indices!D155)/Indices!D155</f>
        <v>4.3297472243683478E-3</v>
      </c>
      <c r="E152" s="6">
        <f>(Indices!E156-Indices!E155)/Indices!E155</f>
        <v>1.4825517102112716E-2</v>
      </c>
      <c r="F152" s="6">
        <f>(Indices!F156-Indices!F155)/Indices!F155</f>
        <v>-9.9019026168903901E-3</v>
      </c>
      <c r="G152" s="6">
        <f>(Indices!G156-Indices!G155)/Indices!G155</f>
        <v>3.8709038331854548E-3</v>
      </c>
      <c r="H152" s="6">
        <f>(Indices!H156-Indices!H155)/Indices!H155</f>
        <v>3.1944444444445149E-3</v>
      </c>
      <c r="I152" s="6">
        <f>(Indices!I156-Indices!I155)/Indices!I155</f>
        <v>1.8175464005497921E-3</v>
      </c>
      <c r="J152" s="6">
        <f>(Indices!J156-Indices!J155)/Indices!J155</f>
        <v>1.1847992309174596E-2</v>
      </c>
      <c r="K152" s="6">
        <f>(Indices!K156-Indices!K155)/Indices!K155</f>
        <v>6.6499902755913325E-3</v>
      </c>
      <c r="L152" s="6">
        <f>(Indices!L156-Indices!L155)/Indices!L155</f>
        <v>3.3011174206372725E-3</v>
      </c>
      <c r="M152" s="10">
        <f>WEEKNUM(Rend_j[[#This Row],[Date]])-1</f>
        <v>30</v>
      </c>
      <c r="N152" s="7" t="str">
        <f>TEXT(Rend_j[[#This Row],[Date]],"ddd")</f>
        <v>Wed</v>
      </c>
      <c r="O152" s="7">
        <f>MONTH(Rend_j[[#This Row],[Date]])</f>
        <v>7</v>
      </c>
      <c r="P152" s="7">
        <f>YEAR(Rend_j[[#This Row],[Date]])</f>
        <v>2021</v>
      </c>
      <c r="Q152" s="7" t="str">
        <f>Rend_j[[#This Row],[Week]]&amp;","&amp;Rend_j[[#This Row],[Year]]</f>
        <v>30,2021</v>
      </c>
      <c r="R152" s="7" t="str">
        <f>Rend_j[[#This Row],[Month]]&amp;","&amp;Rend_j[[#This Row],[Year]]</f>
        <v>7,2021</v>
      </c>
    </row>
    <row r="153" spans="1:18" x14ac:dyDescent="0.25">
      <c r="A153" s="1">
        <v>44406</v>
      </c>
      <c r="B153" s="6">
        <f>(Indices!B157-Indices!B156)/Indices!B156</f>
        <v>2.8062379622750416E-2</v>
      </c>
      <c r="C153" s="6">
        <f>(Indices!C157-Indices!C156)/Indices!C156</f>
        <v>-5.7598048442601473E-4</v>
      </c>
      <c r="D153" s="6">
        <f>(Indices!D157-Indices!D156)/Indices!D156</f>
        <v>4.4450387241976664E-3</v>
      </c>
      <c r="E153" s="6">
        <f>(Indices!E157-Indices!E156)/Indices!E156</f>
        <v>1.414699897427146E-2</v>
      </c>
      <c r="F153" s="6">
        <f>(Indices!F157-Indices!F156)/Indices!F156</f>
        <v>2.0711642735799902E-3</v>
      </c>
      <c r="G153" s="6">
        <f>(Indices!G157-Indices!G156)/Indices!G156</f>
        <v>1.1727333796353104E-3</v>
      </c>
      <c r="H153" s="6">
        <f>(Indices!H157-Indices!H156)/Indices!H156</f>
        <v>1.0330248458450025E-2</v>
      </c>
      <c r="I153" s="6">
        <f>(Indices!I157-Indices!I156)/Indices!I156</f>
        <v>4.3131339915140751E-3</v>
      </c>
      <c r="J153" s="6">
        <f>(Indices!J157-Indices!J156)/Indices!J156</f>
        <v>3.7008342446715838E-3</v>
      </c>
      <c r="K153" s="6">
        <f>(Indices!K157-Indices!K156)/Indices!K156</f>
        <v>4.6350096261205424E-3</v>
      </c>
      <c r="L153" s="6">
        <f>(Indices!L157-Indices!L156)/Indices!L156</f>
        <v>4.5027461422882144E-3</v>
      </c>
      <c r="M153" s="10">
        <f>WEEKNUM(Rend_j[[#This Row],[Date]])-1</f>
        <v>30</v>
      </c>
      <c r="N153" s="7" t="str">
        <f>TEXT(Rend_j[[#This Row],[Date]],"ddd")</f>
        <v>Thu</v>
      </c>
      <c r="O153" s="7">
        <f>MONTH(Rend_j[[#This Row],[Date]])</f>
        <v>7</v>
      </c>
      <c r="P153" s="7">
        <f>YEAR(Rend_j[[#This Row],[Date]])</f>
        <v>2021</v>
      </c>
      <c r="Q153" s="7" t="str">
        <f>Rend_j[[#This Row],[Week]]&amp;","&amp;Rend_j[[#This Row],[Year]]</f>
        <v>30,2021</v>
      </c>
      <c r="R153" s="7" t="str">
        <f>Rend_j[[#This Row],[Month]]&amp;","&amp;Rend_j[[#This Row],[Year]]</f>
        <v>7,2021</v>
      </c>
    </row>
    <row r="154" spans="1:18" x14ac:dyDescent="0.25">
      <c r="A154" s="1">
        <v>44407</v>
      </c>
      <c r="B154" s="6">
        <f>(Indices!B158-Indices!B157)/Indices!B157</f>
        <v>-1.0365691598669421E-2</v>
      </c>
      <c r="C154" s="6">
        <f>(Indices!C158-Indices!C157)/Indices!C157</f>
        <v>-4.4372290295727279E-3</v>
      </c>
      <c r="D154" s="6">
        <f>(Indices!D158-Indices!D157)/Indices!D157</f>
        <v>-9.9870115552622811E-3</v>
      </c>
      <c r="E154" s="6">
        <f>(Indices!E158-Indices!E157)/Indices!E157</f>
        <v>-1.1387233684721953E-2</v>
      </c>
      <c r="F154" s="6">
        <f>(Indices!F158-Indices!F157)/Indices!F157</f>
        <v>-1.2796098467255037E-2</v>
      </c>
      <c r="G154" s="6">
        <f>(Indices!G158-Indices!G157)/Indices!G157</f>
        <v>-5.2768048037119437E-3</v>
      </c>
      <c r="H154" s="6">
        <f>(Indices!H158-Indices!H157)/Indices!H157</f>
        <v>-9.2864897911857421E-3</v>
      </c>
      <c r="I154" s="6">
        <f>(Indices!I158-Indices!I157)/Indices!I157</f>
        <v>-5.6265197818064156E-3</v>
      </c>
      <c r="J154" s="6">
        <f>(Indices!J158-Indices!J157)/Indices!J157</f>
        <v>-3.1671664734617684E-3</v>
      </c>
      <c r="K154" s="6">
        <f>(Indices!K158-Indices!K157)/Indices!K157</f>
        <v>-4.527436223934444E-3</v>
      </c>
      <c r="L154" s="6">
        <f>(Indices!L158-Indices!L157)/Indices!L157</f>
        <v>-6.1430431220176364E-3</v>
      </c>
      <c r="M154" s="10">
        <f>WEEKNUM(Rend_j[[#This Row],[Date]])-1</f>
        <v>30</v>
      </c>
      <c r="N154" s="7" t="str">
        <f>TEXT(Rend_j[[#This Row],[Date]],"ddd")</f>
        <v>Fri</v>
      </c>
      <c r="O154" s="7">
        <f>MONTH(Rend_j[[#This Row],[Date]])</f>
        <v>7</v>
      </c>
      <c r="P154" s="7">
        <f>YEAR(Rend_j[[#This Row],[Date]])</f>
        <v>2021</v>
      </c>
      <c r="Q154" s="7" t="str">
        <f>Rend_j[[#This Row],[Week]]&amp;","&amp;Rend_j[[#This Row],[Year]]</f>
        <v>30,2021</v>
      </c>
      <c r="R154" s="7" t="str">
        <f>Rend_j[[#This Row],[Month]]&amp;","&amp;Rend_j[[#This Row],[Year]]</f>
        <v>7,2021</v>
      </c>
    </row>
    <row r="155" spans="1:18" x14ac:dyDescent="0.25">
      <c r="A155" s="1">
        <v>44410</v>
      </c>
      <c r="B155" s="6">
        <f>(Indices!B159-Indices!B158)/Indices!B158</f>
        <v>1.5464811281542605E-2</v>
      </c>
      <c r="C155" s="6">
        <f>(Indices!C159-Indices!C158)/Indices!C158</f>
        <v>5.7888105696878207E-4</v>
      </c>
      <c r="D155" s="6">
        <f>(Indices!D159-Indices!D158)/Indices!D158</f>
        <v>8.6261061946903521E-3</v>
      </c>
      <c r="E155" s="6">
        <f>(Indices!E159-Indices!E158)/Indices!E158</f>
        <v>9.9755219310267481E-3</v>
      </c>
      <c r="F155" s="6">
        <f>(Indices!F159-Indices!F158)/Indices!F158</f>
        <v>2.2471711872779871E-2</v>
      </c>
      <c r="G155" s="6">
        <f>(Indices!G159-Indices!G158)/Indices!G158</f>
        <v>1.7034801298760793E-3</v>
      </c>
      <c r="H155" s="6">
        <f>(Indices!H159-Indices!H158)/Indices!H158</f>
        <v>4.553772822062362E-3</v>
      </c>
      <c r="I155" s="6">
        <f>(Indices!I159-Indices!I158)/Indices!I158</f>
        <v>-1.7909007907881231E-3</v>
      </c>
      <c r="J155" s="6">
        <f>(Indices!J159-Indices!J158)/Indices!J158</f>
        <v>9.5482277043602466E-3</v>
      </c>
      <c r="K155" s="6">
        <f>(Indices!K159-Indices!K158)/Indices!K158</f>
        <v>5.8691515976340659E-3</v>
      </c>
      <c r="L155" s="6">
        <f>(Indices!L159-Indices!L158)/Indices!L158</f>
        <v>1.5658910094293254E-3</v>
      </c>
      <c r="M155" s="10">
        <f>WEEKNUM(Rend_j[[#This Row],[Date]])-1</f>
        <v>31</v>
      </c>
      <c r="N155" s="7" t="str">
        <f>TEXT(Rend_j[[#This Row],[Date]],"ddd")</f>
        <v>Mon</v>
      </c>
      <c r="O155" s="7">
        <f>MONTH(Rend_j[[#This Row],[Date]])</f>
        <v>8</v>
      </c>
      <c r="P155" s="7">
        <f>YEAR(Rend_j[[#This Row],[Date]])</f>
        <v>2021</v>
      </c>
      <c r="Q155" s="7" t="str">
        <f>Rend_j[[#This Row],[Week]]&amp;","&amp;Rend_j[[#This Row],[Year]]</f>
        <v>31,2021</v>
      </c>
      <c r="R155" s="7" t="str">
        <f>Rend_j[[#This Row],[Month]]&amp;","&amp;Rend_j[[#This Row],[Year]]</f>
        <v>8,2021</v>
      </c>
    </row>
    <row r="156" spans="1:18" x14ac:dyDescent="0.25">
      <c r="A156" s="1">
        <v>44411</v>
      </c>
      <c r="B156" s="6">
        <f>(Indices!B160-Indices!B159)/Indices!B159</f>
        <v>-4.8733056410242351E-3</v>
      </c>
      <c r="C156" s="6">
        <f>(Indices!C160-Indices!C159)/Indices!C159</f>
        <v>6.8669268233656029E-3</v>
      </c>
      <c r="D156" s="6">
        <f>(Indices!D160-Indices!D159)/Indices!D159</f>
        <v>7.7570787486798409E-3</v>
      </c>
      <c r="E156" s="6">
        <f>(Indices!E160-Indices!E159)/Indices!E159</f>
        <v>2.6833045585764946E-3</v>
      </c>
      <c r="F156" s="6">
        <f>(Indices!F160-Indices!F159)/Indices!F159</f>
        <v>5.2917052520182076E-4</v>
      </c>
      <c r="G156" s="6">
        <f>(Indices!G160-Indices!G159)/Indices!G159</f>
        <v>6.3648226561816464E-3</v>
      </c>
      <c r="H156" s="6">
        <f>(Indices!H160-Indices!H159)/Indices!H159</f>
        <v>6.1959837315710047E-3</v>
      </c>
      <c r="I156" s="6">
        <f>(Indices!I160-Indices!I159)/Indices!I159</f>
        <v>7.3016079649662205E-3</v>
      </c>
      <c r="J156" s="6">
        <f>(Indices!J160-Indices!J159)/Indices!J159</f>
        <v>7.1765840865359717E-3</v>
      </c>
      <c r="K156" s="6">
        <f>(Indices!K160-Indices!K159)/Indices!K159</f>
        <v>2.002353269397628E-3</v>
      </c>
      <c r="L156" s="6">
        <f>(Indices!L160-Indices!L159)/Indices!L159</f>
        <v>-8.7678247281010942E-4</v>
      </c>
      <c r="M156" s="10">
        <f>WEEKNUM(Rend_j[[#This Row],[Date]])-1</f>
        <v>31</v>
      </c>
      <c r="N156" s="7" t="str">
        <f>TEXT(Rend_j[[#This Row],[Date]],"ddd")</f>
        <v>Tue</v>
      </c>
      <c r="O156" s="7">
        <f>MONTH(Rend_j[[#This Row],[Date]])</f>
        <v>8</v>
      </c>
      <c r="P156" s="7">
        <f>YEAR(Rend_j[[#This Row],[Date]])</f>
        <v>2021</v>
      </c>
      <c r="Q156" s="7" t="str">
        <f>Rend_j[[#This Row],[Week]]&amp;","&amp;Rend_j[[#This Row],[Year]]</f>
        <v>31,2021</v>
      </c>
      <c r="R156" s="7" t="str">
        <f>Rend_j[[#This Row],[Month]]&amp;","&amp;Rend_j[[#This Row],[Year]]</f>
        <v>8,2021</v>
      </c>
    </row>
    <row r="157" spans="1:18" x14ac:dyDescent="0.25">
      <c r="A157" s="1">
        <v>44412</v>
      </c>
      <c r="B157" s="6">
        <f>(Indices!B161-Indices!B160)/Indices!B160</f>
        <v>1.221604267891931E-2</v>
      </c>
      <c r="C157" s="6">
        <f>(Indices!C161-Indices!C160)/Indices!C160</f>
        <v>-1.0215118375194966E-3</v>
      </c>
      <c r="D157" s="6">
        <f>(Indices!D161-Indices!D160)/Indices!D160</f>
        <v>7.2306132236206171E-3</v>
      </c>
      <c r="E157" s="6">
        <f>(Indices!E161-Indices!E160)/Indices!E160</f>
        <v>8.730649432461034E-3</v>
      </c>
      <c r="F157" s="6">
        <f>(Indices!F161-Indices!F160)/Indices!F160</f>
        <v>-8.4450039954240743E-3</v>
      </c>
      <c r="G157" s="6">
        <f>(Indices!G161-Indices!G160)/Indices!G160</f>
        <v>1.5121501262653091E-4</v>
      </c>
      <c r="H157" s="6">
        <f>(Indices!H161-Indices!H160)/Indices!H160</f>
        <v>4.5157419395585527E-3</v>
      </c>
      <c r="I157" s="6">
        <f>(Indices!I161-Indices!I160)/Indices!I160</f>
        <v>-4.63760795705845E-3</v>
      </c>
      <c r="J157" s="6">
        <f>(Indices!J161-Indices!J160)/Indices!J160</f>
        <v>3.3344072487577242E-3</v>
      </c>
      <c r="K157" s="6">
        <f>(Indices!K161-Indices!K160)/Indices!K160</f>
        <v>6.1025311992079292E-3</v>
      </c>
      <c r="L157" s="6">
        <f>(Indices!L161-Indices!L160)/Indices!L160</f>
        <v>8.810613593446745E-3</v>
      </c>
      <c r="M157" s="10">
        <f>WEEKNUM(Rend_j[[#This Row],[Date]])-1</f>
        <v>31</v>
      </c>
      <c r="N157" s="7" t="str">
        <f>TEXT(Rend_j[[#This Row],[Date]],"ddd")</f>
        <v>Wed</v>
      </c>
      <c r="O157" s="7">
        <f>MONTH(Rend_j[[#This Row],[Date]])</f>
        <v>8</v>
      </c>
      <c r="P157" s="7">
        <f>YEAR(Rend_j[[#This Row],[Date]])</f>
        <v>2021</v>
      </c>
      <c r="Q157" s="7" t="str">
        <f>Rend_j[[#This Row],[Week]]&amp;","&amp;Rend_j[[#This Row],[Year]]</f>
        <v>31,2021</v>
      </c>
      <c r="R157" s="7" t="str">
        <f>Rend_j[[#This Row],[Month]]&amp;","&amp;Rend_j[[#This Row],[Year]]</f>
        <v>8,2021</v>
      </c>
    </row>
    <row r="158" spans="1:18" x14ac:dyDescent="0.25">
      <c r="A158" s="1">
        <v>44413</v>
      </c>
      <c r="B158" s="6">
        <f>(Indices!B162-Indices!B161)/Indices!B161</f>
        <v>-9.4332025722733241E-3</v>
      </c>
      <c r="C158" s="6">
        <f>(Indices!C162-Indices!C161)/Indices!C161</f>
        <v>5.9511278195489735E-3</v>
      </c>
      <c r="D158" s="6">
        <f>(Indices!D162-Indices!D161)/Indices!D161</f>
        <v>2.6029955217721089E-3</v>
      </c>
      <c r="E158" s="6">
        <f>(Indices!E162-Indices!E161)/Indices!E161</f>
        <v>-2.3569031356757545E-3</v>
      </c>
      <c r="F158" s="6">
        <f>(Indices!F162-Indices!F161)/Indices!F161</f>
        <v>4.6614100185528879E-3</v>
      </c>
      <c r="G158" s="6">
        <f>(Indices!G162-Indices!G161)/Indices!G161</f>
        <v>4.9402035046338857E-3</v>
      </c>
      <c r="H158" s="6">
        <f>(Indices!H162-Indices!H161)/Indices!H161</f>
        <v>1.1945928953158347E-3</v>
      </c>
      <c r="I158" s="6">
        <f>(Indices!I162-Indices!I161)/Indices!I161</f>
        <v>7.2898244206726437E-3</v>
      </c>
      <c r="J158" s="6">
        <f>(Indices!J162-Indices!J161)/Indices!J161</f>
        <v>5.1821478223604183E-3</v>
      </c>
      <c r="K158" s="6">
        <f>(Indices!K162-Indices!K161)/Indices!K161</f>
        <v>3.7161804200670561E-3</v>
      </c>
      <c r="L158" s="6">
        <f>(Indices!L162-Indices!L161)/Indices!L161</f>
        <v>3.3481777427144172E-3</v>
      </c>
      <c r="M158" s="10">
        <f>WEEKNUM(Rend_j[[#This Row],[Date]])-1</f>
        <v>31</v>
      </c>
      <c r="N158" s="7" t="str">
        <f>TEXT(Rend_j[[#This Row],[Date]],"ddd")</f>
        <v>Thu</v>
      </c>
      <c r="O158" s="7">
        <f>MONTH(Rend_j[[#This Row],[Date]])</f>
        <v>8</v>
      </c>
      <c r="P158" s="7">
        <f>YEAR(Rend_j[[#This Row],[Date]])</f>
        <v>2021</v>
      </c>
      <c r="Q158" s="7" t="str">
        <f>Rend_j[[#This Row],[Week]]&amp;","&amp;Rend_j[[#This Row],[Year]]</f>
        <v>31,2021</v>
      </c>
      <c r="R158" s="7" t="str">
        <f>Rend_j[[#This Row],[Month]]&amp;","&amp;Rend_j[[#This Row],[Year]]</f>
        <v>8,2021</v>
      </c>
    </row>
    <row r="159" spans="1:18" x14ac:dyDescent="0.25">
      <c r="A159" s="1">
        <v>44414</v>
      </c>
      <c r="B159" s="6">
        <f>(Indices!B163-Indices!B162)/Indices!B162</f>
        <v>2.0408944001956216E-3</v>
      </c>
      <c r="C159" s="6">
        <f>(Indices!C163-Indices!C162)/Indices!C162</f>
        <v>5.3217132628006186E-3</v>
      </c>
      <c r="D159" s="6">
        <f>(Indices!D163-Indices!D162)/Indices!D162</f>
        <v>-6.8252716099058872E-5</v>
      </c>
      <c r="E159" s="6">
        <f>(Indices!E163-Indices!E162)/Indices!E162</f>
        <v>8.1840270049708956E-4</v>
      </c>
      <c r="F159" s="6">
        <f>(Indices!F163-Indices!F162)/Indices!F162</f>
        <v>9.1756884651797194E-4</v>
      </c>
      <c r="G159" s="6">
        <f>(Indices!G163-Indices!G162)/Indices!G162</f>
        <v>4.7842750807722224E-3</v>
      </c>
      <c r="H159" s="6">
        <f>(Indices!H163-Indices!H162)/Indices!H162</f>
        <v>2.1979402160262076E-3</v>
      </c>
      <c r="I159" s="6">
        <f>(Indices!I163-Indices!I162)/Indices!I162</f>
        <v>1.0322968257167229E-3</v>
      </c>
      <c r="J159" s="6">
        <f>(Indices!J163-Indices!J162)/Indices!J162</f>
        <v>5.2748883767035504E-3</v>
      </c>
      <c r="K159" s="6">
        <f>(Indices!K163-Indices!K162)/Indices!K162</f>
        <v>2.1299685487530153E-5</v>
      </c>
      <c r="L159" s="6">
        <f>(Indices!L163-Indices!L162)/Indices!L162</f>
        <v>1.0657752804765714E-3</v>
      </c>
      <c r="M159" s="10">
        <f>WEEKNUM(Rend_j[[#This Row],[Date]])-1</f>
        <v>31</v>
      </c>
      <c r="N159" s="7" t="str">
        <f>TEXT(Rend_j[[#This Row],[Date]],"ddd")</f>
        <v>Fri</v>
      </c>
      <c r="O159" s="7">
        <f>MONTH(Rend_j[[#This Row],[Date]])</f>
        <v>8</v>
      </c>
      <c r="P159" s="7">
        <f>YEAR(Rend_j[[#This Row],[Date]])</f>
        <v>2021</v>
      </c>
      <c r="Q159" s="7" t="str">
        <f>Rend_j[[#This Row],[Week]]&amp;","&amp;Rend_j[[#This Row],[Year]]</f>
        <v>31,2021</v>
      </c>
      <c r="R159" s="7" t="str">
        <f>Rend_j[[#This Row],[Month]]&amp;","&amp;Rend_j[[#This Row],[Year]]</f>
        <v>8,2021</v>
      </c>
    </row>
    <row r="160" spans="1:18" x14ac:dyDescent="0.25">
      <c r="A160" s="1">
        <v>44417</v>
      </c>
      <c r="B160" s="6">
        <f>(Indices!B164-Indices!B163)/Indices!B163</f>
        <v>9.7040748046863384E-3</v>
      </c>
      <c r="C160" s="6">
        <f>(Indices!C164-Indices!C163)/Indices!C163</f>
        <v>9.962566029879231E-4</v>
      </c>
      <c r="D160" s="6">
        <f>(Indices!D164-Indices!D163)/Indices!D163</f>
        <v>-1.159896373329963E-3</v>
      </c>
      <c r="E160" s="6">
        <f>(Indices!E164-Indices!E163)/Indices!E163</f>
        <v>2.6153571734684159E-3</v>
      </c>
      <c r="F160" s="6">
        <f>(Indices!F164-Indices!F163)/Indices!F163</f>
        <v>1.6374255519103786E-3</v>
      </c>
      <c r="G160" s="6">
        <f>(Indices!G164-Indices!G163)/Indices!G163</f>
        <v>1.1903736949874805E-3</v>
      </c>
      <c r="H160" s="6">
        <f>(Indices!H164-Indices!H163)/Indices!H163</f>
        <v>1.3994193454059396E-3</v>
      </c>
      <c r="I160" s="6">
        <f>(Indices!I164-Indices!I163)/Indices!I163</f>
        <v>-1.0427272238979154E-3</v>
      </c>
      <c r="J160" s="6">
        <f>(Indices!J164-Indices!J163)/Indices!J163</f>
        <v>-5.544678304734024E-4</v>
      </c>
      <c r="K160" s="6">
        <f>(Indices!K164-Indices!K163)/Indices!K163</f>
        <v>1.5107177021709513E-3</v>
      </c>
      <c r="L160" s="6">
        <f>(Indices!L164-Indices!L163)/Indices!L163</f>
        <v>-1.017675391316458E-3</v>
      </c>
      <c r="M160" s="10">
        <f>WEEKNUM(Rend_j[[#This Row],[Date]])-1</f>
        <v>32</v>
      </c>
      <c r="N160" s="7" t="str">
        <f>TEXT(Rend_j[[#This Row],[Date]],"ddd")</f>
        <v>Mon</v>
      </c>
      <c r="O160" s="7">
        <f>MONTH(Rend_j[[#This Row],[Date]])</f>
        <v>8</v>
      </c>
      <c r="P160" s="7">
        <f>YEAR(Rend_j[[#This Row],[Date]])</f>
        <v>2021</v>
      </c>
      <c r="Q160" s="7" t="str">
        <f>Rend_j[[#This Row],[Week]]&amp;","&amp;Rend_j[[#This Row],[Year]]</f>
        <v>32,2021</v>
      </c>
      <c r="R160" s="7" t="str">
        <f>Rend_j[[#This Row],[Month]]&amp;","&amp;Rend_j[[#This Row],[Year]]</f>
        <v>8,2021</v>
      </c>
    </row>
    <row r="161" spans="1:18" x14ac:dyDescent="0.25">
      <c r="A161" s="1">
        <v>44418</v>
      </c>
      <c r="B161" s="6">
        <f>(Indices!B165-Indices!B164)/Indices!B164</f>
        <v>1.7541046311697783E-2</v>
      </c>
      <c r="C161" s="6">
        <f>(Indices!C165-Indices!C164)/Indices!C164</f>
        <v>2.922662705412811E-3</v>
      </c>
      <c r="D161" s="6">
        <f>(Indices!D165-Indices!D164)/Indices!D164</f>
        <v>-1.7767525949938869E-4</v>
      </c>
      <c r="E161" s="6">
        <f>(Indices!E165-Indices!E164)/Indices!E164</f>
        <v>6.8783068783068212E-3</v>
      </c>
      <c r="F161" s="6">
        <f>(Indices!F165-Indices!F164)/Indices!F164</f>
        <v>2.4233423705007986E-3</v>
      </c>
      <c r="G161" s="6">
        <f>(Indices!G165-Indices!G164)/Indices!G164</f>
        <v>3.3948874789222184E-3</v>
      </c>
      <c r="H161" s="6">
        <f>(Indices!H165-Indices!H164)/Indices!H164</f>
        <v>5.0475554813949044E-3</v>
      </c>
      <c r="I161" s="6">
        <f>(Indices!I165-Indices!I164)/Indices!I164</f>
        <v>6.5607911849961177E-4</v>
      </c>
      <c r="J161" s="6">
        <f>(Indices!J165-Indices!J164)/Indices!J164</f>
        <v>1.0317920293320187E-3</v>
      </c>
      <c r="K161" s="6">
        <f>(Indices!K165-Indices!K164)/Indices!K164</f>
        <v>3.4843503535106728E-3</v>
      </c>
      <c r="L161" s="6">
        <f>(Indices!L165-Indices!L164)/Indices!L164</f>
        <v>1.6068047604293522E-3</v>
      </c>
      <c r="M161" s="10">
        <f>WEEKNUM(Rend_j[[#This Row],[Date]])-1</f>
        <v>32</v>
      </c>
      <c r="N161" s="7" t="str">
        <f>TEXT(Rend_j[[#This Row],[Date]],"ddd")</f>
        <v>Tue</v>
      </c>
      <c r="O161" s="7">
        <f>MONTH(Rend_j[[#This Row],[Date]])</f>
        <v>8</v>
      </c>
      <c r="P161" s="7">
        <f>YEAR(Rend_j[[#This Row],[Date]])</f>
        <v>2021</v>
      </c>
      <c r="Q161" s="7" t="str">
        <f>Rend_j[[#This Row],[Week]]&amp;","&amp;Rend_j[[#This Row],[Year]]</f>
        <v>32,2021</v>
      </c>
      <c r="R161" s="7" t="str">
        <f>Rend_j[[#This Row],[Month]]&amp;","&amp;Rend_j[[#This Row],[Year]]</f>
        <v>8,2021</v>
      </c>
    </row>
    <row r="162" spans="1:18" x14ac:dyDescent="0.25">
      <c r="A162" s="1">
        <v>44419</v>
      </c>
      <c r="B162" s="6">
        <f>(Indices!B166-Indices!B165)/Indices!B165</f>
        <v>-4.7069729356522434E-3</v>
      </c>
      <c r="C162" s="6">
        <f>(Indices!C166-Indices!C165)/Indices!C165</f>
        <v>1.7107182795061469E-3</v>
      </c>
      <c r="D162" s="6">
        <f>(Indices!D166-Indices!D165)/Indices!D165</f>
        <v>-3.6608567004228318E-3</v>
      </c>
      <c r="E162" s="6">
        <f>(Indices!E166-Indices!E165)/Indices!E165</f>
        <v>-3.7701904829652382E-3</v>
      </c>
      <c r="F162" s="6">
        <f>(Indices!F166-Indices!F165)/Indices!F165</f>
        <v>8.6765280106575766E-3</v>
      </c>
      <c r="G162" s="6">
        <f>(Indices!G166-Indices!G165)/Indices!G165</f>
        <v>1.0507920065282587E-3</v>
      </c>
      <c r="H162" s="6">
        <f>(Indices!H166-Indices!H165)/Indices!H165</f>
        <v>7.8757315402814138E-3</v>
      </c>
      <c r="I162" s="6">
        <f>(Indices!I166-Indices!I165)/Indices!I165</f>
        <v>2.4879478143143585E-3</v>
      </c>
      <c r="J162" s="6">
        <f>(Indices!J166-Indices!J165)/Indices!J165</f>
        <v>5.5394589339681924E-3</v>
      </c>
      <c r="K162" s="6">
        <f>(Indices!K166-Indices!K165)/Indices!K165</f>
        <v>4.2344172814174274E-3</v>
      </c>
      <c r="L162" s="6">
        <f>(Indices!L166-Indices!L165)/Indices!L165</f>
        <v>3.5115654362082005E-3</v>
      </c>
      <c r="M162" s="10">
        <f>WEEKNUM(Rend_j[[#This Row],[Date]])-1</f>
        <v>32</v>
      </c>
      <c r="N162" s="7" t="str">
        <f>TEXT(Rend_j[[#This Row],[Date]],"ddd")</f>
        <v>Wed</v>
      </c>
      <c r="O162" s="7">
        <f>MONTH(Rend_j[[#This Row],[Date]])</f>
        <v>8</v>
      </c>
      <c r="P162" s="7">
        <f>YEAR(Rend_j[[#This Row],[Date]])</f>
        <v>2021</v>
      </c>
      <c r="Q162" s="7" t="str">
        <f>Rend_j[[#This Row],[Week]]&amp;","&amp;Rend_j[[#This Row],[Year]]</f>
        <v>32,2021</v>
      </c>
      <c r="R162" s="7" t="str">
        <f>Rend_j[[#This Row],[Month]]&amp;","&amp;Rend_j[[#This Row],[Year]]</f>
        <v>8,2021</v>
      </c>
    </row>
    <row r="163" spans="1:18" x14ac:dyDescent="0.25">
      <c r="A163" s="1">
        <v>44420</v>
      </c>
      <c r="B163" s="6">
        <f>(Indices!B167-Indices!B166)/Indices!B166</f>
        <v>-7.1370187595920917E-3</v>
      </c>
      <c r="C163" s="6">
        <f>(Indices!C167-Indices!C166)/Indices!C166</f>
        <v>2.6651979122000401E-3</v>
      </c>
      <c r="D163" s="6">
        <f>(Indices!D167-Indices!D166)/Indices!D166</f>
        <v>-1.9492004378840887E-3</v>
      </c>
      <c r="E163" s="6">
        <f>(Indices!E167-Indices!E166)/Indices!E166</f>
        <v>-4.337270583032315E-3</v>
      </c>
      <c r="F163" s="6">
        <f>(Indices!F167-Indices!F166)/Indices!F166</f>
        <v>1.0190198054184645E-3</v>
      </c>
      <c r="G163" s="6">
        <f>(Indices!G167-Indices!G166)/Indices!G166</f>
        <v>1.8276499994416006E-3</v>
      </c>
      <c r="H163" s="6">
        <f>(Indices!H167-Indices!H166)/Indices!H166</f>
        <v>-6.269882941594287E-3</v>
      </c>
      <c r="I163" s="6">
        <f>(Indices!I167-Indices!I166)/Indices!I166</f>
        <v>2.4962871427378487E-3</v>
      </c>
      <c r="J163" s="6">
        <f>(Indices!J167-Indices!J166)/Indices!J166</f>
        <v>3.5695561184434909E-3</v>
      </c>
      <c r="K163" s="6">
        <f>(Indices!K167-Indices!K166)/Indices!K166</f>
        <v>1.0962830838379743E-3</v>
      </c>
      <c r="L163" s="6">
        <f>(Indices!L167-Indices!L166)/Indices!L166</f>
        <v>7.0402690194762609E-3</v>
      </c>
      <c r="M163" s="10">
        <f>WEEKNUM(Rend_j[[#This Row],[Date]])-1</f>
        <v>32</v>
      </c>
      <c r="N163" s="7" t="str">
        <f>TEXT(Rend_j[[#This Row],[Date]],"ddd")</f>
        <v>Thu</v>
      </c>
      <c r="O163" s="7">
        <f>MONTH(Rend_j[[#This Row],[Date]])</f>
        <v>8</v>
      </c>
      <c r="P163" s="7">
        <f>YEAR(Rend_j[[#This Row],[Date]])</f>
        <v>2021</v>
      </c>
      <c r="Q163" s="7" t="str">
        <f>Rend_j[[#This Row],[Week]]&amp;","&amp;Rend_j[[#This Row],[Year]]</f>
        <v>32,2021</v>
      </c>
      <c r="R163" s="7" t="str">
        <f>Rend_j[[#This Row],[Month]]&amp;","&amp;Rend_j[[#This Row],[Year]]</f>
        <v>8,2021</v>
      </c>
    </row>
    <row r="164" spans="1:18" x14ac:dyDescent="0.25">
      <c r="A164" s="1">
        <v>44421</v>
      </c>
      <c r="B164" s="6">
        <f>(Indices!B168-Indices!B167)/Indices!B167</f>
        <v>-1.5418128001149603E-2</v>
      </c>
      <c r="C164" s="6">
        <f>(Indices!C168-Indices!C167)/Indices!C167</f>
        <v>-2.3889841287397908E-3</v>
      </c>
      <c r="D164" s="6">
        <f>(Indices!D168-Indices!D167)/Indices!D167</f>
        <v>-1.0505674043139948E-2</v>
      </c>
      <c r="E164" s="6">
        <f>(Indices!E168-Indices!E167)/Indices!E167</f>
        <v>-1.3126328768961425E-2</v>
      </c>
      <c r="F164" s="6">
        <f>(Indices!F168-Indices!F167)/Indices!F167</f>
        <v>5.5164412698056398E-4</v>
      </c>
      <c r="G164" s="6">
        <f>(Indices!G168-Indices!G167)/Indices!G167</f>
        <v>-3.6709246420105358E-3</v>
      </c>
      <c r="H164" s="6">
        <f>(Indices!H168-Indices!H167)/Indices!H167</f>
        <v>-4.4549429145693584E-4</v>
      </c>
      <c r="I164" s="6">
        <f>(Indices!I168-Indices!I167)/Indices!I167</f>
        <v>5.7276255660482353E-4</v>
      </c>
      <c r="J164" s="6">
        <f>(Indices!J168-Indices!J167)/Indices!J167</f>
        <v>1.9716502325611814E-3</v>
      </c>
      <c r="K164" s="6">
        <f>(Indices!K168-Indices!K167)/Indices!K167</f>
        <v>2.0848938765470628E-3</v>
      </c>
      <c r="L164" s="6">
        <f>(Indices!L168-Indices!L167)/Indices!L167</f>
        <v>2.5054516405796051E-3</v>
      </c>
      <c r="M164" s="10">
        <f>WEEKNUM(Rend_j[[#This Row],[Date]])-1</f>
        <v>32</v>
      </c>
      <c r="N164" s="7" t="str">
        <f>TEXT(Rend_j[[#This Row],[Date]],"ddd")</f>
        <v>Fri</v>
      </c>
      <c r="O164" s="7">
        <f>MONTH(Rend_j[[#This Row],[Date]])</f>
        <v>8</v>
      </c>
      <c r="P164" s="7">
        <f>YEAR(Rend_j[[#This Row],[Date]])</f>
        <v>2021</v>
      </c>
      <c r="Q164" s="7" t="str">
        <f>Rend_j[[#This Row],[Week]]&amp;","&amp;Rend_j[[#This Row],[Year]]</f>
        <v>32,2021</v>
      </c>
      <c r="R164" s="7" t="str">
        <f>Rend_j[[#This Row],[Month]]&amp;","&amp;Rend_j[[#This Row],[Year]]</f>
        <v>8,2021</v>
      </c>
    </row>
    <row r="165" spans="1:18" x14ac:dyDescent="0.25">
      <c r="A165" s="1">
        <v>44424</v>
      </c>
      <c r="B165" s="6">
        <f>(Indices!B169-Indices!B168)/Indices!B168</f>
        <v>-1.1327117973619991E-2</v>
      </c>
      <c r="C165" s="6">
        <f>(Indices!C169-Indices!C168)/Indices!C168</f>
        <v>-6.2084945509376078E-4</v>
      </c>
      <c r="D165" s="6">
        <f>(Indices!D169-Indices!D168)/Indices!D168</f>
        <v>-8.0529093694286494E-4</v>
      </c>
      <c r="E165" s="6">
        <f>(Indices!E169-Indices!E168)/Indices!E168</f>
        <v>-6.3949440559604694E-3</v>
      </c>
      <c r="F165" s="6">
        <f>(Indices!F169-Indices!F168)/Indices!F168</f>
        <v>-8.9351180833830823E-3</v>
      </c>
      <c r="G165" s="6">
        <f>(Indices!G169-Indices!G168)/Indices!G168</f>
        <v>-1.3014909343138255E-3</v>
      </c>
      <c r="H165" s="6">
        <f>(Indices!H169-Indices!H168)/Indices!H168</f>
        <v>-7.8773619129552039E-3</v>
      </c>
      <c r="I165" s="6">
        <f>(Indices!I169-Indices!I168)/Indices!I168</f>
        <v>7.4364409559535673E-4</v>
      </c>
      <c r="J165" s="6">
        <f>(Indices!J169-Indices!J168)/Indices!J168</f>
        <v>-8.3047689218906078E-3</v>
      </c>
      <c r="K165" s="6">
        <f>(Indices!K169-Indices!K168)/Indices!K168</f>
        <v>-5.0017339491468448E-3</v>
      </c>
      <c r="L165" s="6">
        <f>(Indices!L169-Indices!L168)/Indices!L168</f>
        <v>-3.2364357874811451E-3</v>
      </c>
      <c r="M165" s="10">
        <f>WEEKNUM(Rend_j[[#This Row],[Date]])-1</f>
        <v>33</v>
      </c>
      <c r="N165" s="7" t="str">
        <f>TEXT(Rend_j[[#This Row],[Date]],"ddd")</f>
        <v>Mon</v>
      </c>
      <c r="O165" s="7">
        <f>MONTH(Rend_j[[#This Row],[Date]])</f>
        <v>8</v>
      </c>
      <c r="P165" s="7">
        <f>YEAR(Rend_j[[#This Row],[Date]])</f>
        <v>2021</v>
      </c>
      <c r="Q165" s="7" t="str">
        <f>Rend_j[[#This Row],[Week]]&amp;","&amp;Rend_j[[#This Row],[Year]]</f>
        <v>33,2021</v>
      </c>
      <c r="R165" s="7" t="str">
        <f>Rend_j[[#This Row],[Month]]&amp;","&amp;Rend_j[[#This Row],[Year]]</f>
        <v>8,2021</v>
      </c>
    </row>
    <row r="166" spans="1:18" x14ac:dyDescent="0.25">
      <c r="A166" s="1">
        <v>44425</v>
      </c>
      <c r="B166" s="6">
        <f>(Indices!B170-Indices!B169)/Indices!B169</f>
        <v>-1.938500391300943E-2</v>
      </c>
      <c r="C166" s="6">
        <f>(Indices!C170-Indices!C169)/Indices!C169</f>
        <v>-9.0227009677205981E-4</v>
      </c>
      <c r="D166" s="6">
        <f>(Indices!D170-Indices!D169)/Indices!D169</f>
        <v>7.2544352919743369E-4</v>
      </c>
      <c r="E166" s="6">
        <f>(Indices!E170-Indices!E169)/Indices!E169</f>
        <v>-6.8324607947453236E-3</v>
      </c>
      <c r="F166" s="6">
        <f>(Indices!F170-Indices!F169)/Indices!F169</f>
        <v>-2.1277449917700966E-3</v>
      </c>
      <c r="G166" s="6">
        <f>(Indices!G170-Indices!G169)/Indices!G169</f>
        <v>-1.6019118388380742E-3</v>
      </c>
      <c r="H166" s="6">
        <f>(Indices!H170-Indices!H169)/Indices!H169</f>
        <v>1.1805388689810753E-3</v>
      </c>
      <c r="I166" s="6">
        <f>(Indices!I170-Indices!I169)/Indices!I169</f>
        <v>-7.6021418198841829E-3</v>
      </c>
      <c r="J166" s="6">
        <f>(Indices!J170-Indices!J169)/Indices!J169</f>
        <v>-2.7680673490464661E-3</v>
      </c>
      <c r="K166" s="6">
        <f>(Indices!K170-Indices!K169)/Indices!K169</f>
        <v>6.9698382434502939E-4</v>
      </c>
      <c r="L166" s="6">
        <f>(Indices!L170-Indices!L169)/Indices!L169</f>
        <v>-2.373687038796852E-4</v>
      </c>
      <c r="M166" s="10">
        <f>WEEKNUM(Rend_j[[#This Row],[Date]])-1</f>
        <v>33</v>
      </c>
      <c r="N166" s="7" t="str">
        <f>TEXT(Rend_j[[#This Row],[Date]],"ddd")</f>
        <v>Tue</v>
      </c>
      <c r="O166" s="7">
        <f>MONTH(Rend_j[[#This Row],[Date]])</f>
        <v>8</v>
      </c>
      <c r="P166" s="7">
        <f>YEAR(Rend_j[[#This Row],[Date]])</f>
        <v>2021</v>
      </c>
      <c r="Q166" s="7" t="str">
        <f>Rend_j[[#This Row],[Week]]&amp;","&amp;Rend_j[[#This Row],[Year]]</f>
        <v>33,2021</v>
      </c>
      <c r="R166" s="7" t="str">
        <f>Rend_j[[#This Row],[Month]]&amp;","&amp;Rend_j[[#This Row],[Year]]</f>
        <v>8,2021</v>
      </c>
    </row>
    <row r="167" spans="1:18" x14ac:dyDescent="0.25">
      <c r="A167" s="1">
        <v>44426</v>
      </c>
      <c r="B167" s="6">
        <f>(Indices!B171-Indices!B170)/Indices!B170</f>
        <v>9.8072526467589127E-3</v>
      </c>
      <c r="C167" s="6">
        <f>(Indices!C171-Indices!C170)/Indices!C170</f>
        <v>-6.7065159057683134E-3</v>
      </c>
      <c r="D167" s="6">
        <f>(Indices!D171-Indices!D170)/Indices!D170</f>
        <v>2.7066192000800163E-3</v>
      </c>
      <c r="E167" s="6">
        <f>(Indices!E171-Indices!E170)/Indices!E170</f>
        <v>5.0669536277534637E-3</v>
      </c>
      <c r="F167" s="6">
        <f>(Indices!F171-Indices!F170)/Indices!F170</f>
        <v>1.7701963308659086E-3</v>
      </c>
      <c r="G167" s="6">
        <f>(Indices!G171-Indices!G170)/Indices!G170</f>
        <v>-5.333313386392151E-3</v>
      </c>
      <c r="H167" s="6">
        <f>(Indices!H171-Indices!H170)/Indices!H170</f>
        <v>-3.3391768928955337E-4</v>
      </c>
      <c r="I167" s="6">
        <f>(Indices!I171-Indices!I170)/Indices!I170</f>
        <v>-1.0282915827286609E-2</v>
      </c>
      <c r="J167" s="6">
        <f>(Indices!J171-Indices!J170)/Indices!J170</f>
        <v>-7.291957309489042E-3</v>
      </c>
      <c r="K167" s="6">
        <f>(Indices!K171-Indices!K170)/Indices!K170</f>
        <v>1.3508674940919316E-3</v>
      </c>
      <c r="L167" s="6">
        <f>(Indices!L171-Indices!L170)/Indices!L170</f>
        <v>2.7647071776421834E-3</v>
      </c>
      <c r="M167" s="10">
        <f>WEEKNUM(Rend_j[[#This Row],[Date]])-1</f>
        <v>33</v>
      </c>
      <c r="N167" s="7" t="str">
        <f>TEXT(Rend_j[[#This Row],[Date]],"ddd")</f>
        <v>Wed</v>
      </c>
      <c r="O167" s="7">
        <f>MONTH(Rend_j[[#This Row],[Date]])</f>
        <v>8</v>
      </c>
      <c r="P167" s="7">
        <f>YEAR(Rend_j[[#This Row],[Date]])</f>
        <v>2021</v>
      </c>
      <c r="Q167" s="7" t="str">
        <f>Rend_j[[#This Row],[Week]]&amp;","&amp;Rend_j[[#This Row],[Year]]</f>
        <v>33,2021</v>
      </c>
      <c r="R167" s="7" t="str">
        <f>Rend_j[[#This Row],[Month]]&amp;","&amp;Rend_j[[#This Row],[Year]]</f>
        <v>8,2021</v>
      </c>
    </row>
    <row r="168" spans="1:18" x14ac:dyDescent="0.25">
      <c r="A168" s="1">
        <v>44427</v>
      </c>
      <c r="B168" s="6">
        <f>(Indices!B172-Indices!B171)/Indices!B171</f>
        <v>-1.7719366502692735E-2</v>
      </c>
      <c r="C168" s="6">
        <f>(Indices!C172-Indices!C171)/Indices!C171</f>
        <v>-2.3325744393063994E-3</v>
      </c>
      <c r="D168" s="6">
        <f>(Indices!D172-Indices!D171)/Indices!D171</f>
        <v>-1.7572032937260732E-2</v>
      </c>
      <c r="E168" s="6">
        <f>(Indices!E172-Indices!E171)/Indices!E171</f>
        <v>-2.0711611549151909E-2</v>
      </c>
      <c r="F168" s="6">
        <f>(Indices!F172-Indices!F171)/Indices!F171</f>
        <v>-1.0126219162363824E-2</v>
      </c>
      <c r="G168" s="6">
        <f>(Indices!G172-Indices!G171)/Indices!G171</f>
        <v>-4.4970859184056012E-3</v>
      </c>
      <c r="H168" s="6">
        <f>(Indices!H172-Indices!H171)/Indices!H171</f>
        <v>-2.1022964509394528E-2</v>
      </c>
      <c r="I168" s="6">
        <f>(Indices!I172-Indices!I171)/Indices!I171</f>
        <v>-5.2975978170278527E-4</v>
      </c>
      <c r="J168" s="6">
        <f>(Indices!J172-Indices!J171)/Indices!J171</f>
        <v>-2.4256582141671423E-2</v>
      </c>
      <c r="K168" s="6">
        <f>(Indices!K172-Indices!K171)/Indices!K171</f>
        <v>-1.5134317278474519E-2</v>
      </c>
      <c r="L168" s="6">
        <f>(Indices!L172-Indices!L171)/Indices!L171</f>
        <v>-1.2536674150390066E-2</v>
      </c>
      <c r="M168" s="10">
        <f>WEEKNUM(Rend_j[[#This Row],[Date]])-1</f>
        <v>33</v>
      </c>
      <c r="N168" s="7" t="str">
        <f>TEXT(Rend_j[[#This Row],[Date]],"ddd")</f>
        <v>Thu</v>
      </c>
      <c r="O168" s="7">
        <f>MONTH(Rend_j[[#This Row],[Date]])</f>
        <v>8</v>
      </c>
      <c r="P168" s="7">
        <f>YEAR(Rend_j[[#This Row],[Date]])</f>
        <v>2021</v>
      </c>
      <c r="Q168" s="7" t="str">
        <f>Rend_j[[#This Row],[Week]]&amp;","&amp;Rend_j[[#This Row],[Year]]</f>
        <v>33,2021</v>
      </c>
      <c r="R168" s="7" t="str">
        <f>Rend_j[[#This Row],[Month]]&amp;","&amp;Rend_j[[#This Row],[Year]]</f>
        <v>8,2021</v>
      </c>
    </row>
    <row r="169" spans="1:18" x14ac:dyDescent="0.25">
      <c r="A169" s="1">
        <v>44428</v>
      </c>
      <c r="B169" s="6">
        <f>(Indices!B173-Indices!B172)/Indices!B172</f>
        <v>-1.6642252734023588E-2</v>
      </c>
      <c r="C169" s="6">
        <f>(Indices!C173-Indices!C172)/Indices!C172</f>
        <v>5.7404938243938407E-3</v>
      </c>
      <c r="D169" s="6">
        <f>(Indices!D173-Indices!D172)/Indices!D172</f>
        <v>-6.2607729983564127E-3</v>
      </c>
      <c r="E169" s="6">
        <f>(Indices!E173-Indices!E172)/Indices!E172</f>
        <v>-9.1858480980275287E-3</v>
      </c>
      <c r="F169" s="6">
        <f>(Indices!F173-Indices!F172)/Indices!F172</f>
        <v>-9.099602979105649E-3</v>
      </c>
      <c r="G169" s="6">
        <f>(Indices!G173-Indices!G172)/Indices!G172</f>
        <v>4.0150479312871124E-3</v>
      </c>
      <c r="H169" s="6">
        <f>(Indices!H173-Indices!H172)/Indices!H172</f>
        <v>9.702940737422853E-4</v>
      </c>
      <c r="I169" s="6">
        <f>(Indices!I173-Indices!I172)/Indices!I172</f>
        <v>9.0065468603730218E-3</v>
      </c>
      <c r="J169" s="6">
        <f>(Indices!J173-Indices!J172)/Indices!J172</f>
        <v>3.0608631964294131E-3</v>
      </c>
      <c r="K169" s="6">
        <f>(Indices!K173-Indices!K172)/Indices!K172</f>
        <v>3.338751034559365E-3</v>
      </c>
      <c r="L169" s="6">
        <f>(Indices!L173-Indices!L172)/Indices!L172</f>
        <v>2.6786109404973884E-3</v>
      </c>
      <c r="M169" s="10">
        <f>WEEKNUM(Rend_j[[#This Row],[Date]])-1</f>
        <v>33</v>
      </c>
      <c r="N169" s="7" t="str">
        <f>TEXT(Rend_j[[#This Row],[Date]],"ddd")</f>
        <v>Fri</v>
      </c>
      <c r="O169" s="7">
        <f>MONTH(Rend_j[[#This Row],[Date]])</f>
        <v>8</v>
      </c>
      <c r="P169" s="7">
        <f>YEAR(Rend_j[[#This Row],[Date]])</f>
        <v>2021</v>
      </c>
      <c r="Q169" s="7" t="str">
        <f>Rend_j[[#This Row],[Week]]&amp;","&amp;Rend_j[[#This Row],[Year]]</f>
        <v>33,2021</v>
      </c>
      <c r="R169" s="7" t="str">
        <f>Rend_j[[#This Row],[Month]]&amp;","&amp;Rend_j[[#This Row],[Year]]</f>
        <v>8,2021</v>
      </c>
    </row>
    <row r="170" spans="1:18" x14ac:dyDescent="0.25">
      <c r="A170" s="1">
        <v>44431</v>
      </c>
      <c r="B170" s="6">
        <f>(Indices!B174-Indices!B173)/Indices!B173</f>
        <v>1.0855055102845929E-2</v>
      </c>
      <c r="C170" s="6">
        <f>(Indices!C174-Indices!C173)/Indices!C173</f>
        <v>5.3586548031074391E-3</v>
      </c>
      <c r="D170" s="6">
        <f>(Indices!D174-Indices!D173)/Indices!D173</f>
        <v>7.6580183722719858E-3</v>
      </c>
      <c r="E170" s="6">
        <f>(Indices!E174-Indices!E173)/Indices!E173</f>
        <v>8.4988319891262515E-3</v>
      </c>
      <c r="F170" s="6">
        <f>(Indices!F174-Indices!F173)/Indices!F173</f>
        <v>1.4008715234112304E-2</v>
      </c>
      <c r="G170" s="6">
        <f>(Indices!G174-Indices!G173)/Indices!G173</f>
        <v>5.7182196774471974E-3</v>
      </c>
      <c r="H170" s="6">
        <f>(Indices!H174-Indices!H173)/Indices!H173</f>
        <v>5.4859017650755841E-3</v>
      </c>
      <c r="I170" s="6">
        <f>(Indices!I174-Indices!I173)/Indices!I173</f>
        <v>9.63213533341363E-3</v>
      </c>
      <c r="J170" s="6">
        <f>(Indices!J174-Indices!J173)/Indices!J173</f>
        <v>8.6008587509591398E-3</v>
      </c>
      <c r="K170" s="6">
        <f>(Indices!K174-Indices!K173)/Indices!K173</f>
        <v>6.5700023012799187E-3</v>
      </c>
      <c r="L170" s="6">
        <f>(Indices!L174-Indices!L173)/Indices!L173</f>
        <v>2.830837971485806E-3</v>
      </c>
      <c r="M170" s="10">
        <f>WEEKNUM(Rend_j[[#This Row],[Date]])-1</f>
        <v>34</v>
      </c>
      <c r="N170" s="7" t="str">
        <f>TEXT(Rend_j[[#This Row],[Date]],"ddd")</f>
        <v>Mon</v>
      </c>
      <c r="O170" s="7">
        <f>MONTH(Rend_j[[#This Row],[Date]])</f>
        <v>8</v>
      </c>
      <c r="P170" s="7">
        <f>YEAR(Rend_j[[#This Row],[Date]])</f>
        <v>2021</v>
      </c>
      <c r="Q170" s="7" t="str">
        <f>Rend_j[[#This Row],[Week]]&amp;","&amp;Rend_j[[#This Row],[Year]]</f>
        <v>34,2021</v>
      </c>
      <c r="R170" s="7" t="str">
        <f>Rend_j[[#This Row],[Month]]&amp;","&amp;Rend_j[[#This Row],[Year]]</f>
        <v>8,2021</v>
      </c>
    </row>
    <row r="171" spans="1:18" x14ac:dyDescent="0.25">
      <c r="A171" s="1">
        <v>44432</v>
      </c>
      <c r="B171" s="6">
        <f>(Indices!B175-Indices!B174)/Indices!B174</f>
        <v>3.365021201941587E-2</v>
      </c>
      <c r="C171" s="6">
        <f>(Indices!C175-Indices!C174)/Indices!C174</f>
        <v>1.2817339977173937E-3</v>
      </c>
      <c r="D171" s="6">
        <f>(Indices!D175-Indices!D174)/Indices!D174</f>
        <v>1.3049547458033012E-2</v>
      </c>
      <c r="E171" s="6">
        <f>(Indices!E175-Indices!E174)/Indices!E174</f>
        <v>2.4457991961663258E-2</v>
      </c>
      <c r="F171" s="6">
        <f>(Indices!F175-Indices!F174)/Indices!F174</f>
        <v>7.8334102445776158E-3</v>
      </c>
      <c r="G171" s="6">
        <f>(Indices!G175-Indices!G174)/Indices!G174</f>
        <v>3.9351081219585055E-3</v>
      </c>
      <c r="H171" s="6">
        <f>(Indices!H175-Indices!H174)/Indices!H174</f>
        <v>1.324264768200695E-3</v>
      </c>
      <c r="I171" s="6">
        <f>(Indices!I175-Indices!I174)/Indices!I174</f>
        <v>3.1712172640246715E-3</v>
      </c>
      <c r="J171" s="6">
        <f>(Indices!J175-Indices!J174)/Indices!J174</f>
        <v>-2.8115752756153801E-3</v>
      </c>
      <c r="K171" s="6">
        <f>(Indices!K175-Indices!K174)/Indices!K174</f>
        <v>-1.9071797712637791E-4</v>
      </c>
      <c r="L171" s="6">
        <f>(Indices!L175-Indices!L174)/Indices!L174</f>
        <v>3.3470177720211223E-3</v>
      </c>
      <c r="M171" s="10">
        <f>WEEKNUM(Rend_j[[#This Row],[Date]])-1</f>
        <v>34</v>
      </c>
      <c r="N171" s="7" t="str">
        <f>TEXT(Rend_j[[#This Row],[Date]],"ddd")</f>
        <v>Tue</v>
      </c>
      <c r="O171" s="7">
        <f>MONTH(Rend_j[[#This Row],[Date]])</f>
        <v>8</v>
      </c>
      <c r="P171" s="7">
        <f>YEAR(Rend_j[[#This Row],[Date]])</f>
        <v>2021</v>
      </c>
      <c r="Q171" s="7" t="str">
        <f>Rend_j[[#This Row],[Week]]&amp;","&amp;Rend_j[[#This Row],[Year]]</f>
        <v>34,2021</v>
      </c>
      <c r="R171" s="7" t="str">
        <f>Rend_j[[#This Row],[Month]]&amp;","&amp;Rend_j[[#This Row],[Year]]</f>
        <v>8,2021</v>
      </c>
    </row>
    <row r="172" spans="1:18" x14ac:dyDescent="0.25">
      <c r="A172" s="1">
        <v>44433</v>
      </c>
      <c r="B172" s="6">
        <f>(Indices!B176-Indices!B175)/Indices!B175</f>
        <v>3.6115946510437372E-3</v>
      </c>
      <c r="C172" s="6">
        <f>(Indices!C176-Indices!C175)/Indices!C175</f>
        <v>1.9920759644966451E-3</v>
      </c>
      <c r="D172" s="6">
        <f>(Indices!D176-Indices!D175)/Indices!D175</f>
        <v>6.4410910680414825E-3</v>
      </c>
      <c r="E172" s="6">
        <f>(Indices!E176-Indices!E175)/Indices!E175</f>
        <v>4.9370258073946792E-3</v>
      </c>
      <c r="F172" s="6">
        <f>(Indices!F176-Indices!F175)/Indices!F175</f>
        <v>-2.2665094609598704E-3</v>
      </c>
      <c r="G172" s="6">
        <f>(Indices!G176-Indices!G175)/Indices!G175</f>
        <v>2.33988725320332E-3</v>
      </c>
      <c r="H172" s="6">
        <f>(Indices!H176-Indices!H175)/Indices!H175</f>
        <v>3.6607171196716319E-3</v>
      </c>
      <c r="I172" s="6">
        <f>(Indices!I176-Indices!I175)/Indices!I175</f>
        <v>2.7122167300230146E-3</v>
      </c>
      <c r="J172" s="6">
        <f>(Indices!J176-Indices!J175)/Indices!J175</f>
        <v>1.826133672091757E-3</v>
      </c>
      <c r="K172" s="6">
        <f>(Indices!K176-Indices!K175)/Indices!K175</f>
        <v>1.059517985680518E-4</v>
      </c>
      <c r="L172" s="6">
        <f>(Indices!L176-Indices!L175)/Indices!L175</f>
        <v>-2.8410585481450337E-3</v>
      </c>
      <c r="M172" s="10">
        <f>WEEKNUM(Rend_j[[#This Row],[Date]])-1</f>
        <v>34</v>
      </c>
      <c r="N172" s="7" t="str">
        <f>TEXT(Rend_j[[#This Row],[Date]],"ddd")</f>
        <v>Wed</v>
      </c>
      <c r="O172" s="7">
        <f>MONTH(Rend_j[[#This Row],[Date]])</f>
        <v>8</v>
      </c>
      <c r="P172" s="7">
        <f>YEAR(Rend_j[[#This Row],[Date]])</f>
        <v>2021</v>
      </c>
      <c r="Q172" s="7" t="str">
        <f>Rend_j[[#This Row],[Week]]&amp;","&amp;Rend_j[[#This Row],[Year]]</f>
        <v>34,2021</v>
      </c>
      <c r="R172" s="7" t="str">
        <f>Rend_j[[#This Row],[Month]]&amp;","&amp;Rend_j[[#This Row],[Year]]</f>
        <v>8,2021</v>
      </c>
    </row>
    <row r="173" spans="1:18" x14ac:dyDescent="0.25">
      <c r="A173" s="1">
        <v>44434</v>
      </c>
      <c r="B173" s="6">
        <f>(Indices!B177-Indices!B176)/Indices!B176</f>
        <v>-1.6256103259989451E-2</v>
      </c>
      <c r="C173" s="6">
        <f>(Indices!C177-Indices!C176)/Indices!C176</f>
        <v>-5.2280073928441069E-3</v>
      </c>
      <c r="D173" s="6">
        <f>(Indices!D177-Indices!D176)/Indices!D176</f>
        <v>-3.8768576609625677E-3</v>
      </c>
      <c r="E173" s="6">
        <f>(Indices!E177-Indices!E176)/Indices!E176</f>
        <v>-7.4442327724547012E-3</v>
      </c>
      <c r="F173" s="6">
        <f>(Indices!F177-Indices!F176)/Indices!F176</f>
        <v>-4.072922522687782E-4</v>
      </c>
      <c r="G173" s="6">
        <f>(Indices!G177-Indices!G176)/Indices!G176</f>
        <v>-5.490359345320093E-3</v>
      </c>
      <c r="H173" s="6">
        <f>(Indices!H177-Indices!H176)/Indices!H176</f>
        <v>-5.5132137925218063E-3</v>
      </c>
      <c r="I173" s="6">
        <f>(Indices!I177-Indices!I176)/Indices!I176</f>
        <v>-6.2923576268321671E-3</v>
      </c>
      <c r="J173" s="6">
        <f>(Indices!J177-Indices!J176)/Indices!J176</f>
        <v>-1.5652252431378293E-3</v>
      </c>
      <c r="K173" s="6">
        <f>(Indices!K177-Indices!K176)/Indices!K176</f>
        <v>-3.179043770592097E-3</v>
      </c>
      <c r="L173" s="6">
        <f>(Indices!L177-Indices!L176)/Indices!L176</f>
        <v>-4.2268127129457302E-3</v>
      </c>
      <c r="M173" s="10">
        <f>WEEKNUM(Rend_j[[#This Row],[Date]])-1</f>
        <v>34</v>
      </c>
      <c r="N173" s="7" t="str">
        <f>TEXT(Rend_j[[#This Row],[Date]],"ddd")</f>
        <v>Thu</v>
      </c>
      <c r="O173" s="7">
        <f>MONTH(Rend_j[[#This Row],[Date]])</f>
        <v>8</v>
      </c>
      <c r="P173" s="7">
        <f>YEAR(Rend_j[[#This Row],[Date]])</f>
        <v>2021</v>
      </c>
      <c r="Q173" s="7" t="str">
        <f>Rend_j[[#This Row],[Week]]&amp;","&amp;Rend_j[[#This Row],[Year]]</f>
        <v>34,2021</v>
      </c>
      <c r="R173" s="7" t="str">
        <f>Rend_j[[#This Row],[Month]]&amp;","&amp;Rend_j[[#This Row],[Year]]</f>
        <v>8,2021</v>
      </c>
    </row>
    <row r="174" spans="1:18" x14ac:dyDescent="0.25">
      <c r="A174" s="1">
        <v>44435</v>
      </c>
      <c r="B174" s="6">
        <f>(Indices!B178-Indices!B177)/Indices!B177</f>
        <v>-2.9739901698927927E-3</v>
      </c>
      <c r="C174" s="6">
        <f>(Indices!C178-Indices!C177)/Indices!C177</f>
        <v>4.8298629873350513E-3</v>
      </c>
      <c r="D174" s="6">
        <f>(Indices!D178-Indices!D177)/Indices!D177</f>
        <v>6.8841413655290427E-3</v>
      </c>
      <c r="E174" s="6">
        <f>(Indices!E178-Indices!E177)/Indices!E177</f>
        <v>2.4771724305836292E-3</v>
      </c>
      <c r="F174" s="6">
        <f>(Indices!F178-Indices!F177)/Indices!F177</f>
        <v>-5.3945171046364017E-3</v>
      </c>
      <c r="G174" s="6">
        <f>(Indices!G178-Indices!G177)/Indices!G177</f>
        <v>4.5525902668758344E-3</v>
      </c>
      <c r="H174" s="6">
        <f>(Indices!H178-Indices!H177)/Indices!H177</f>
        <v>3.3813864744541297E-3</v>
      </c>
      <c r="I174" s="6">
        <f>(Indices!I178-Indices!I177)/Indices!I177</f>
        <v>1.0606759612849062E-2</v>
      </c>
      <c r="J174" s="6">
        <f>(Indices!J178-Indices!J177)/Indices!J177</f>
        <v>2.383748274836177E-3</v>
      </c>
      <c r="K174" s="6">
        <f>(Indices!K178-Indices!K177)/Indices!K177</f>
        <v>4.2522430943763498E-3</v>
      </c>
      <c r="L174" s="6">
        <f>(Indices!L178-Indices!L177)/Indices!L177</f>
        <v>3.6805925150997245E-3</v>
      </c>
      <c r="M174" s="10">
        <f>WEEKNUM(Rend_j[[#This Row],[Date]])-1</f>
        <v>34</v>
      </c>
      <c r="N174" s="7" t="str">
        <f>TEXT(Rend_j[[#This Row],[Date]],"ddd")</f>
        <v>Fri</v>
      </c>
      <c r="O174" s="7">
        <f>MONTH(Rend_j[[#This Row],[Date]])</f>
        <v>8</v>
      </c>
      <c r="P174" s="7">
        <f>YEAR(Rend_j[[#This Row],[Date]])</f>
        <v>2021</v>
      </c>
      <c r="Q174" s="7" t="str">
        <f>Rend_j[[#This Row],[Week]]&amp;","&amp;Rend_j[[#This Row],[Year]]</f>
        <v>34,2021</v>
      </c>
      <c r="R174" s="7" t="str">
        <f>Rend_j[[#This Row],[Month]]&amp;","&amp;Rend_j[[#This Row],[Year]]</f>
        <v>8,2021</v>
      </c>
    </row>
    <row r="175" spans="1:18" x14ac:dyDescent="0.25">
      <c r="A175" s="1">
        <v>44438</v>
      </c>
      <c r="B175" s="6">
        <f>(Indices!B179-Indices!B178)/Indices!B178</f>
        <v>4.1640152929482933E-3</v>
      </c>
      <c r="C175" s="6">
        <f>(Indices!C179-Indices!C178)/Indices!C178</f>
        <v>3.0276354609041017E-3</v>
      </c>
      <c r="D175" s="6">
        <f>(Indices!D179-Indices!D178)/Indices!D178</f>
        <v>1.0152187361054709E-2</v>
      </c>
      <c r="E175" s="6">
        <f>(Indices!E179-Indices!E178)/Indices!E178</f>
        <v>8.879750819950483E-3</v>
      </c>
      <c r="F175" s="6">
        <f>(Indices!F179-Indices!F178)/Indices!F178</f>
        <v>9.1223292231883083E-3</v>
      </c>
      <c r="G175" s="6">
        <f>(Indices!G179-Indices!G178)/Indices!G178</f>
        <v>3.7133778343341984E-3</v>
      </c>
      <c r="H175" s="6">
        <f>(Indices!H179-Indices!H178)/Indices!H178</f>
        <v>-8.4513886688109704E-5</v>
      </c>
      <c r="I175" s="6">
        <f>(Indices!I179-Indices!I178)/Indices!I178</f>
        <v>3.4364703103904265E-3</v>
      </c>
      <c r="J175" s="6">
        <f>(Indices!J179-Indices!J178)/Indices!J178</f>
        <v>8.0514029841730398E-4</v>
      </c>
      <c r="K175" s="6">
        <f>(Indices!K179-Indices!K178)/Indices!K178</f>
        <v>7.1981412304546709E-4</v>
      </c>
      <c r="L175" s="6">
        <f>(Indices!L179-Indices!L178)/Indices!L178</f>
        <v>2.2432583153279254E-3</v>
      </c>
      <c r="M175" s="10">
        <f>WEEKNUM(Rend_j[[#This Row],[Date]])-1</f>
        <v>35</v>
      </c>
      <c r="N175" s="7" t="str">
        <f>TEXT(Rend_j[[#This Row],[Date]],"ddd")</f>
        <v>Mon</v>
      </c>
      <c r="O175" s="7">
        <f>MONTH(Rend_j[[#This Row],[Date]])</f>
        <v>8</v>
      </c>
      <c r="P175" s="7">
        <f>YEAR(Rend_j[[#This Row],[Date]])</f>
        <v>2021</v>
      </c>
      <c r="Q175" s="7" t="str">
        <f>Rend_j[[#This Row],[Week]]&amp;","&amp;Rend_j[[#This Row],[Year]]</f>
        <v>35,2021</v>
      </c>
      <c r="R175" s="7" t="str">
        <f>Rend_j[[#This Row],[Month]]&amp;","&amp;Rend_j[[#This Row],[Year]]</f>
        <v>8,2021</v>
      </c>
    </row>
    <row r="176" spans="1:18" x14ac:dyDescent="0.25">
      <c r="A176" s="1">
        <v>44439</v>
      </c>
      <c r="B176" s="6">
        <f>(Indices!B180-Indices!B179)/Indices!B179</f>
        <v>1.478961459018527E-2</v>
      </c>
      <c r="C176" s="6">
        <f>(Indices!C180-Indices!C179)/Indices!C179</f>
        <v>-2.1408558282322216E-3</v>
      </c>
      <c r="D176" s="6">
        <f>(Indices!D180-Indices!D179)/Indices!D179</f>
        <v>1.3996731839305727E-2</v>
      </c>
      <c r="E176" s="6">
        <f>(Indices!E180-Indices!E179)/Indices!E179</f>
        <v>1.7638246505420875E-2</v>
      </c>
      <c r="F176" s="6">
        <f>(Indices!F180-Indices!F179)/Indices!F179</f>
        <v>6.261006792763528E-3</v>
      </c>
      <c r="G176" s="6">
        <f>(Indices!G180-Indices!G179)/Indices!G179</f>
        <v>1.7793858153294765E-4</v>
      </c>
      <c r="H176" s="6">
        <f>(Indices!H180-Indices!H179)/Indices!H179</f>
        <v>-4.1626607220208054E-3</v>
      </c>
      <c r="I176" s="6">
        <f>(Indices!I180-Indices!I179)/Indices!I179</f>
        <v>-1.5659097291063379E-3</v>
      </c>
      <c r="J176" s="6">
        <f>(Indices!J180-Indices!J179)/Indices!J179</f>
        <v>-1.0646492915835114E-3</v>
      </c>
      <c r="K176" s="6">
        <f>(Indices!K180-Indices!K179)/Indices!K179</f>
        <v>-3.8080477842438354E-3</v>
      </c>
      <c r="L176" s="6">
        <f>(Indices!L180-Indices!L179)/Indices!L179</f>
        <v>-3.2868831421655801E-3</v>
      </c>
      <c r="M176" s="10">
        <f>WEEKNUM(Rend_j[[#This Row],[Date]])-1</f>
        <v>35</v>
      </c>
      <c r="N176" s="7" t="str">
        <f>TEXT(Rend_j[[#This Row],[Date]],"ddd")</f>
        <v>Tue</v>
      </c>
      <c r="O176" s="7">
        <f>MONTH(Rend_j[[#This Row],[Date]])</f>
        <v>8</v>
      </c>
      <c r="P176" s="7">
        <f>YEAR(Rend_j[[#This Row],[Date]])</f>
        <v>2021</v>
      </c>
      <c r="Q176" s="7" t="str">
        <f>Rend_j[[#This Row],[Week]]&amp;","&amp;Rend_j[[#This Row],[Year]]</f>
        <v>35,2021</v>
      </c>
      <c r="R176" s="7" t="str">
        <f>Rend_j[[#This Row],[Month]]&amp;","&amp;Rend_j[[#This Row],[Year]]</f>
        <v>8,2021</v>
      </c>
    </row>
    <row r="177" spans="1:18" x14ac:dyDescent="0.25">
      <c r="A177" s="1">
        <v>44440</v>
      </c>
      <c r="B177" s="6">
        <f>(Indices!B181-Indices!B180)/Indices!B180</f>
        <v>3.566449638263052E-3</v>
      </c>
      <c r="C177" s="6">
        <f>(Indices!C181-Indices!C180)/Indices!C180</f>
        <v>-9.0896378128938209E-4</v>
      </c>
      <c r="D177" s="6">
        <f>(Indices!D181-Indices!D180)/Indices!D180</f>
        <v>-4.7510594869733646E-3</v>
      </c>
      <c r="E177" s="6">
        <f>(Indices!E181-Indices!E180)/Indices!E180</f>
        <v>-1.3067722495773316E-3</v>
      </c>
      <c r="F177" s="6">
        <f>(Indices!F181-Indices!F180)/Indices!F180</f>
        <v>5.3185746674470676E-3</v>
      </c>
      <c r="G177" s="6">
        <f>(Indices!G181-Indices!G180)/Indices!G180</f>
        <v>-9.5624972202036065E-4</v>
      </c>
      <c r="H177" s="6">
        <f>(Indices!H181-Indices!H180)/Indices!H180</f>
        <v>1.0927570366126061E-3</v>
      </c>
      <c r="I177" s="6">
        <f>(Indices!I181-Indices!I180)/Indices!I180</f>
        <v>1.1236922389245242E-3</v>
      </c>
      <c r="J177" s="6">
        <f>(Indices!J181-Indices!J180)/Indices!J180</f>
        <v>1.1752641834731225E-2</v>
      </c>
      <c r="K177" s="6">
        <f>(Indices!K181-Indices!K180)/Indices!K180</f>
        <v>4.7570293412650521E-3</v>
      </c>
      <c r="L177" s="6">
        <f>(Indices!L181-Indices!L180)/Indices!L180</f>
        <v>-6.8201697048285816E-4</v>
      </c>
      <c r="M177" s="10">
        <f>WEEKNUM(Rend_j[[#This Row],[Date]])-1</f>
        <v>35</v>
      </c>
      <c r="N177" s="7" t="str">
        <f>TEXT(Rend_j[[#This Row],[Date]],"ddd")</f>
        <v>Wed</v>
      </c>
      <c r="O177" s="7">
        <f>MONTH(Rend_j[[#This Row],[Date]])</f>
        <v>9</v>
      </c>
      <c r="P177" s="7">
        <f>YEAR(Rend_j[[#This Row],[Date]])</f>
        <v>2021</v>
      </c>
      <c r="Q177" s="7" t="str">
        <f>Rend_j[[#This Row],[Week]]&amp;","&amp;Rend_j[[#This Row],[Year]]</f>
        <v>35,2021</v>
      </c>
      <c r="R177" s="7" t="str">
        <f>Rend_j[[#This Row],[Month]]&amp;","&amp;Rend_j[[#This Row],[Year]]</f>
        <v>9,2021</v>
      </c>
    </row>
    <row r="178" spans="1:18" x14ac:dyDescent="0.25">
      <c r="A178" s="1">
        <v>44441</v>
      </c>
      <c r="B178" s="6">
        <f>(Indices!B182-Indices!B181)/Indices!B181</f>
        <v>4.9466933708343886E-3</v>
      </c>
      <c r="C178" s="6">
        <f>(Indices!C182-Indices!C181)/Indices!C181</f>
        <v>1.9669160303656175E-3</v>
      </c>
      <c r="D178" s="6">
        <f>(Indices!D182-Indices!D181)/Indices!D181</f>
        <v>-5.6145191474634261E-3</v>
      </c>
      <c r="E178" s="6">
        <f>(Indices!E182-Indices!E181)/Indices!E181</f>
        <v>-1.540743466212912E-3</v>
      </c>
      <c r="F178" s="6">
        <f>(Indices!F182-Indices!F181)/Indices!F181</f>
        <v>1.2152179196599844E-3</v>
      </c>
      <c r="G178" s="6">
        <f>(Indices!G182-Indices!G181)/Indices!G181</f>
        <v>1.5470457732633021E-3</v>
      </c>
      <c r="H178" s="6">
        <f>(Indices!H182-Indices!H181)/Indices!H181</f>
        <v>4.3238660449343071E-3</v>
      </c>
      <c r="I178" s="6">
        <f>(Indices!I182-Indices!I181)/Indices!I181</f>
        <v>3.3738978381148209E-3</v>
      </c>
      <c r="J178" s="6">
        <f>(Indices!J182-Indices!J181)/Indices!J181</f>
        <v>6.4955443115811409E-4</v>
      </c>
      <c r="K178" s="6">
        <f>(Indices!K182-Indices!K181)/Indices!K181</f>
        <v>3.1281937259912051E-3</v>
      </c>
      <c r="L178" s="6">
        <f>(Indices!L182-Indices!L181)/Indices!L181</f>
        <v>1.0300493708595274E-3</v>
      </c>
      <c r="M178" s="10">
        <f>WEEKNUM(Rend_j[[#This Row],[Date]])-1</f>
        <v>35</v>
      </c>
      <c r="N178" s="7" t="str">
        <f>TEXT(Rend_j[[#This Row],[Date]],"ddd")</f>
        <v>Thu</v>
      </c>
      <c r="O178" s="7">
        <f>MONTH(Rend_j[[#This Row],[Date]])</f>
        <v>9</v>
      </c>
      <c r="P178" s="7">
        <f>YEAR(Rend_j[[#This Row],[Date]])</f>
        <v>2021</v>
      </c>
      <c r="Q178" s="7" t="str">
        <f>Rend_j[[#This Row],[Week]]&amp;","&amp;Rend_j[[#This Row],[Year]]</f>
        <v>35,2021</v>
      </c>
      <c r="R178" s="7" t="str">
        <f>Rend_j[[#This Row],[Month]]&amp;","&amp;Rend_j[[#This Row],[Year]]</f>
        <v>9,2021</v>
      </c>
    </row>
    <row r="179" spans="1:18" x14ac:dyDescent="0.25">
      <c r="A179" s="1">
        <v>44442</v>
      </c>
      <c r="B179" s="6">
        <f>(Indices!B183-Indices!B182)/Indices!B182</f>
        <v>-7.668881704429433E-3</v>
      </c>
      <c r="C179" s="6">
        <f>(Indices!C183-Indices!C182)/Indices!C182</f>
        <v>-3.3820420917189431E-4</v>
      </c>
      <c r="D179" s="6">
        <f>(Indices!D183-Indices!D182)/Indices!D182</f>
        <v>7.2195143812221248E-3</v>
      </c>
      <c r="E179" s="6">
        <f>(Indices!E183-Indices!E182)/Indices!E182</f>
        <v>1.9116275320427562E-3</v>
      </c>
      <c r="F179" s="6">
        <f>(Indices!F183-Indices!F182)/Indices!F182</f>
        <v>1.8324695999728916E-2</v>
      </c>
      <c r="G179" s="6">
        <f>(Indices!G183-Indices!G182)/Indices!G182</f>
        <v>-7.0380015039118158E-5</v>
      </c>
      <c r="H179" s="6">
        <f>(Indices!H183-Indices!H182)/Indices!H182</f>
        <v>-2.2159378693229121E-3</v>
      </c>
      <c r="I179" s="6">
        <f>(Indices!I183-Indices!I182)/Indices!I182</f>
        <v>-3.7387496231077176E-4</v>
      </c>
      <c r="J179" s="6">
        <f>(Indices!J183-Indices!J182)/Indices!J182</f>
        <v>-1.0807182993109621E-2</v>
      </c>
      <c r="K179" s="6">
        <f>(Indices!K183-Indices!K182)/Indices!K182</f>
        <v>-5.6258174594291579E-3</v>
      </c>
      <c r="L179" s="6">
        <f>(Indices!L183-Indices!L182)/Indices!L182</f>
        <v>-3.7492063489980012E-3</v>
      </c>
      <c r="M179" s="10">
        <f>WEEKNUM(Rend_j[[#This Row],[Date]])-1</f>
        <v>35</v>
      </c>
      <c r="N179" s="7" t="str">
        <f>TEXT(Rend_j[[#This Row],[Date]],"ddd")</f>
        <v>Fri</v>
      </c>
      <c r="O179" s="7">
        <f>MONTH(Rend_j[[#This Row],[Date]])</f>
        <v>9</v>
      </c>
      <c r="P179" s="7">
        <f>YEAR(Rend_j[[#This Row],[Date]])</f>
        <v>2021</v>
      </c>
      <c r="Q179" s="7" t="str">
        <f>Rend_j[[#This Row],[Week]]&amp;","&amp;Rend_j[[#This Row],[Year]]</f>
        <v>35,2021</v>
      </c>
      <c r="R179" s="7" t="str">
        <f>Rend_j[[#This Row],[Month]]&amp;","&amp;Rend_j[[#This Row],[Year]]</f>
        <v>9,2021</v>
      </c>
    </row>
    <row r="180" spans="1:18" x14ac:dyDescent="0.25">
      <c r="A180" s="1">
        <v>44445</v>
      </c>
      <c r="B180" s="6">
        <f>(Indices!B184-Indices!B183)/Indices!B183</f>
        <v>1.6656427787367149E-2</v>
      </c>
      <c r="C180" s="6">
        <f>(Indices!C184-Indices!C183)/Indices!C183</f>
        <v>3.4383469457550291E-3</v>
      </c>
      <c r="D180" s="6">
        <f>(Indices!D184-Indices!D183)/Indices!D183</f>
        <v>5.2436451333098908E-3</v>
      </c>
      <c r="E180" s="6">
        <f>(Indices!E184-Indices!E183)/Indices!E183</f>
        <v>8.0801811431789397E-3</v>
      </c>
      <c r="F180" s="6">
        <f>(Indices!F184-Indices!F183)/Indices!F183</f>
        <v>1.3632029448288115E-2</v>
      </c>
      <c r="G180" s="6">
        <f>(Indices!G184-Indices!G183)/Indices!G183</f>
        <v>3.9934208576592719E-3</v>
      </c>
      <c r="H180" s="6">
        <f>(Indices!H184-Indices!H183)/Indices!H183</f>
        <v>5.1079760570230956E-3</v>
      </c>
      <c r="I180" s="6">
        <f>(Indices!I184-Indices!I183)/Indices!I183</f>
        <v>0</v>
      </c>
      <c r="J180" s="6">
        <f>(Indices!J184-Indices!J183)/Indices!J183</f>
        <v>7.9984819302204267E-3</v>
      </c>
      <c r="K180" s="6">
        <f>(Indices!K184-Indices!K183)/Indices!K183</f>
        <v>6.9078232965794316E-3</v>
      </c>
      <c r="L180" s="6">
        <f>(Indices!L184-Indices!L183)/Indices!L183</f>
        <v>9.5632726337253025E-3</v>
      </c>
      <c r="M180" s="10">
        <f>WEEKNUM(Rend_j[[#This Row],[Date]])-1</f>
        <v>36</v>
      </c>
      <c r="N180" s="7" t="str">
        <f>TEXT(Rend_j[[#This Row],[Date]],"ddd")</f>
        <v>Mon</v>
      </c>
      <c r="O180" s="7">
        <f>MONTH(Rend_j[[#This Row],[Date]])</f>
        <v>9</v>
      </c>
      <c r="P180" s="7">
        <f>YEAR(Rend_j[[#This Row],[Date]])</f>
        <v>2021</v>
      </c>
      <c r="Q180" s="7" t="str">
        <f>Rend_j[[#This Row],[Week]]&amp;","&amp;Rend_j[[#This Row],[Year]]</f>
        <v>36,2021</v>
      </c>
      <c r="R180" s="7" t="str">
        <f>Rend_j[[#This Row],[Month]]&amp;","&amp;Rend_j[[#This Row],[Year]]</f>
        <v>9,2021</v>
      </c>
    </row>
    <row r="181" spans="1:18" x14ac:dyDescent="0.25">
      <c r="A181" s="1">
        <v>44446</v>
      </c>
      <c r="B181" s="6">
        <f>(Indices!B185-Indices!B184)/Indices!B184</f>
        <v>1.4326253221690946E-2</v>
      </c>
      <c r="C181" s="6">
        <f>(Indices!C185-Indices!C184)/Indices!C184</f>
        <v>-2.0339504815515444E-3</v>
      </c>
      <c r="D181" s="6">
        <f>(Indices!D185-Indices!D184)/Indices!D184</f>
        <v>-4.4895056128827111E-3</v>
      </c>
      <c r="E181" s="6">
        <f>(Indices!E185-Indices!E184)/Indices!E184</f>
        <v>2.3145508859144033E-3</v>
      </c>
      <c r="F181" s="6">
        <f>(Indices!F185-Indices!F184)/Indices!F184</f>
        <v>8.4389339487976368E-3</v>
      </c>
      <c r="G181" s="6">
        <f>(Indices!G185-Indices!G184)/Indices!G184</f>
        <v>-1.5127923194425846E-3</v>
      </c>
      <c r="H181" s="6">
        <f>(Indices!H185-Indices!H184)/Indices!H184</f>
        <v>-7.1442850980103544E-3</v>
      </c>
      <c r="I181" s="6">
        <f>(Indices!I185-Indices!I184)/Indices!I184</f>
        <v>-4.1335790209004828E-3</v>
      </c>
      <c r="J181" s="6">
        <f>(Indices!J185-Indices!J184)/Indices!J184</f>
        <v>-2.5847373025876543E-3</v>
      </c>
      <c r="K181" s="6">
        <f>(Indices!K185-Indices!K184)/Indices!K184</f>
        <v>-4.88227233366744E-3</v>
      </c>
      <c r="L181" s="6">
        <f>(Indices!L185-Indices!L184)/Indices!L184</f>
        <v>-5.588099972221339E-3</v>
      </c>
      <c r="M181" s="10">
        <f>WEEKNUM(Rend_j[[#This Row],[Date]])-1</f>
        <v>36</v>
      </c>
      <c r="N181" s="7" t="str">
        <f>TEXT(Rend_j[[#This Row],[Date]],"ddd")</f>
        <v>Tue</v>
      </c>
      <c r="O181" s="7">
        <f>MONTH(Rend_j[[#This Row],[Date]])</f>
        <v>9</v>
      </c>
      <c r="P181" s="7">
        <f>YEAR(Rend_j[[#This Row],[Date]])</f>
        <v>2021</v>
      </c>
      <c r="Q181" s="7" t="str">
        <f>Rend_j[[#This Row],[Week]]&amp;","&amp;Rend_j[[#This Row],[Year]]</f>
        <v>36,2021</v>
      </c>
      <c r="R181" s="7" t="str">
        <f>Rend_j[[#This Row],[Month]]&amp;","&amp;Rend_j[[#This Row],[Year]]</f>
        <v>9,2021</v>
      </c>
    </row>
    <row r="182" spans="1:18" x14ac:dyDescent="0.25">
      <c r="A182" s="1">
        <v>44447</v>
      </c>
      <c r="B182" s="6">
        <f>(Indices!B186-Indices!B185)/Indices!B185</f>
        <v>-1.6001786866200666E-3</v>
      </c>
      <c r="C182" s="6">
        <f>(Indices!C186-Indices!C185)/Indices!C185</f>
        <v>-9.6580038411672167E-4</v>
      </c>
      <c r="D182" s="6">
        <f>(Indices!D186-Indices!D185)/Indices!D185</f>
        <v>-8.829834130799661E-3</v>
      </c>
      <c r="E182" s="6">
        <f>(Indices!E186-Indices!E185)/Indices!E185</f>
        <v>-6.274670397797809E-3</v>
      </c>
      <c r="F182" s="6">
        <f>(Indices!F186-Indices!F185)/Indices!F185</f>
        <v>9.0408165478941E-3</v>
      </c>
      <c r="G182" s="6">
        <f>(Indices!G186-Indices!G185)/Indices!G185</f>
        <v>-1.6037721904425004E-3</v>
      </c>
      <c r="H182" s="6">
        <f>(Indices!H186-Indices!H185)/Indices!H185</f>
        <v>-7.8951272758100762E-3</v>
      </c>
      <c r="I182" s="6">
        <f>(Indices!I186-Indices!I185)/Indices!I185</f>
        <v>-2.6145808668209497E-3</v>
      </c>
      <c r="J182" s="6">
        <f>(Indices!J186-Indices!J185)/Indices!J185</f>
        <v>-8.5012033024056567E-3</v>
      </c>
      <c r="K182" s="6">
        <f>(Indices!K186-Indices!K185)/Indices!K185</f>
        <v>-1.0573730735442412E-2</v>
      </c>
      <c r="L182" s="6">
        <f>(Indices!L186-Indices!L185)/Indices!L185</f>
        <v>-1.4694707430883396E-2</v>
      </c>
      <c r="M182" s="10">
        <f>WEEKNUM(Rend_j[[#This Row],[Date]])-1</f>
        <v>36</v>
      </c>
      <c r="N182" s="7" t="str">
        <f>TEXT(Rend_j[[#This Row],[Date]],"ddd")</f>
        <v>Wed</v>
      </c>
      <c r="O182" s="7">
        <f>MONTH(Rend_j[[#This Row],[Date]])</f>
        <v>9</v>
      </c>
      <c r="P182" s="7">
        <f>YEAR(Rend_j[[#This Row],[Date]])</f>
        <v>2021</v>
      </c>
      <c r="Q182" s="7" t="str">
        <f>Rend_j[[#This Row],[Week]]&amp;","&amp;Rend_j[[#This Row],[Year]]</f>
        <v>36,2021</v>
      </c>
      <c r="R182" s="7" t="str">
        <f>Rend_j[[#This Row],[Month]]&amp;","&amp;Rend_j[[#This Row],[Year]]</f>
        <v>9,2021</v>
      </c>
    </row>
    <row r="183" spans="1:18" x14ac:dyDescent="0.25">
      <c r="A183" s="1">
        <v>44448</v>
      </c>
      <c r="B183" s="6">
        <f>(Indices!B187-Indices!B186)/Indices!B186</f>
        <v>-1.504374988522008E-2</v>
      </c>
      <c r="C183" s="6">
        <f>(Indices!C187-Indices!C186)/Indices!C186</f>
        <v>-3.9331005329902337E-3</v>
      </c>
      <c r="D183" s="6">
        <f>(Indices!D187-Indices!D186)/Indices!D186</f>
        <v>-2.7427455037584542E-3</v>
      </c>
      <c r="E183" s="6">
        <f>(Indices!E187-Indices!E186)/Indices!E186</f>
        <v>-1.0838234654419616E-2</v>
      </c>
      <c r="F183" s="6">
        <f>(Indices!F187-Indices!F186)/Indices!F186</f>
        <v>-3.300134907795114E-3</v>
      </c>
      <c r="G183" s="6">
        <f>(Indices!G187-Indices!G186)/Indices!G186</f>
        <v>-4.7635262678677676E-3</v>
      </c>
      <c r="H183" s="6">
        <f>(Indices!H187-Indices!H186)/Indices!H186</f>
        <v>-3.1084097973659809E-3</v>
      </c>
      <c r="I183" s="6">
        <f>(Indices!I187-Indices!I186)/Indices!I186</f>
        <v>-3.8116121221908232E-3</v>
      </c>
      <c r="J183" s="6">
        <f>(Indices!J187-Indices!J186)/Indices!J186</f>
        <v>2.3737200155948463E-3</v>
      </c>
      <c r="K183" s="6">
        <f>(Indices!K187-Indices!K186)/Indices!K186</f>
        <v>-6.4117811188136068E-4</v>
      </c>
      <c r="L183" s="6">
        <f>(Indices!L187-Indices!L186)/Indices!L186</f>
        <v>8.244643771537747E-4</v>
      </c>
      <c r="M183" s="10">
        <f>WEEKNUM(Rend_j[[#This Row],[Date]])-1</f>
        <v>36</v>
      </c>
      <c r="N183" s="7" t="str">
        <f>TEXT(Rend_j[[#This Row],[Date]],"ddd")</f>
        <v>Thu</v>
      </c>
      <c r="O183" s="7">
        <f>MONTH(Rend_j[[#This Row],[Date]])</f>
        <v>9</v>
      </c>
      <c r="P183" s="7">
        <f>YEAR(Rend_j[[#This Row],[Date]])</f>
        <v>2021</v>
      </c>
      <c r="Q183" s="7" t="str">
        <f>Rend_j[[#This Row],[Week]]&amp;","&amp;Rend_j[[#This Row],[Year]]</f>
        <v>36,2021</v>
      </c>
      <c r="R183" s="7" t="str">
        <f>Rend_j[[#This Row],[Month]]&amp;","&amp;Rend_j[[#This Row],[Year]]</f>
        <v>9,2021</v>
      </c>
    </row>
    <row r="184" spans="1:18" x14ac:dyDescent="0.25">
      <c r="A184" s="1">
        <v>44449</v>
      </c>
      <c r="B184" s="6">
        <f>(Indices!B188-Indices!B187)/Indices!B187</f>
        <v>1.0982737538099877E-2</v>
      </c>
      <c r="C184" s="6">
        <f>(Indices!C188-Indices!C187)/Indices!C187</f>
        <v>-5.8860432504244855E-3</v>
      </c>
      <c r="D184" s="6">
        <f>(Indices!D188-Indices!D187)/Indices!D187</f>
        <v>1.7238652576191441E-3</v>
      </c>
      <c r="E184" s="6">
        <f>(Indices!E188-Indices!E187)/Indices!E187</f>
        <v>5.4553492279882975E-3</v>
      </c>
      <c r="F184" s="6">
        <f>(Indices!F188-Indices!F187)/Indices!F187</f>
        <v>1.0666580384924469E-2</v>
      </c>
      <c r="G184" s="6">
        <f>(Indices!G188-Indices!G187)/Indices!G187</f>
        <v>-4.5334354812916538E-3</v>
      </c>
      <c r="H184" s="6">
        <f>(Indices!H188-Indices!H187)/Indices!H187</f>
        <v>9.6436148554532943E-5</v>
      </c>
      <c r="I184" s="6">
        <f>(Indices!I188-Indices!I187)/Indices!I187</f>
        <v>-7.9829961647800828E-3</v>
      </c>
      <c r="J184" s="6">
        <f>(Indices!J188-Indices!J187)/Indices!J187</f>
        <v>-3.1340421627504642E-3</v>
      </c>
      <c r="K184" s="6">
        <f>(Indices!K188-Indices!K187)/Indices!K187</f>
        <v>-2.6306456393384329E-3</v>
      </c>
      <c r="L184" s="6">
        <f>(Indices!L188-Indices!L187)/Indices!L187</f>
        <v>-8.5391356205214493E-4</v>
      </c>
      <c r="M184" s="10">
        <f>WEEKNUM(Rend_j[[#This Row],[Date]])-1</f>
        <v>36</v>
      </c>
      <c r="N184" s="7" t="str">
        <f>TEXT(Rend_j[[#This Row],[Date]],"ddd")</f>
        <v>Fri</v>
      </c>
      <c r="O184" s="7">
        <f>MONTH(Rend_j[[#This Row],[Date]])</f>
        <v>9</v>
      </c>
      <c r="P184" s="7">
        <f>YEAR(Rend_j[[#This Row],[Date]])</f>
        <v>2021</v>
      </c>
      <c r="Q184" s="7" t="str">
        <f>Rend_j[[#This Row],[Week]]&amp;","&amp;Rend_j[[#This Row],[Year]]</f>
        <v>36,2021</v>
      </c>
      <c r="R184" s="7" t="str">
        <f>Rend_j[[#This Row],[Month]]&amp;","&amp;Rend_j[[#This Row],[Year]]</f>
        <v>9,2021</v>
      </c>
    </row>
    <row r="185" spans="1:18" x14ac:dyDescent="0.25">
      <c r="A185" s="1">
        <v>44452</v>
      </c>
      <c r="B185" s="6">
        <f>(Indices!B189-Indices!B188)/Indices!B188</f>
        <v>-9.6555974633560342E-3</v>
      </c>
      <c r="C185" s="6">
        <f>(Indices!C189-Indices!C188)/Indices!C188</f>
        <v>3.3706405330661154E-3</v>
      </c>
      <c r="D185" s="6">
        <f>(Indices!D189-Indices!D188)/Indices!D188</f>
        <v>1.9747939101444957E-3</v>
      </c>
      <c r="E185" s="6">
        <f>(Indices!E189-Indices!E188)/Indices!E188</f>
        <v>-3.5887755806726959E-3</v>
      </c>
      <c r="F185" s="6">
        <f>(Indices!F189-Indices!F188)/Indices!F188</f>
        <v>3.473537619319541E-3</v>
      </c>
      <c r="G185" s="6">
        <f>(Indices!G189-Indices!G188)/Indices!G188</f>
        <v>2.5329507755760677E-3</v>
      </c>
      <c r="H185" s="6">
        <f>(Indices!H189-Indices!H188)/Indices!H188</f>
        <v>7.8534311887288166E-3</v>
      </c>
      <c r="I185" s="6">
        <f>(Indices!I189-Indices!I188)/Indices!I188</f>
        <v>2.169726706915359E-3</v>
      </c>
      <c r="J185" s="6">
        <f>(Indices!J189-Indices!J188)/Indices!J188</f>
        <v>1.974881480078437E-3</v>
      </c>
      <c r="K185" s="6">
        <f>(Indices!K189-Indices!K188)/Indices!K188</f>
        <v>2.8948964523300455E-3</v>
      </c>
      <c r="L185" s="6">
        <f>(Indices!L189-Indices!L188)/Indices!L188</f>
        <v>5.8687679429519678E-3</v>
      </c>
      <c r="M185" s="10">
        <f>WEEKNUM(Rend_j[[#This Row],[Date]])-1</f>
        <v>37</v>
      </c>
      <c r="N185" s="7" t="str">
        <f>TEXT(Rend_j[[#This Row],[Date]],"ddd")</f>
        <v>Mon</v>
      </c>
      <c r="O185" s="7">
        <f>MONTH(Rend_j[[#This Row],[Date]])</f>
        <v>9</v>
      </c>
      <c r="P185" s="7">
        <f>YEAR(Rend_j[[#This Row],[Date]])</f>
        <v>2021</v>
      </c>
      <c r="Q185" s="7" t="str">
        <f>Rend_j[[#This Row],[Week]]&amp;","&amp;Rend_j[[#This Row],[Year]]</f>
        <v>37,2021</v>
      </c>
      <c r="R185" s="7" t="str">
        <f>Rend_j[[#This Row],[Month]]&amp;","&amp;Rend_j[[#This Row],[Year]]</f>
        <v>9,2021</v>
      </c>
    </row>
    <row r="186" spans="1:18" x14ac:dyDescent="0.25">
      <c r="A186" s="1">
        <v>44453</v>
      </c>
      <c r="B186" s="6">
        <f>(Indices!B190-Indices!B189)/Indices!B189</f>
        <v>-1.326465347040862E-2</v>
      </c>
      <c r="C186" s="6">
        <f>(Indices!C190-Indices!C189)/Indices!C189</f>
        <v>-4.1769487186128348E-3</v>
      </c>
      <c r="D186" s="6">
        <f>(Indices!D190-Indices!D189)/Indices!D189</f>
        <v>2.2621985900484333E-4</v>
      </c>
      <c r="E186" s="6">
        <f>(Indices!E190-Indices!E189)/Indices!E189</f>
        <v>-5.1149240731799134E-3</v>
      </c>
      <c r="F186" s="6">
        <f>(Indices!F190-Indices!F189)/Indices!F189</f>
        <v>1.1081098326137219E-2</v>
      </c>
      <c r="G186" s="6">
        <f>(Indices!G190-Indices!G189)/Indices!G189</f>
        <v>-4.2891745854295154E-3</v>
      </c>
      <c r="H186" s="6">
        <f>(Indices!H190-Indices!H189)/Indices!H189</f>
        <v>-5.9531402814985146E-3</v>
      </c>
      <c r="I186" s="6">
        <f>(Indices!I190-Indices!I189)/Indices!I189</f>
        <v>-6.400290621526381E-3</v>
      </c>
      <c r="J186" s="6">
        <f>(Indices!J190-Indices!J189)/Indices!J189</f>
        <v>-3.5884696063054303E-3</v>
      </c>
      <c r="K186" s="6">
        <f>(Indices!K190-Indices!K189)/Indices!K189</f>
        <v>-8.5543842778149166E-5</v>
      </c>
      <c r="L186" s="6">
        <f>(Indices!L190-Indices!L189)/Indices!L189</f>
        <v>1.3737808497512722E-3</v>
      </c>
      <c r="M186" s="10">
        <f>WEEKNUM(Rend_j[[#This Row],[Date]])-1</f>
        <v>37</v>
      </c>
      <c r="N186" s="7" t="str">
        <f>TEXT(Rend_j[[#This Row],[Date]],"ddd")</f>
        <v>Tue</v>
      </c>
      <c r="O186" s="7">
        <f>MONTH(Rend_j[[#This Row],[Date]])</f>
        <v>9</v>
      </c>
      <c r="P186" s="7">
        <f>YEAR(Rend_j[[#This Row],[Date]])</f>
        <v>2021</v>
      </c>
      <c r="Q186" s="7" t="str">
        <f>Rend_j[[#This Row],[Week]]&amp;","&amp;Rend_j[[#This Row],[Year]]</f>
        <v>37,2021</v>
      </c>
      <c r="R186" s="7" t="str">
        <f>Rend_j[[#This Row],[Month]]&amp;","&amp;Rend_j[[#This Row],[Year]]</f>
        <v>9,2021</v>
      </c>
    </row>
    <row r="187" spans="1:18" x14ac:dyDescent="0.25">
      <c r="A187" s="1">
        <v>44454</v>
      </c>
      <c r="B187" s="6">
        <f>(Indices!B191-Indices!B190)/Indices!B190</f>
        <v>-1.3191102851278055E-2</v>
      </c>
      <c r="C187" s="6">
        <f>(Indices!C191-Indices!C190)/Indices!C190</f>
        <v>3.9455499249528613E-3</v>
      </c>
      <c r="D187" s="6">
        <f>(Indices!D191-Indices!D190)/Indices!D190</f>
        <v>8.1649520505671161E-4</v>
      </c>
      <c r="E187" s="6">
        <f>(Indices!E191-Indices!E190)/Indices!E190</f>
        <v>-5.5522400536879542E-3</v>
      </c>
      <c r="F187" s="6">
        <f>(Indices!F191-Indices!F190)/Indices!F190</f>
        <v>-5.4956035171861853E-3</v>
      </c>
      <c r="G187" s="6">
        <f>(Indices!G191-Indices!G190)/Indices!G190</f>
        <v>2.8106392613743924E-3</v>
      </c>
      <c r="H187" s="6">
        <f>(Indices!H191-Indices!H190)/Indices!H190</f>
        <v>-3.3473071822732003E-3</v>
      </c>
      <c r="I187" s="6">
        <f>(Indices!I191-Indices!I190)/Indices!I190</f>
        <v>8.6545645904256563E-3</v>
      </c>
      <c r="J187" s="6">
        <f>(Indices!J191-Indices!J190)/Indices!J190</f>
        <v>-1.042393032868852E-2</v>
      </c>
      <c r="K187" s="6">
        <f>(Indices!K191-Indices!K190)/Indices!K190</f>
        <v>-7.9974126974969601E-3</v>
      </c>
      <c r="L187" s="6">
        <f>(Indices!L191-Indices!L190)/Indices!L190</f>
        <v>-6.804699897088178E-3</v>
      </c>
      <c r="M187" s="10">
        <f>WEEKNUM(Rend_j[[#This Row],[Date]])-1</f>
        <v>37</v>
      </c>
      <c r="N187" s="7" t="str">
        <f>TEXT(Rend_j[[#This Row],[Date]],"ddd")</f>
        <v>Wed</v>
      </c>
      <c r="O187" s="7">
        <f>MONTH(Rend_j[[#This Row],[Date]])</f>
        <v>9</v>
      </c>
      <c r="P187" s="7">
        <f>YEAR(Rend_j[[#This Row],[Date]])</f>
        <v>2021</v>
      </c>
      <c r="Q187" s="7" t="str">
        <f>Rend_j[[#This Row],[Week]]&amp;","&amp;Rend_j[[#This Row],[Year]]</f>
        <v>37,2021</v>
      </c>
      <c r="R187" s="7" t="str">
        <f>Rend_j[[#This Row],[Month]]&amp;","&amp;Rend_j[[#This Row],[Year]]</f>
        <v>9,2021</v>
      </c>
    </row>
    <row r="188" spans="1:18" x14ac:dyDescent="0.25">
      <c r="A188" s="1">
        <v>44455</v>
      </c>
      <c r="B188" s="6">
        <f>(Indices!B192-Indices!B191)/Indices!B191</f>
        <v>-1.1084587044625904E-2</v>
      </c>
      <c r="C188" s="6">
        <f>(Indices!C192-Indices!C191)/Indices!C191</f>
        <v>3.0678025060505197E-3</v>
      </c>
      <c r="D188" s="6">
        <f>(Indices!D192-Indices!D191)/Indices!D191</f>
        <v>-1.1434942393083599E-3</v>
      </c>
      <c r="E188" s="6">
        <f>(Indices!E192-Indices!E191)/Indices!E191</f>
        <v>-4.5581278050466278E-3</v>
      </c>
      <c r="F188" s="6">
        <f>(Indices!F192-Indices!F191)/Indices!F191</f>
        <v>-1.871956088352168E-3</v>
      </c>
      <c r="G188" s="6">
        <f>(Indices!G192-Indices!G191)/Indices!G191</f>
        <v>2.1645829445791531E-3</v>
      </c>
      <c r="H188" s="6">
        <f>(Indices!H192-Indices!H191)/Indices!H191</f>
        <v>8.9060571919107924E-4</v>
      </c>
      <c r="I188" s="6">
        <f>(Indices!I192-Indices!I191)/Indices!I191</f>
        <v>-8.9376407838147656E-4</v>
      </c>
      <c r="J188" s="6">
        <f>(Indices!J192-Indices!J191)/Indices!J191</f>
        <v>5.9191943501377591E-3</v>
      </c>
      <c r="K188" s="6">
        <f>(Indices!K192-Indices!K191)/Indices!K191</f>
        <v>4.3974218758171041E-3</v>
      </c>
      <c r="L188" s="6">
        <f>(Indices!L192-Indices!L191)/Indices!L191</f>
        <v>2.2893186475409838E-3</v>
      </c>
      <c r="M188" s="10">
        <f>WEEKNUM(Rend_j[[#This Row],[Date]])-1</f>
        <v>37</v>
      </c>
      <c r="N188" s="7" t="str">
        <f>TEXT(Rend_j[[#This Row],[Date]],"ddd")</f>
        <v>Thu</v>
      </c>
      <c r="O188" s="7">
        <f>MONTH(Rend_j[[#This Row],[Date]])</f>
        <v>9</v>
      </c>
      <c r="P188" s="7">
        <f>YEAR(Rend_j[[#This Row],[Date]])</f>
        <v>2021</v>
      </c>
      <c r="Q188" s="7" t="str">
        <f>Rend_j[[#This Row],[Week]]&amp;","&amp;Rend_j[[#This Row],[Year]]</f>
        <v>37,2021</v>
      </c>
      <c r="R188" s="7" t="str">
        <f>Rend_j[[#This Row],[Month]]&amp;","&amp;Rend_j[[#This Row],[Year]]</f>
        <v>9,2021</v>
      </c>
    </row>
    <row r="189" spans="1:18" x14ac:dyDescent="0.25">
      <c r="A189" s="1">
        <v>44456</v>
      </c>
      <c r="B189" s="6">
        <f>(Indices!B193-Indices!B192)/Indices!B192</f>
        <v>1.4588324979834097E-2</v>
      </c>
      <c r="C189" s="6">
        <f>(Indices!C193-Indices!C192)/Indices!C192</f>
        <v>-6.0762575860987302E-3</v>
      </c>
      <c r="D189" s="6">
        <f>(Indices!D193-Indices!D192)/Indices!D192</f>
        <v>-2.6002435985064041E-3</v>
      </c>
      <c r="E189" s="6">
        <f>(Indices!E193-Indices!E192)/Indices!E192</f>
        <v>4.2716998128053095E-3</v>
      </c>
      <c r="F189" s="6">
        <f>(Indices!F193-Indices!F192)/Indices!F192</f>
        <v>4.0105322829306293E-3</v>
      </c>
      <c r="G189" s="6">
        <f>(Indices!G193-Indices!G192)/Indices!G192</f>
        <v>-4.8560682232896652E-3</v>
      </c>
      <c r="H189" s="6">
        <f>(Indices!H193-Indices!H192)/Indices!H192</f>
        <v>-8.5336306524583117E-3</v>
      </c>
      <c r="I189" s="6">
        <f>(Indices!I193-Indices!I192)/Indices!I192</f>
        <v>-7.7793883315674592E-3</v>
      </c>
      <c r="J189" s="6">
        <f>(Indices!J193-Indices!J192)/Indices!J192</f>
        <v>-7.9122977919996416E-3</v>
      </c>
      <c r="K189" s="6">
        <f>(Indices!K193-Indices!K192)/Indices!K192</f>
        <v>-8.8207230264005874E-3</v>
      </c>
      <c r="L189" s="6">
        <f>(Indices!L193-Indices!L192)/Indices!L192</f>
        <v>-1.0323451371252398E-2</v>
      </c>
      <c r="M189" s="10">
        <f>WEEKNUM(Rend_j[[#This Row],[Date]])-1</f>
        <v>37</v>
      </c>
      <c r="N189" s="7" t="str">
        <f>TEXT(Rend_j[[#This Row],[Date]],"ddd")</f>
        <v>Fri</v>
      </c>
      <c r="O189" s="7">
        <f>MONTH(Rend_j[[#This Row],[Date]])</f>
        <v>9</v>
      </c>
      <c r="P189" s="7">
        <f>YEAR(Rend_j[[#This Row],[Date]])</f>
        <v>2021</v>
      </c>
      <c r="Q189" s="7" t="str">
        <f>Rend_j[[#This Row],[Week]]&amp;","&amp;Rend_j[[#This Row],[Year]]</f>
        <v>37,2021</v>
      </c>
      <c r="R189" s="7" t="str">
        <f>Rend_j[[#This Row],[Month]]&amp;","&amp;Rend_j[[#This Row],[Year]]</f>
        <v>9,2021</v>
      </c>
    </row>
    <row r="190" spans="1:18" x14ac:dyDescent="0.25">
      <c r="A190" s="1">
        <v>44459</v>
      </c>
      <c r="B190" s="6">
        <f>(Indices!B194-Indices!B193)/Indices!B193</f>
        <v>-1.6052853567227614E-2</v>
      </c>
      <c r="C190" s="6">
        <f>(Indices!C194-Indices!C193)/Indices!C193</f>
        <v>-1.5270519064021977E-2</v>
      </c>
      <c r="D190" s="6">
        <f>(Indices!D194-Indices!D193)/Indices!D193</f>
        <v>-9.5884026101297377E-3</v>
      </c>
      <c r="E190" s="6">
        <f>(Indices!E194-Indices!E193)/Indices!E193</f>
        <v>-1.5500508041063789E-2</v>
      </c>
      <c r="F190" s="6">
        <f>(Indices!F194-Indices!F193)/Indices!F193</f>
        <v>5.1817846023956482E-3</v>
      </c>
      <c r="G190" s="6">
        <f>(Indices!G194-Indices!G193)/Indices!G193</f>
        <v>-1.530165477910083E-2</v>
      </c>
      <c r="H190" s="6">
        <f>(Indices!H194-Indices!H193)/Indices!H193</f>
        <v>-1.2532168421963258E-2</v>
      </c>
      <c r="I190" s="6">
        <f>(Indices!I194-Indices!I193)/Indices!I193</f>
        <v>-1.7725498785411575E-2</v>
      </c>
      <c r="J190" s="6">
        <f>(Indices!J194-Indices!J193)/Indices!J193</f>
        <v>-1.7408915575824337E-2</v>
      </c>
      <c r="K190" s="6">
        <f>(Indices!K194-Indices!K193)/Indices!K193</f>
        <v>-1.6715748022828165E-2</v>
      </c>
      <c r="L190" s="6">
        <f>(Indices!L194-Indices!L193)/Indices!L193</f>
        <v>-2.3118555306332032E-2</v>
      </c>
      <c r="M190" s="10">
        <f>WEEKNUM(Rend_j[[#This Row],[Date]])-1</f>
        <v>38</v>
      </c>
      <c r="N190" s="7" t="str">
        <f>TEXT(Rend_j[[#This Row],[Date]],"ddd")</f>
        <v>Mon</v>
      </c>
      <c r="O190" s="7">
        <f>MONTH(Rend_j[[#This Row],[Date]])</f>
        <v>9</v>
      </c>
      <c r="P190" s="7">
        <f>YEAR(Rend_j[[#This Row],[Date]])</f>
        <v>2021</v>
      </c>
      <c r="Q190" s="7" t="str">
        <f>Rend_j[[#This Row],[Week]]&amp;","&amp;Rend_j[[#This Row],[Year]]</f>
        <v>38,2021</v>
      </c>
      <c r="R190" s="7" t="str">
        <f>Rend_j[[#This Row],[Month]]&amp;","&amp;Rend_j[[#This Row],[Year]]</f>
        <v>9,2021</v>
      </c>
    </row>
    <row r="191" spans="1:18" x14ac:dyDescent="0.25">
      <c r="A191" s="1">
        <v>44460</v>
      </c>
      <c r="B191" s="6">
        <f>(Indices!B195-Indices!B194)/Indices!B194</f>
        <v>-8.1364185035459342E-5</v>
      </c>
      <c r="C191" s="6">
        <f>(Indices!C195-Indices!C194)/Indices!C194</f>
        <v>1.1798231396113181E-3</v>
      </c>
      <c r="D191" s="6">
        <f>(Indices!D195-Indices!D194)/Indices!D194</f>
        <v>4.0339464497530873E-3</v>
      </c>
      <c r="E191" s="6">
        <f>(Indices!E195-Indices!E194)/Indices!E194</f>
        <v>2.5671504392864026E-3</v>
      </c>
      <c r="F191" s="6">
        <f>(Indices!F195-Indices!F194)/Indices!F194</f>
        <v>-1.389559666547672E-2</v>
      </c>
      <c r="G191" s="6">
        <f>(Indices!G195-Indices!G194)/Indices!G194</f>
        <v>1.3491071191053261E-3</v>
      </c>
      <c r="H191" s="6">
        <f>(Indices!H195-Indices!H194)/Indices!H194</f>
        <v>8.946267643419591E-3</v>
      </c>
      <c r="I191" s="6">
        <f>(Indices!I195-Indices!I194)/Indices!I194</f>
        <v>-1.3207975818971043E-4</v>
      </c>
      <c r="J191" s="6">
        <f>(Indices!J195-Indices!J194)/Indices!J194</f>
        <v>1.5012821026988598E-2</v>
      </c>
      <c r="K191" s="6">
        <f>(Indices!K195-Indices!K194)/Indices!K194</f>
        <v>1.0041394455665858E-2</v>
      </c>
      <c r="L191" s="6">
        <f>(Indices!L195-Indices!L194)/Indices!L194</f>
        <v>1.4305435357204311E-2</v>
      </c>
      <c r="M191" s="10">
        <f>WEEKNUM(Rend_j[[#This Row],[Date]])-1</f>
        <v>38</v>
      </c>
      <c r="N191" s="7" t="str">
        <f>TEXT(Rend_j[[#This Row],[Date]],"ddd")</f>
        <v>Tue</v>
      </c>
      <c r="O191" s="7">
        <f>MONTH(Rend_j[[#This Row],[Date]])</f>
        <v>9</v>
      </c>
      <c r="P191" s="7">
        <f>YEAR(Rend_j[[#This Row],[Date]])</f>
        <v>2021</v>
      </c>
      <c r="Q191" s="7" t="str">
        <f>Rend_j[[#This Row],[Week]]&amp;","&amp;Rend_j[[#This Row],[Year]]</f>
        <v>38,2021</v>
      </c>
      <c r="R191" s="7" t="str">
        <f>Rend_j[[#This Row],[Month]]&amp;","&amp;Rend_j[[#This Row],[Year]]</f>
        <v>9,2021</v>
      </c>
    </row>
    <row r="192" spans="1:18" x14ac:dyDescent="0.25">
      <c r="A192" s="1">
        <v>44461</v>
      </c>
      <c r="B192" s="6">
        <f>(Indices!B196-Indices!B195)/Indices!B195</f>
        <v>-1.4495275561705969E-3</v>
      </c>
      <c r="C192" s="6">
        <f>(Indices!C196-Indices!C195)/Indices!C195</f>
        <v>7.3228491718967982E-3</v>
      </c>
      <c r="D192" s="6">
        <f>(Indices!D196-Indices!D195)/Indices!D195</f>
        <v>-9.3550945845247342E-4</v>
      </c>
      <c r="E192" s="6">
        <f>(Indices!E196-Indices!E195)/Indices!E195</f>
        <v>3.3131311218982163E-4</v>
      </c>
      <c r="F192" s="6">
        <f>(Indices!F196-Indices!F195)/Indices!F195</f>
        <v>-1.4133993452048237E-2</v>
      </c>
      <c r="G192" s="6">
        <f>(Indices!G196-Indices!G195)/Indices!G195</f>
        <v>6.4859654183049313E-3</v>
      </c>
      <c r="H192" s="6">
        <f>(Indices!H196-Indices!H195)/Indices!H195</f>
        <v>1.3490340785760745E-2</v>
      </c>
      <c r="I192" s="6">
        <f>(Indices!I196-Indices!I195)/Indices!I195</f>
        <v>1.0194073238548684E-2</v>
      </c>
      <c r="J192" s="6">
        <f>(Indices!J196-Indices!J195)/Indices!J195</f>
        <v>1.2860291856555324E-2</v>
      </c>
      <c r="K192" s="6">
        <f>(Indices!K196-Indices!K195)/Indices!K195</f>
        <v>9.854406272304949E-3</v>
      </c>
      <c r="L192" s="6">
        <f>(Indices!L196-Indices!L195)/Indices!L195</f>
        <v>1.0307824737410518E-2</v>
      </c>
      <c r="M192" s="10">
        <f>WEEKNUM(Rend_j[[#This Row],[Date]])-1</f>
        <v>38</v>
      </c>
      <c r="N192" s="7" t="str">
        <f>TEXT(Rend_j[[#This Row],[Date]],"ddd")</f>
        <v>Wed</v>
      </c>
      <c r="O192" s="7">
        <f>MONTH(Rend_j[[#This Row],[Date]])</f>
        <v>9</v>
      </c>
      <c r="P192" s="7">
        <f>YEAR(Rend_j[[#This Row],[Date]])</f>
        <v>2021</v>
      </c>
      <c r="Q192" s="7" t="str">
        <f>Rend_j[[#This Row],[Week]]&amp;","&amp;Rend_j[[#This Row],[Year]]</f>
        <v>38,2021</v>
      </c>
      <c r="R192" s="7" t="str">
        <f>Rend_j[[#This Row],[Month]]&amp;","&amp;Rend_j[[#This Row],[Year]]</f>
        <v>9,2021</v>
      </c>
    </row>
    <row r="193" spans="1:18" x14ac:dyDescent="0.25">
      <c r="A193" s="1">
        <v>44462</v>
      </c>
      <c r="B193" s="6">
        <f>(Indices!B197-Indices!B196)/Indices!B196</f>
        <v>7.3608135628616461E-3</v>
      </c>
      <c r="C193" s="6">
        <f>(Indices!C197-Indices!C196)/Indices!C196</f>
        <v>9.052445879679346E-3</v>
      </c>
      <c r="D193" s="6">
        <f>(Indices!D197-Indices!D196)/Indices!D196</f>
        <v>4.8029452354051228E-3</v>
      </c>
      <c r="E193" s="6">
        <f>(Indices!E197-Indices!E196)/Indices!E196</f>
        <v>6.333081776480216E-3</v>
      </c>
      <c r="F193" s="6">
        <f>(Indices!F197-Indices!F196)/Indices!F196</f>
        <v>-5.939845564015305E-3</v>
      </c>
      <c r="G193" s="6">
        <f>(Indices!G197-Indices!G196)/Indices!G196</f>
        <v>8.7329987443485278E-3</v>
      </c>
      <c r="H193" s="6">
        <f>(Indices!H197-Indices!H196)/Indices!H196</f>
        <v>5.1615390381546892E-3</v>
      </c>
      <c r="I193" s="6">
        <f>(Indices!I197-Indices!I196)/Indices!I196</f>
        <v>1.2361256204504919E-2</v>
      </c>
      <c r="J193" s="6">
        <f>(Indices!J197-Indices!J196)/Indices!J196</f>
        <v>9.7905650143137058E-3</v>
      </c>
      <c r="K193" s="6">
        <f>(Indices!K197-Indices!K196)/Indices!K196</f>
        <v>9.2832208303137622E-3</v>
      </c>
      <c r="L193" s="6">
        <f>(Indices!L197-Indices!L196)/Indices!L196</f>
        <v>8.8496678195789501E-3</v>
      </c>
      <c r="M193" s="10">
        <f>WEEKNUM(Rend_j[[#This Row],[Date]])-1</f>
        <v>38</v>
      </c>
      <c r="N193" s="7" t="str">
        <f>TEXT(Rend_j[[#This Row],[Date]],"ddd")</f>
        <v>Thu</v>
      </c>
      <c r="O193" s="7">
        <f>MONTH(Rend_j[[#This Row],[Date]])</f>
        <v>9</v>
      </c>
      <c r="P193" s="7">
        <f>YEAR(Rend_j[[#This Row],[Date]])</f>
        <v>2021</v>
      </c>
      <c r="Q193" s="7" t="str">
        <f>Rend_j[[#This Row],[Week]]&amp;","&amp;Rend_j[[#This Row],[Year]]</f>
        <v>38,2021</v>
      </c>
      <c r="R193" s="7" t="str">
        <f>Rend_j[[#This Row],[Month]]&amp;","&amp;Rend_j[[#This Row],[Year]]</f>
        <v>9,2021</v>
      </c>
    </row>
    <row r="194" spans="1:18" x14ac:dyDescent="0.25">
      <c r="A194" s="1">
        <v>44463</v>
      </c>
      <c r="B194" s="6">
        <f>(Indices!B198-Indices!B197)/Indices!B197</f>
        <v>-6.3352555166029129E-3</v>
      </c>
      <c r="C194" s="6">
        <f>(Indices!C198-Indices!C197)/Indices!C197</f>
        <v>2.1409469059984719E-3</v>
      </c>
      <c r="D194" s="6">
        <f>(Indices!D198-Indices!D197)/Indices!D197</f>
        <v>1.4986695386975952E-3</v>
      </c>
      <c r="E194" s="6">
        <f>(Indices!E198-Indices!E197)/Indices!E197</f>
        <v>-2.7740033570142482E-3</v>
      </c>
      <c r="F194" s="6">
        <f>(Indices!F198-Indices!F197)/Indices!F197</f>
        <v>2.0164050192840399E-2</v>
      </c>
      <c r="G194" s="6">
        <f>(Indices!G198-Indices!G197)/Indices!G197</f>
        <v>1.5587794420542621E-3</v>
      </c>
      <c r="H194" s="6">
        <f>(Indices!H198-Indices!H197)/Indices!H197</f>
        <v>-5.3587599211633741E-3</v>
      </c>
      <c r="I194" s="6">
        <f>(Indices!I198-Indices!I197)/Indices!I197</f>
        <v>6.102767093863231E-4</v>
      </c>
      <c r="J194" s="6">
        <f>(Indices!J198-Indices!J197)/Indices!J197</f>
        <v>-9.4777989772509737E-3</v>
      </c>
      <c r="K194" s="6">
        <f>(Indices!K198-Indices!K197)/Indices!K197</f>
        <v>-9.0053283422459936E-3</v>
      </c>
      <c r="L194" s="6">
        <f>(Indices!L198-Indices!L197)/Indices!L197</f>
        <v>-7.1733538185515715E-3</v>
      </c>
      <c r="M194" s="10">
        <f>WEEKNUM(Rend_j[[#This Row],[Date]])-1</f>
        <v>38</v>
      </c>
      <c r="N194" s="7" t="str">
        <f>TEXT(Rend_j[[#This Row],[Date]],"ddd")</f>
        <v>Fri</v>
      </c>
      <c r="O194" s="7">
        <f>MONTH(Rend_j[[#This Row],[Date]])</f>
        <v>9</v>
      </c>
      <c r="P194" s="7">
        <f>YEAR(Rend_j[[#This Row],[Date]])</f>
        <v>2021</v>
      </c>
      <c r="Q194" s="7" t="str">
        <f>Rend_j[[#This Row],[Week]]&amp;","&amp;Rend_j[[#This Row],[Year]]</f>
        <v>38,2021</v>
      </c>
      <c r="R194" s="7" t="str">
        <f>Rend_j[[#This Row],[Month]]&amp;","&amp;Rend_j[[#This Row],[Year]]</f>
        <v>9,2021</v>
      </c>
    </row>
    <row r="195" spans="1:18" x14ac:dyDescent="0.25">
      <c r="A195" s="1">
        <v>44466</v>
      </c>
      <c r="B195" s="6">
        <f>(Indices!B199-Indices!B198)/Indices!B198</f>
        <v>2.6160204911619086E-3</v>
      </c>
      <c r="C195" s="6">
        <f>(Indices!C199-Indices!C198)/Indices!C198</f>
        <v>-1.4599781188090963E-3</v>
      </c>
      <c r="D195" s="6">
        <f>(Indices!D199-Indices!D198)/Indices!D198</f>
        <v>2.8871786411898783E-3</v>
      </c>
      <c r="E195" s="6">
        <f>(Indices!E199-Indices!E198)/Indices!E198</f>
        <v>2.8948745632935767E-3</v>
      </c>
      <c r="F195" s="6">
        <f>(Indices!F199-Indices!F198)/Indices!F198</f>
        <v>-1.7678192990489645E-3</v>
      </c>
      <c r="G195" s="6">
        <f>(Indices!G199-Indices!G198)/Indices!G198</f>
        <v>-9.4799465540028164E-4</v>
      </c>
      <c r="H195" s="6">
        <f>(Indices!H199-Indices!H198)/Indices!H198</f>
        <v>5.4304749255586326E-3</v>
      </c>
      <c r="I195" s="6">
        <f>(Indices!I199-Indices!I198)/Indices!I198</f>
        <v>-1.7561856654499026E-3</v>
      </c>
      <c r="J195" s="6">
        <f>(Indices!J199-Indices!J198)/Indices!J198</f>
        <v>1.8754643506390728E-3</v>
      </c>
      <c r="K195" s="6">
        <f>(Indices!K199-Indices!K198)/Indices!K198</f>
        <v>-1.8778647997997613E-3</v>
      </c>
      <c r="L195" s="6">
        <f>(Indices!L199-Indices!L198)/Indices!L198</f>
        <v>2.7125005231220184E-3</v>
      </c>
      <c r="M195" s="10">
        <f>WEEKNUM(Rend_j[[#This Row],[Date]])-1</f>
        <v>39</v>
      </c>
      <c r="N195" s="7" t="str">
        <f>TEXT(Rend_j[[#This Row],[Date]],"ddd")</f>
        <v>Mon</v>
      </c>
      <c r="O195" s="7">
        <f>MONTH(Rend_j[[#This Row],[Date]])</f>
        <v>9</v>
      </c>
      <c r="P195" s="7">
        <f>YEAR(Rend_j[[#This Row],[Date]])</f>
        <v>2021</v>
      </c>
      <c r="Q195" s="7" t="str">
        <f>Rend_j[[#This Row],[Week]]&amp;","&amp;Rend_j[[#This Row],[Year]]</f>
        <v>39,2021</v>
      </c>
      <c r="R195" s="7" t="str">
        <f>Rend_j[[#This Row],[Month]]&amp;","&amp;Rend_j[[#This Row],[Year]]</f>
        <v>9,2021</v>
      </c>
    </row>
    <row r="196" spans="1:18" x14ac:dyDescent="0.25">
      <c r="A196" s="1">
        <v>44467</v>
      </c>
      <c r="B196" s="6">
        <f>(Indices!B200-Indices!B199)/Indices!B199</f>
        <v>9.1488780603029615E-3</v>
      </c>
      <c r="C196" s="6">
        <f>(Indices!C200-Indices!C199)/Indices!C199</f>
        <v>-1.8041361134451327E-2</v>
      </c>
      <c r="D196" s="6">
        <f>(Indices!D200-Indices!D199)/Indices!D199</f>
        <v>-1.0614093097347023E-2</v>
      </c>
      <c r="E196" s="6">
        <f>(Indices!E200-Indices!E199)/Indices!E199</f>
        <v>-2.8042479773215168E-3</v>
      </c>
      <c r="F196" s="6">
        <f>(Indices!F200-Indices!F199)/Indices!F199</f>
        <v>-4.4540459806902861E-3</v>
      </c>
      <c r="G196" s="6">
        <f>(Indices!G200-Indices!G199)/Indices!G199</f>
        <v>-1.6243275552899034E-2</v>
      </c>
      <c r="H196" s="6">
        <f>(Indices!H200-Indices!H199)/Indices!H199</f>
        <v>-1.4488276214724771E-2</v>
      </c>
      <c r="I196" s="6">
        <f>(Indices!I200-Indices!I199)/Indices!I199</f>
        <v>-2.1061774359858596E-2</v>
      </c>
      <c r="J196" s="6">
        <f>(Indices!J200-Indices!J199)/Indices!J199</f>
        <v>-2.1712841192076976E-2</v>
      </c>
      <c r="K196" s="6">
        <f>(Indices!K200-Indices!K199)/Indices!K199</f>
        <v>-2.1776754285935233E-2</v>
      </c>
      <c r="L196" s="6">
        <f>(Indices!L200-Indices!L199)/Indices!L199</f>
        <v>-2.0888841605731002E-2</v>
      </c>
      <c r="M196" s="10">
        <f>WEEKNUM(Rend_j[[#This Row],[Date]])-1</f>
        <v>39</v>
      </c>
      <c r="N196" s="7" t="str">
        <f>TEXT(Rend_j[[#This Row],[Date]],"ddd")</f>
        <v>Tue</v>
      </c>
      <c r="O196" s="7">
        <f>MONTH(Rend_j[[#This Row],[Date]])</f>
        <v>9</v>
      </c>
      <c r="P196" s="7">
        <f>YEAR(Rend_j[[#This Row],[Date]])</f>
        <v>2021</v>
      </c>
      <c r="Q196" s="7" t="str">
        <f>Rend_j[[#This Row],[Week]]&amp;","&amp;Rend_j[[#This Row],[Year]]</f>
        <v>39,2021</v>
      </c>
      <c r="R196" s="7" t="str">
        <f>Rend_j[[#This Row],[Month]]&amp;","&amp;Rend_j[[#This Row],[Year]]</f>
        <v>9,2021</v>
      </c>
    </row>
    <row r="197" spans="1:18" x14ac:dyDescent="0.25">
      <c r="A197" s="1">
        <v>44468</v>
      </c>
      <c r="B197" s="6">
        <f>(Indices!B201-Indices!B200)/Indices!B200</f>
        <v>-5.1944170727145278E-3</v>
      </c>
      <c r="C197" s="6">
        <f>(Indices!C201-Indices!C200)/Indices!C200</f>
        <v>3.6828594369031388E-3</v>
      </c>
      <c r="D197" s="6">
        <f>(Indices!D201-Indices!D200)/Indices!D200</f>
        <v>-2.7434934796852144E-3</v>
      </c>
      <c r="E197" s="6">
        <f>(Indices!E201-Indices!E200)/Indices!E200</f>
        <v>-2.6636305992225862E-3</v>
      </c>
      <c r="F197" s="6">
        <f>(Indices!F201-Indices!F200)/Indices!F200</f>
        <v>-2.1116082192514814E-2</v>
      </c>
      <c r="G197" s="6">
        <f>(Indices!G201-Indices!G200)/Indices!G200</f>
        <v>2.9240654383059475E-3</v>
      </c>
      <c r="H197" s="6">
        <f>(Indices!H201-Indices!H200)/Indices!H200</f>
        <v>8.9937195299916069E-3</v>
      </c>
      <c r="I197" s="6">
        <f>(Indices!I201-Indices!I200)/Indices!I200</f>
        <v>6.8571304011491184E-4</v>
      </c>
      <c r="J197" s="6">
        <f>(Indices!J201-Indices!J200)/Indices!J200</f>
        <v>8.3454706831629366E-3</v>
      </c>
      <c r="K197" s="6">
        <f>(Indices!K201-Indices!K200)/Indices!K200</f>
        <v>5.9246003414443809E-3</v>
      </c>
      <c r="L197" s="6">
        <f>(Indices!L201-Indices!L200)/Indices!L200</f>
        <v>7.6538350697475189E-3</v>
      </c>
      <c r="M197" s="10">
        <f>WEEKNUM(Rend_j[[#This Row],[Date]])-1</f>
        <v>39</v>
      </c>
      <c r="N197" s="7" t="str">
        <f>TEXT(Rend_j[[#This Row],[Date]],"ddd")</f>
        <v>Wed</v>
      </c>
      <c r="O197" s="7">
        <f>MONTH(Rend_j[[#This Row],[Date]])</f>
        <v>9</v>
      </c>
      <c r="P197" s="7">
        <f>YEAR(Rend_j[[#This Row],[Date]])</f>
        <v>2021</v>
      </c>
      <c r="Q197" s="7" t="str">
        <f>Rend_j[[#This Row],[Week]]&amp;","&amp;Rend_j[[#This Row],[Year]]</f>
        <v>39,2021</v>
      </c>
      <c r="R197" s="7" t="str">
        <f>Rend_j[[#This Row],[Month]]&amp;","&amp;Rend_j[[#This Row],[Year]]</f>
        <v>9,2021</v>
      </c>
    </row>
    <row r="198" spans="1:18" x14ac:dyDescent="0.25">
      <c r="A198" s="1">
        <v>44469</v>
      </c>
      <c r="B198" s="6">
        <f>(Indices!B202-Indices!B201)/Indices!B201</f>
        <v>7.4721976545261025E-3</v>
      </c>
      <c r="C198" s="6">
        <f>(Indices!C202-Indices!C201)/Indices!C201</f>
        <v>-5.0852550138961354E-3</v>
      </c>
      <c r="D198" s="6">
        <f>(Indices!D202-Indices!D201)/Indices!D201</f>
        <v>3.8503942087521098E-3</v>
      </c>
      <c r="E198" s="6">
        <f>(Indices!E202-Indices!E201)/Indices!E201</f>
        <v>3.6988629246306401E-3</v>
      </c>
      <c r="F198" s="6">
        <f>(Indices!F202-Indices!F201)/Indices!F201</f>
        <v>1.3629347433414543E-3</v>
      </c>
      <c r="G198" s="6">
        <f>(Indices!G202-Indices!G201)/Indices!G201</f>
        <v>-4.0401057167304697E-3</v>
      </c>
      <c r="H198" s="6">
        <f>(Indices!H202-Indices!H201)/Indices!H201</f>
        <v>4.403209736343101E-3</v>
      </c>
      <c r="I198" s="6">
        <f>(Indices!I202-Indices!I201)/Indices!I201</f>
        <v>-1.0995346804996529E-2</v>
      </c>
      <c r="J198" s="6">
        <f>(Indices!J202-Indices!J201)/Indices!J201</f>
        <v>-6.2172357353311326E-3</v>
      </c>
      <c r="K198" s="6">
        <f>(Indices!K202-Indices!K201)/Indices!K201</f>
        <v>-4.834868041303974E-4</v>
      </c>
      <c r="L198" s="6">
        <f>(Indices!L202-Indices!L201)/Indices!L201</f>
        <v>-6.8062001643259826E-3</v>
      </c>
      <c r="M198" s="10">
        <f>WEEKNUM(Rend_j[[#This Row],[Date]])-1</f>
        <v>39</v>
      </c>
      <c r="N198" s="7" t="str">
        <f>TEXT(Rend_j[[#This Row],[Date]],"ddd")</f>
        <v>Thu</v>
      </c>
      <c r="O198" s="7">
        <f>MONTH(Rend_j[[#This Row],[Date]])</f>
        <v>9</v>
      </c>
      <c r="P198" s="7">
        <f>YEAR(Rend_j[[#This Row],[Date]])</f>
        <v>2021</v>
      </c>
      <c r="Q198" s="7" t="str">
        <f>Rend_j[[#This Row],[Week]]&amp;","&amp;Rend_j[[#This Row],[Year]]</f>
        <v>39,2021</v>
      </c>
      <c r="R198" s="7" t="str">
        <f>Rend_j[[#This Row],[Month]]&amp;","&amp;Rend_j[[#This Row],[Year]]</f>
        <v>9,2021</v>
      </c>
    </row>
    <row r="199" spans="1:18" x14ac:dyDescent="0.25">
      <c r="A199" s="1">
        <v>44470</v>
      </c>
      <c r="B199" s="6">
        <f>(Indices!B203-Indices!B202)/Indices!B202</f>
        <v>-2.0275283720169921E-3</v>
      </c>
      <c r="C199" s="6">
        <f>(Indices!C203-Indices!C202)/Indices!C202</f>
        <v>4.7903784738737723E-3</v>
      </c>
      <c r="D199" s="6">
        <f>(Indices!D203-Indices!D202)/Indices!D202</f>
        <v>-7.4211748384313833E-3</v>
      </c>
      <c r="E199" s="6">
        <f>(Indices!E203-Indices!E202)/Indices!E202</f>
        <v>-5.7856961202633434E-3</v>
      </c>
      <c r="F199" s="6">
        <f>(Indices!F203-Indices!F202)/Indices!F202</f>
        <v>-1.7027161465593157E-2</v>
      </c>
      <c r="G199" s="6">
        <f>(Indices!G203-Indices!G202)/Indices!G202</f>
        <v>3.5242458227991102E-3</v>
      </c>
      <c r="H199" s="6">
        <f>(Indices!H203-Indices!H202)/Indices!H202</f>
        <v>-5.0558921409675477E-3</v>
      </c>
      <c r="I199" s="6">
        <f>(Indices!I203-Indices!I202)/Indices!I202</f>
        <v>1.1767699943413571E-2</v>
      </c>
      <c r="J199" s="6">
        <f>(Indices!J203-Indices!J202)/Indices!J202</f>
        <v>-3.5580084743089198E-4</v>
      </c>
      <c r="K199" s="6">
        <f>(Indices!K203-Indices!K202)/Indices!K202</f>
        <v>-4.1995646718391072E-3</v>
      </c>
      <c r="L199" s="6">
        <f>(Indices!L203-Indices!L202)/Indices!L202</f>
        <v>-6.8312767681245725E-3</v>
      </c>
      <c r="M199" s="10">
        <f>WEEKNUM(Rend_j[[#This Row],[Date]])-1</f>
        <v>39</v>
      </c>
      <c r="N199" s="7" t="str">
        <f>TEXT(Rend_j[[#This Row],[Date]],"ddd")</f>
        <v>Fri</v>
      </c>
      <c r="O199" s="7">
        <f>MONTH(Rend_j[[#This Row],[Date]])</f>
        <v>10</v>
      </c>
      <c r="P199" s="7">
        <f>YEAR(Rend_j[[#This Row],[Date]])</f>
        <v>2021</v>
      </c>
      <c r="Q199" s="7" t="str">
        <f>Rend_j[[#This Row],[Week]]&amp;","&amp;Rend_j[[#This Row],[Year]]</f>
        <v>39,2021</v>
      </c>
      <c r="R199" s="7" t="str">
        <f>Rend_j[[#This Row],[Month]]&amp;","&amp;Rend_j[[#This Row],[Year]]</f>
        <v>10,2021</v>
      </c>
    </row>
    <row r="200" spans="1:18" x14ac:dyDescent="0.25">
      <c r="A200" s="1">
        <v>44473</v>
      </c>
      <c r="B200" s="6">
        <f>(Indices!B204-Indices!B203)/Indices!B203</f>
        <v>-1.5238053448977771E-2</v>
      </c>
      <c r="C200" s="6">
        <f>(Indices!C204-Indices!C203)/Indices!C203</f>
        <v>-1.2247581478350674E-2</v>
      </c>
      <c r="D200" s="6">
        <f>(Indices!D204-Indices!D203)/Indices!D203</f>
        <v>-3.7386939547514892E-3</v>
      </c>
      <c r="E200" s="6">
        <f>(Indices!E204-Indices!E203)/Indices!E203</f>
        <v>-1.0516068979728139E-2</v>
      </c>
      <c r="F200" s="6">
        <f>(Indices!F204-Indices!F203)/Indices!F203</f>
        <v>-8.786173454634498E-3</v>
      </c>
      <c r="G200" s="6">
        <f>(Indices!G204-Indices!G203)/Indices!G203</f>
        <v>-1.2043400186390366E-2</v>
      </c>
      <c r="H200" s="6">
        <f>(Indices!H204-Indices!H203)/Indices!H203</f>
        <v>6.539591329144368E-4</v>
      </c>
      <c r="I200" s="6">
        <f>(Indices!I204-Indices!I203)/Indices!I203</f>
        <v>-1.3405857872864795E-2</v>
      </c>
      <c r="J200" s="6">
        <f>(Indices!J204-Indices!J203)/Indices!J203</f>
        <v>-6.1417136074837595E-3</v>
      </c>
      <c r="K200" s="6">
        <f>(Indices!K204-Indices!K203)/Indices!K203</f>
        <v>-4.7030360525904154E-3</v>
      </c>
      <c r="L200" s="6">
        <f>(Indices!L204-Indices!L203)/Indices!L203</f>
        <v>-7.9102095609925559E-3</v>
      </c>
      <c r="M200" s="10">
        <f>WEEKNUM(Rend_j[[#This Row],[Date]])-1</f>
        <v>40</v>
      </c>
      <c r="N200" s="7" t="str">
        <f>TEXT(Rend_j[[#This Row],[Date]],"ddd")</f>
        <v>Mon</v>
      </c>
      <c r="O200" s="7">
        <f>MONTH(Rend_j[[#This Row],[Date]])</f>
        <v>10</v>
      </c>
      <c r="P200" s="7">
        <f>YEAR(Rend_j[[#This Row],[Date]])</f>
        <v>2021</v>
      </c>
      <c r="Q200" s="7" t="str">
        <f>Rend_j[[#This Row],[Week]]&amp;","&amp;Rend_j[[#This Row],[Year]]</f>
        <v>40,2021</v>
      </c>
      <c r="R200" s="7" t="str">
        <f>Rend_j[[#This Row],[Month]]&amp;","&amp;Rend_j[[#This Row],[Year]]</f>
        <v>10,2021</v>
      </c>
    </row>
    <row r="201" spans="1:18" x14ac:dyDescent="0.25">
      <c r="A201" s="1">
        <v>44474</v>
      </c>
      <c r="B201" s="6">
        <f>(Indices!B205-Indices!B204)/Indices!B204</f>
        <v>3.4479051589148329E-3</v>
      </c>
      <c r="C201" s="6">
        <f>(Indices!C205-Indices!C204)/Indices!C204</f>
        <v>1.0482475324724613E-2</v>
      </c>
      <c r="D201" s="6">
        <f>(Indices!D205-Indices!D204)/Indices!D204</f>
        <v>2.1423971189358211E-3</v>
      </c>
      <c r="E201" s="6">
        <f>(Indices!E205-Indices!E204)/Indices!E204</f>
        <v>2.7527042327015932E-3</v>
      </c>
      <c r="F201" s="6">
        <f>(Indices!F205-Indices!F204)/Indices!F204</f>
        <v>-1.6903415466092055E-2</v>
      </c>
      <c r="G201" s="6">
        <f>(Indices!G205-Indices!G204)/Indices!G204</f>
        <v>9.5635068236808816E-3</v>
      </c>
      <c r="H201" s="6">
        <f>(Indices!H205-Indices!H204)/Indices!H204</f>
        <v>1.3724166747018995E-2</v>
      </c>
      <c r="I201" s="6">
        <f>(Indices!I205-Indices!I204)/Indices!I204</f>
        <v>9.9469066342027825E-3</v>
      </c>
      <c r="J201" s="6">
        <f>(Indices!J205-Indices!J204)/Indices!J204</f>
        <v>1.5224575946401317E-2</v>
      </c>
      <c r="K201" s="6">
        <f>(Indices!K205-Indices!K204)/Indices!K204</f>
        <v>1.1668944535701923E-2</v>
      </c>
      <c r="L201" s="6">
        <f>(Indices!L205-Indices!L204)/Indices!L204</f>
        <v>1.0503767286758916E-2</v>
      </c>
      <c r="M201" s="10">
        <f>WEEKNUM(Rend_j[[#This Row],[Date]])-1</f>
        <v>40</v>
      </c>
      <c r="N201" s="7" t="str">
        <f>TEXT(Rend_j[[#This Row],[Date]],"ddd")</f>
        <v>Tue</v>
      </c>
      <c r="O201" s="7">
        <f>MONTH(Rend_j[[#This Row],[Date]])</f>
        <v>10</v>
      </c>
      <c r="P201" s="7">
        <f>YEAR(Rend_j[[#This Row],[Date]])</f>
        <v>2021</v>
      </c>
      <c r="Q201" s="7" t="str">
        <f>Rend_j[[#This Row],[Week]]&amp;","&amp;Rend_j[[#This Row],[Year]]</f>
        <v>40,2021</v>
      </c>
      <c r="R201" s="7" t="str">
        <f>Rend_j[[#This Row],[Month]]&amp;","&amp;Rend_j[[#This Row],[Year]]</f>
        <v>10,2021</v>
      </c>
    </row>
    <row r="202" spans="1:18" x14ac:dyDescent="0.25">
      <c r="A202" s="1">
        <v>44475</v>
      </c>
      <c r="B202" s="6">
        <f>(Indices!B206-Indices!B205)/Indices!B205</f>
        <v>1.1573348031438716E-3</v>
      </c>
      <c r="C202" s="6">
        <f>(Indices!C206-Indices!C205)/Indices!C205</f>
        <v>4.2947856559429507E-3</v>
      </c>
      <c r="D202" s="6">
        <f>(Indices!D206-Indices!D205)/Indices!D205</f>
        <v>-4.2581468754643217E-3</v>
      </c>
      <c r="E202" s="6">
        <f>(Indices!E206-Indices!E205)/Indices!E205</f>
        <v>-3.2440484005337054E-3</v>
      </c>
      <c r="F202" s="6">
        <f>(Indices!F206-Indices!F205)/Indices!F205</f>
        <v>2.9332039832224246E-3</v>
      </c>
      <c r="G202" s="6">
        <f>(Indices!G206-Indices!G205)/Indices!G205</f>
        <v>3.4070579655647529E-3</v>
      </c>
      <c r="H202" s="6">
        <f>(Indices!H206-Indices!H205)/Indices!H205</f>
        <v>-1.1107588247727772E-2</v>
      </c>
      <c r="I202" s="6">
        <f>(Indices!I206-Indices!I205)/Indices!I205</f>
        <v>3.4831828402508407E-3</v>
      </c>
      <c r="J202" s="6">
        <f>(Indices!J206-Indices!J205)/Indices!J205</f>
        <v>-1.2645396898970188E-2</v>
      </c>
      <c r="K202" s="6">
        <f>(Indices!K206-Indices!K205)/Indices!K205</f>
        <v>-1.0306365831867037E-2</v>
      </c>
      <c r="L202" s="6">
        <f>(Indices!L206-Indices!L205)/Indices!L205</f>
        <v>-1.4555285939329582E-2</v>
      </c>
      <c r="M202" s="10">
        <f>WEEKNUM(Rend_j[[#This Row],[Date]])-1</f>
        <v>40</v>
      </c>
      <c r="N202" s="7" t="str">
        <f>TEXT(Rend_j[[#This Row],[Date]],"ddd")</f>
        <v>Wed</v>
      </c>
      <c r="O202" s="7">
        <f>MONTH(Rend_j[[#This Row],[Date]])</f>
        <v>10</v>
      </c>
      <c r="P202" s="7">
        <f>YEAR(Rend_j[[#This Row],[Date]])</f>
        <v>2021</v>
      </c>
      <c r="Q202" s="7" t="str">
        <f>Rend_j[[#This Row],[Week]]&amp;","&amp;Rend_j[[#This Row],[Year]]</f>
        <v>40,2021</v>
      </c>
      <c r="R202" s="7" t="str">
        <f>Rend_j[[#This Row],[Month]]&amp;","&amp;Rend_j[[#This Row],[Year]]</f>
        <v>10,2021</v>
      </c>
    </row>
    <row r="203" spans="1:18" x14ac:dyDescent="0.25">
      <c r="A203" s="1">
        <v>44476</v>
      </c>
      <c r="B203" s="6">
        <f>(Indices!B207-Indices!B206)/Indices!B206</f>
        <v>2.0984653119959683E-2</v>
      </c>
      <c r="C203" s="6">
        <f>(Indices!C207-Indices!C206)/Indices!C206</f>
        <v>8.5790744044495267E-3</v>
      </c>
      <c r="D203" s="6">
        <f>(Indices!D207-Indices!D206)/Indices!D206</f>
        <v>1.1421666481289604E-2</v>
      </c>
      <c r="E203" s="6">
        <f>(Indices!E207-Indices!E206)/Indices!E206</f>
        <v>1.9716832470387639E-2</v>
      </c>
      <c r="F203" s="6">
        <f>(Indices!F207-Indices!F206)/Indices!F206</f>
        <v>-3.9601932301179411E-3</v>
      </c>
      <c r="G203" s="6">
        <f>(Indices!G207-Indices!G206)/Indices!G206</f>
        <v>9.883637299658736E-3</v>
      </c>
      <c r="H203" s="6">
        <f>(Indices!H207-Indices!H206)/Indices!H206</f>
        <v>1.3840053863993434E-2</v>
      </c>
      <c r="I203" s="6">
        <f>(Indices!I207-Indices!I206)/Indices!I206</f>
        <v>9.4708678191149087E-3</v>
      </c>
      <c r="J203" s="6">
        <f>(Indices!J207-Indices!J206)/Indices!J206</f>
        <v>1.6489734067859575E-2</v>
      </c>
      <c r="K203" s="6">
        <f>(Indices!K207-Indices!K206)/Indices!K206</f>
        <v>1.6041522186736417E-2</v>
      </c>
      <c r="L203" s="6">
        <f>(Indices!L207-Indices!L206)/Indices!L206</f>
        <v>1.8534973083288973E-2</v>
      </c>
      <c r="M203" s="10">
        <f>WEEKNUM(Rend_j[[#This Row],[Date]])-1</f>
        <v>40</v>
      </c>
      <c r="N203" s="7" t="str">
        <f>TEXT(Rend_j[[#This Row],[Date]],"ddd")</f>
        <v>Thu</v>
      </c>
      <c r="O203" s="7">
        <f>MONTH(Rend_j[[#This Row],[Date]])</f>
        <v>10</v>
      </c>
      <c r="P203" s="7">
        <f>YEAR(Rend_j[[#This Row],[Date]])</f>
        <v>2021</v>
      </c>
      <c r="Q203" s="7" t="str">
        <f>Rend_j[[#This Row],[Week]]&amp;","&amp;Rend_j[[#This Row],[Year]]</f>
        <v>40,2021</v>
      </c>
      <c r="R203" s="7" t="str">
        <f>Rend_j[[#This Row],[Month]]&amp;","&amp;Rend_j[[#This Row],[Year]]</f>
        <v>10,2021</v>
      </c>
    </row>
    <row r="204" spans="1:18" x14ac:dyDescent="0.25">
      <c r="A204" s="1">
        <v>44477</v>
      </c>
      <c r="B204" s="6">
        <f>(Indices!B208-Indices!B207)/Indices!B207</f>
        <v>7.7387938155845746E-3</v>
      </c>
      <c r="C204" s="6">
        <f>(Indices!C208-Indices!C207)/Indices!C207</f>
        <v>-2.0921512740569087E-3</v>
      </c>
      <c r="D204" s="6">
        <f>(Indices!D208-Indices!D207)/Indices!D207</f>
        <v>-1.2709274973244048E-3</v>
      </c>
      <c r="E204" s="6">
        <f>(Indices!E208-Indices!E207)/Indices!E207</f>
        <v>1.8318674479502405E-3</v>
      </c>
      <c r="F204" s="6">
        <f>(Indices!F208-Indices!F207)/Indices!F207</f>
        <v>5.6497175141243189E-3</v>
      </c>
      <c r="G204" s="6">
        <f>(Indices!G208-Indices!G207)/Indices!G207</f>
        <v>-1.6267781172105849E-3</v>
      </c>
      <c r="H204" s="6">
        <f>(Indices!H208-Indices!H207)/Indices!H207</f>
        <v>3.0148423005566007E-3</v>
      </c>
      <c r="I204" s="6">
        <f>(Indices!I208-Indices!I207)/Indices!I207</f>
        <v>-2.7918351814046525E-3</v>
      </c>
      <c r="J204" s="6">
        <f>(Indices!J208-Indices!J207)/Indices!J207</f>
        <v>-6.0906894133881664E-3</v>
      </c>
      <c r="K204" s="6">
        <f>(Indices!K208-Indices!K207)/Indices!K207</f>
        <v>-2.7912815501690189E-3</v>
      </c>
      <c r="L204" s="6">
        <f>(Indices!L208-Indices!L207)/Indices!L207</f>
        <v>-2.9329801056109219E-3</v>
      </c>
      <c r="M204" s="10">
        <f>WEEKNUM(Rend_j[[#This Row],[Date]])-1</f>
        <v>40</v>
      </c>
      <c r="N204" s="7" t="str">
        <f>TEXT(Rend_j[[#This Row],[Date]],"ddd")</f>
        <v>Fri</v>
      </c>
      <c r="O204" s="7">
        <f>MONTH(Rend_j[[#This Row],[Date]])</f>
        <v>10</v>
      </c>
      <c r="P204" s="7">
        <f>YEAR(Rend_j[[#This Row],[Date]])</f>
        <v>2021</v>
      </c>
      <c r="Q204" s="7" t="str">
        <f>Rend_j[[#This Row],[Week]]&amp;","&amp;Rend_j[[#This Row],[Year]]</f>
        <v>40,2021</v>
      </c>
      <c r="R204" s="7" t="str">
        <f>Rend_j[[#This Row],[Month]]&amp;","&amp;Rend_j[[#This Row],[Year]]</f>
        <v>10,2021</v>
      </c>
    </row>
    <row r="205" spans="1:18" x14ac:dyDescent="0.25">
      <c r="A205" s="1">
        <v>44480</v>
      </c>
      <c r="B205" s="6">
        <f>(Indices!B209-Indices!B208)/Indices!B208</f>
        <v>1.1924124618785899E-2</v>
      </c>
      <c r="C205" s="6">
        <f>(Indices!C209-Indices!C208)/Indices!C208</f>
        <v>-3.8690986005704489E-3</v>
      </c>
      <c r="D205" s="6">
        <f>(Indices!D209-Indices!D208)/Indices!D208</f>
        <v>7.2126970512699853E-4</v>
      </c>
      <c r="E205" s="6">
        <f>(Indices!E209-Indices!E208)/Indices!E208</f>
        <v>6.9811873644728562E-3</v>
      </c>
      <c r="F205" s="6">
        <f>(Indices!F209-Indices!F208)/Indices!F208</f>
        <v>7.1801047477307121E-3</v>
      </c>
      <c r="G205" s="6">
        <f>(Indices!G209-Indices!G208)/Indices!G208</f>
        <v>-2.5830576945458745E-3</v>
      </c>
      <c r="H205" s="6">
        <f>(Indices!H209-Indices!H208)/Indices!H208</f>
        <v>7.3778244876510574E-3</v>
      </c>
      <c r="I205" s="6">
        <f>(Indices!I209-Indices!I208)/Indices!I208</f>
        <v>-6.707017798863798E-3</v>
      </c>
      <c r="J205" s="6">
        <f>(Indices!J209-Indices!J208)/Indices!J208</f>
        <v>1.6082043758726364E-3</v>
      </c>
      <c r="K205" s="6">
        <f>(Indices!K209-Indices!K208)/Indices!K208</f>
        <v>5.2480919170918845E-4</v>
      </c>
      <c r="L205" s="6">
        <f>(Indices!L209-Indices!L208)/Indices!L208</f>
        <v>-4.5969816482990919E-4</v>
      </c>
      <c r="M205" s="10">
        <f>WEEKNUM(Rend_j[[#This Row],[Date]])-1</f>
        <v>41</v>
      </c>
      <c r="N205" s="7" t="str">
        <f>TEXT(Rend_j[[#This Row],[Date]],"ddd")</f>
        <v>Mon</v>
      </c>
      <c r="O205" s="7">
        <f>MONTH(Rend_j[[#This Row],[Date]])</f>
        <v>10</v>
      </c>
      <c r="P205" s="7">
        <f>YEAR(Rend_j[[#This Row],[Date]])</f>
        <v>2021</v>
      </c>
      <c r="Q205" s="7" t="str">
        <f>Rend_j[[#This Row],[Week]]&amp;","&amp;Rend_j[[#This Row],[Year]]</f>
        <v>41,2021</v>
      </c>
      <c r="R205" s="7" t="str">
        <f>Rend_j[[#This Row],[Month]]&amp;","&amp;Rend_j[[#This Row],[Year]]</f>
        <v>10,2021</v>
      </c>
    </row>
    <row r="206" spans="1:18" x14ac:dyDescent="0.25">
      <c r="A206" s="1">
        <v>44481</v>
      </c>
      <c r="B206" s="6">
        <f>(Indices!B210-Indices!B209)/Indices!B209</f>
        <v>-1.3641445814742487E-2</v>
      </c>
      <c r="C206" s="6">
        <f>(Indices!C210-Indices!C209)/Indices!C209</f>
        <v>-2.3177656738908114E-4</v>
      </c>
      <c r="D206" s="6">
        <f>(Indices!D210-Indices!D209)/Indices!D209</f>
        <v>-3.9862027196424085E-3</v>
      </c>
      <c r="E206" s="6">
        <f>(Indices!E210-Indices!E209)/Indices!E209</f>
        <v>-7.4845246104671016E-3</v>
      </c>
      <c r="F206" s="6">
        <f>(Indices!F210-Indices!F209)/Indices!F209</f>
        <v>-6.9427994540513177E-3</v>
      </c>
      <c r="G206" s="6">
        <f>(Indices!G210-Indices!G209)/Indices!G209</f>
        <v>-1.0991368764187335E-3</v>
      </c>
      <c r="H206" s="6">
        <f>(Indices!H210-Indices!H209)/Indices!H209</f>
        <v>-2.0761173475774952E-3</v>
      </c>
      <c r="I206" s="6">
        <f>(Indices!I210-Indices!I209)/Indices!I209</f>
        <v>-7.0797360158820718E-4</v>
      </c>
      <c r="J206" s="6">
        <f>(Indices!J210-Indices!J209)/Indices!J209</f>
        <v>-3.4137492301796403E-3</v>
      </c>
      <c r="K206" s="6">
        <f>(Indices!K210-Indices!K209)/Indices!K209</f>
        <v>-6.9942517583414894E-4</v>
      </c>
      <c r="L206" s="6">
        <f>(Indices!L210-Indices!L209)/Indices!L209</f>
        <v>-3.4389795214493984E-3</v>
      </c>
      <c r="M206" s="10">
        <f>WEEKNUM(Rend_j[[#This Row],[Date]])-1</f>
        <v>41</v>
      </c>
      <c r="N206" s="7" t="str">
        <f>TEXT(Rend_j[[#This Row],[Date]],"ddd")</f>
        <v>Tue</v>
      </c>
      <c r="O206" s="7">
        <f>MONTH(Rend_j[[#This Row],[Date]])</f>
        <v>10</v>
      </c>
      <c r="P206" s="7">
        <f>YEAR(Rend_j[[#This Row],[Date]])</f>
        <v>2021</v>
      </c>
      <c r="Q206" s="7" t="str">
        <f>Rend_j[[#This Row],[Week]]&amp;","&amp;Rend_j[[#This Row],[Year]]</f>
        <v>41,2021</v>
      </c>
      <c r="R206" s="7" t="str">
        <f>Rend_j[[#This Row],[Month]]&amp;","&amp;Rend_j[[#This Row],[Year]]</f>
        <v>10,2021</v>
      </c>
    </row>
    <row r="207" spans="1:18" x14ac:dyDescent="0.25">
      <c r="A207" s="1">
        <v>44482</v>
      </c>
      <c r="B207" s="6">
        <f>(Indices!B211-Indices!B210)/Indices!B210</f>
        <v>7.5601485293598589E-3</v>
      </c>
      <c r="C207" s="6">
        <f>(Indices!C211-Indices!C210)/Indices!C210</f>
        <v>2.5127413185160189E-3</v>
      </c>
      <c r="D207" s="6">
        <f>(Indices!D211-Indices!D210)/Indices!D210</f>
        <v>2.3608360436314481E-3</v>
      </c>
      <c r="E207" s="6">
        <f>(Indices!E211-Indices!E210)/Indices!E210</f>
        <v>3.0492238552508912E-3</v>
      </c>
      <c r="F207" s="6">
        <f>(Indices!F211-Indices!F210)/Indices!F210</f>
        <v>-4.3106630697145321E-3</v>
      </c>
      <c r="G207" s="6">
        <f>(Indices!G211-Indices!G210)/Indices!G210</f>
        <v>2.5737552332394751E-3</v>
      </c>
      <c r="H207" s="6">
        <f>(Indices!H211-Indices!H210)/Indices!H210</f>
        <v>1.2231712544299731E-3</v>
      </c>
      <c r="I207" s="6">
        <f>(Indices!I211-Indices!I210)/Indices!I210</f>
        <v>4.0412324714116819E-3</v>
      </c>
      <c r="J207" s="6">
        <f>(Indices!J211-Indices!J210)/Indices!J210</f>
        <v>7.5243117526783525E-3</v>
      </c>
      <c r="K207" s="6">
        <f>(Indices!K211-Indices!K210)/Indices!K210</f>
        <v>6.9552810800234746E-3</v>
      </c>
      <c r="L207" s="6">
        <f>(Indices!L211-Indices!L210)/Indices!L210</f>
        <v>6.7677189536765386E-3</v>
      </c>
      <c r="M207" s="10">
        <f>WEEKNUM(Rend_j[[#This Row],[Date]])-1</f>
        <v>41</v>
      </c>
      <c r="N207" s="7" t="str">
        <f>TEXT(Rend_j[[#This Row],[Date]],"ddd")</f>
        <v>Wed</v>
      </c>
      <c r="O207" s="7">
        <f>MONTH(Rend_j[[#This Row],[Date]])</f>
        <v>10</v>
      </c>
      <c r="P207" s="7">
        <f>YEAR(Rend_j[[#This Row],[Date]])</f>
        <v>2021</v>
      </c>
      <c r="Q207" s="7" t="str">
        <f>Rend_j[[#This Row],[Week]]&amp;","&amp;Rend_j[[#This Row],[Year]]</f>
        <v>41,2021</v>
      </c>
      <c r="R207" s="7" t="str">
        <f>Rend_j[[#This Row],[Month]]&amp;","&amp;Rend_j[[#This Row],[Year]]</f>
        <v>10,2021</v>
      </c>
    </row>
    <row r="208" spans="1:18" x14ac:dyDescent="0.25">
      <c r="A208" s="1">
        <v>44483</v>
      </c>
      <c r="B208" s="6">
        <f>(Indices!B212-Indices!B211)/Indices!B211</f>
        <v>-2.5521703143333357E-3</v>
      </c>
      <c r="C208" s="6">
        <f>(Indices!C212-Indices!C211)/Indices!C211</f>
        <v>1.3684732701998216E-2</v>
      </c>
      <c r="D208" s="6">
        <f>(Indices!D212-Indices!D211)/Indices!D211</f>
        <v>7.5310814207544255E-3</v>
      </c>
      <c r="E208" s="6">
        <f>(Indices!E212-Indices!E211)/Indices!E211</f>
        <v>3.8092966480996059E-3</v>
      </c>
      <c r="F208" s="6">
        <f>(Indices!F212-Indices!F211)/Indices!F211</f>
        <v>3.4965433845170978E-3</v>
      </c>
      <c r="G208" s="6">
        <f>(Indices!G212-Indices!G211)/Indices!G211</f>
        <v>1.2508738827456199E-2</v>
      </c>
      <c r="H208" s="6">
        <f>(Indices!H212-Indices!H211)/Indices!H211</f>
        <v>1.1277017855278253E-2</v>
      </c>
      <c r="I208" s="6">
        <f>(Indices!I212-Indices!I211)/Indices!I211</f>
        <v>1.6701061981278575E-2</v>
      </c>
      <c r="J208" s="6">
        <f>(Indices!J212-Indices!J211)/Indices!J211</f>
        <v>1.3312872618767763E-2</v>
      </c>
      <c r="K208" s="6">
        <f>(Indices!K212-Indices!K211)/Indices!K211</f>
        <v>1.2011550684912178E-2</v>
      </c>
      <c r="L208" s="6">
        <f>(Indices!L212-Indices!L211)/Indices!L211</f>
        <v>1.399006724724601E-2</v>
      </c>
      <c r="M208" s="10">
        <f>WEEKNUM(Rend_j[[#This Row],[Date]])-1</f>
        <v>41</v>
      </c>
      <c r="N208" s="7" t="str">
        <f>TEXT(Rend_j[[#This Row],[Date]],"ddd")</f>
        <v>Thu</v>
      </c>
      <c r="O208" s="7">
        <f>MONTH(Rend_j[[#This Row],[Date]])</f>
        <v>10</v>
      </c>
      <c r="P208" s="7">
        <f>YEAR(Rend_j[[#This Row],[Date]])</f>
        <v>2021</v>
      </c>
      <c r="Q208" s="7" t="str">
        <f>Rend_j[[#This Row],[Week]]&amp;","&amp;Rend_j[[#This Row],[Year]]</f>
        <v>41,2021</v>
      </c>
      <c r="R208" s="7" t="str">
        <f>Rend_j[[#This Row],[Month]]&amp;","&amp;Rend_j[[#This Row],[Year]]</f>
        <v>10,2021</v>
      </c>
    </row>
    <row r="209" spans="1:18" x14ac:dyDescent="0.25">
      <c r="A209" s="1">
        <v>44484</v>
      </c>
      <c r="B209" s="6">
        <f>(Indices!B213-Indices!B212)/Indices!B212</f>
        <v>9.4622806541841981E-3</v>
      </c>
      <c r="C209" s="6">
        <f>(Indices!C213-Indices!C212)/Indices!C212</f>
        <v>6.6745652701836215E-3</v>
      </c>
      <c r="D209" s="6">
        <f>(Indices!D213-Indices!D212)/Indices!D212</f>
        <v>1.1842117888636207E-2</v>
      </c>
      <c r="E209" s="6">
        <f>(Indices!E213-Indices!E212)/Indices!E212</f>
        <v>1.2027479400932312E-2</v>
      </c>
      <c r="F209" s="6">
        <f>(Indices!F213-Indices!F212)/Indices!F212</f>
        <v>1.3846494892826123E-2</v>
      </c>
      <c r="G209" s="6">
        <f>(Indices!G213-Indices!G212)/Indices!G212</f>
        <v>7.305610619863308E-3</v>
      </c>
      <c r="H209" s="6">
        <f>(Indices!H213-Indices!H212)/Indices!H212</f>
        <v>8.3427981414559323E-3</v>
      </c>
      <c r="I209" s="6">
        <f>(Indices!I213-Indices!I212)/Indices!I212</f>
        <v>6.1691869846416583E-3</v>
      </c>
      <c r="J209" s="6">
        <f>(Indices!J213-Indices!J212)/Indices!J212</f>
        <v>6.3289050376618928E-3</v>
      </c>
      <c r="K209" s="6">
        <f>(Indices!K213-Indices!K212)/Indices!K212</f>
        <v>7.4476345792856558E-3</v>
      </c>
      <c r="L209" s="6">
        <f>(Indices!L213-Indices!L212)/Indices!L212</f>
        <v>8.060717789392418E-3</v>
      </c>
      <c r="M209" s="10">
        <f>WEEKNUM(Rend_j[[#This Row],[Date]])-1</f>
        <v>41</v>
      </c>
      <c r="N209" s="7" t="str">
        <f>TEXT(Rend_j[[#This Row],[Date]],"ddd")</f>
        <v>Fri</v>
      </c>
      <c r="O209" s="7">
        <f>MONTH(Rend_j[[#This Row],[Date]])</f>
        <v>10</v>
      </c>
      <c r="P209" s="7">
        <f>YEAR(Rend_j[[#This Row],[Date]])</f>
        <v>2021</v>
      </c>
      <c r="Q209" s="7" t="str">
        <f>Rend_j[[#This Row],[Week]]&amp;","&amp;Rend_j[[#This Row],[Year]]</f>
        <v>41,2021</v>
      </c>
      <c r="R209" s="7" t="str">
        <f>Rend_j[[#This Row],[Month]]&amp;","&amp;Rend_j[[#This Row],[Year]]</f>
        <v>10,2021</v>
      </c>
    </row>
    <row r="210" spans="1:18" x14ac:dyDescent="0.25">
      <c r="A210" s="1">
        <v>44487</v>
      </c>
      <c r="B210" s="6">
        <f>(Indices!B214-Indices!B213)/Indices!B213</f>
        <v>1.0666621617056299E-3</v>
      </c>
      <c r="C210" s="6">
        <f>(Indices!C214-Indices!C213)/Indices!C213</f>
        <v>1.8056083511214811E-3</v>
      </c>
      <c r="D210" s="6">
        <f>(Indices!D214-Indices!D213)/Indices!D213</f>
        <v>-3.3472845009278221E-3</v>
      </c>
      <c r="E210" s="6">
        <f>(Indices!E214-Indices!E213)/Indices!E213</f>
        <v>-1.6573441060700855E-4</v>
      </c>
      <c r="F210" s="6">
        <f>(Indices!F214-Indices!F213)/Indices!F213</f>
        <v>-3.3751016174698167E-3</v>
      </c>
      <c r="G210" s="6">
        <f>(Indices!G214-Indices!G213)/Indices!G213</f>
        <v>1.5736134144093018E-3</v>
      </c>
      <c r="H210" s="6">
        <f>(Indices!H214-Indices!H213)/Indices!H213</f>
        <v>-7.3829076982940833E-3</v>
      </c>
      <c r="I210" s="6">
        <f>(Indices!I214-Indices!I213)/Indices!I213</f>
        <v>3.5529788873162006E-3</v>
      </c>
      <c r="J210" s="6">
        <f>(Indices!J214-Indices!J213)/Indices!J213</f>
        <v>-8.0891505098783859E-3</v>
      </c>
      <c r="K210" s="6">
        <f>(Indices!K214-Indices!K213)/Indices!K213</f>
        <v>-5.0065104175682296E-3</v>
      </c>
      <c r="L210" s="6">
        <f>(Indices!L214-Indices!L213)/Indices!L213</f>
        <v>-7.2424462811626804E-3</v>
      </c>
      <c r="M210" s="10">
        <f>WEEKNUM(Rend_j[[#This Row],[Date]])-1</f>
        <v>42</v>
      </c>
      <c r="N210" s="7" t="str">
        <f>TEXT(Rend_j[[#This Row],[Date]],"ddd")</f>
        <v>Mon</v>
      </c>
      <c r="O210" s="7">
        <f>MONTH(Rend_j[[#This Row],[Date]])</f>
        <v>10</v>
      </c>
      <c r="P210" s="7">
        <f>YEAR(Rend_j[[#This Row],[Date]])</f>
        <v>2021</v>
      </c>
      <c r="Q210" s="7" t="str">
        <f>Rend_j[[#This Row],[Week]]&amp;","&amp;Rend_j[[#This Row],[Year]]</f>
        <v>42,2021</v>
      </c>
      <c r="R210" s="7" t="str">
        <f>Rend_j[[#This Row],[Month]]&amp;","&amp;Rend_j[[#This Row],[Year]]</f>
        <v>10,2021</v>
      </c>
    </row>
    <row r="211" spans="1:18" x14ac:dyDescent="0.25">
      <c r="A211" s="1">
        <v>44488</v>
      </c>
      <c r="B211" s="6">
        <f>(Indices!B215-Indices!B214)/Indices!B214</f>
        <v>1.2204436461158893E-2</v>
      </c>
      <c r="C211" s="6">
        <f>(Indices!C215-Indices!C214)/Indices!C214</f>
        <v>3.4040410674021754E-3</v>
      </c>
      <c r="D211" s="6">
        <f>(Indices!D215-Indices!D214)/Indices!D214</f>
        <v>1.0204744278385339E-3</v>
      </c>
      <c r="E211" s="6">
        <f>(Indices!E215-Indices!E214)/Indices!E214</f>
        <v>5.2744510288747918E-3</v>
      </c>
      <c r="F211" s="6">
        <f>(Indices!F215-Indices!F214)/Indices!F214</f>
        <v>-1.2938575519087848E-4</v>
      </c>
      <c r="G211" s="6">
        <f>(Indices!G215-Indices!G214)/Indices!G214</f>
        <v>3.6279744054868147E-3</v>
      </c>
      <c r="H211" s="6">
        <f>(Indices!H215-Indices!H214)/Indices!H214</f>
        <v>4.1263913675893176E-3</v>
      </c>
      <c r="I211" s="6">
        <f>(Indices!I215-Indices!I214)/Indices!I214</f>
        <v>6.9734870315602817E-3</v>
      </c>
      <c r="J211" s="6">
        <f>(Indices!J215-Indices!J214)/Indices!J214</f>
        <v>-4.8703000888208767E-4</v>
      </c>
      <c r="K211" s="6">
        <f>(Indices!K215-Indices!K214)/Indices!K214</f>
        <v>3.2973149415985456E-3</v>
      </c>
      <c r="L211" s="6">
        <f>(Indices!L215-Indices!L214)/Indices!L214</f>
        <v>2.6728121041727621E-3</v>
      </c>
      <c r="M211" s="10">
        <f>WEEKNUM(Rend_j[[#This Row],[Date]])-1</f>
        <v>42</v>
      </c>
      <c r="N211" s="7" t="str">
        <f>TEXT(Rend_j[[#This Row],[Date]],"ddd")</f>
        <v>Tue</v>
      </c>
      <c r="O211" s="7">
        <f>MONTH(Rend_j[[#This Row],[Date]])</f>
        <v>10</v>
      </c>
      <c r="P211" s="7">
        <f>YEAR(Rend_j[[#This Row],[Date]])</f>
        <v>2021</v>
      </c>
      <c r="Q211" s="7" t="str">
        <f>Rend_j[[#This Row],[Week]]&amp;","&amp;Rend_j[[#This Row],[Year]]</f>
        <v>42,2021</v>
      </c>
      <c r="R211" s="7" t="str">
        <f>Rend_j[[#This Row],[Month]]&amp;","&amp;Rend_j[[#This Row],[Year]]</f>
        <v>10,2021</v>
      </c>
    </row>
    <row r="212" spans="1:18" x14ac:dyDescent="0.25">
      <c r="A212" s="1">
        <v>44489</v>
      </c>
      <c r="B212" s="6">
        <f>(Indices!B216-Indices!B215)/Indices!B215</f>
        <v>7.7612097563969449E-3</v>
      </c>
      <c r="C212" s="6">
        <f>(Indices!C216-Indices!C215)/Indices!C215</f>
        <v>3.4106734443801632E-3</v>
      </c>
      <c r="D212" s="6">
        <f>(Indices!D216-Indices!D215)/Indices!D215</f>
        <v>5.1256862466934406E-4</v>
      </c>
      <c r="E212" s="6">
        <f>(Indices!E216-Indices!E215)/Indices!E215</f>
        <v>4.8116450512883328E-3</v>
      </c>
      <c r="F212" s="6">
        <f>(Indices!F216-Indices!F215)/Indices!F215</f>
        <v>1.6878586699674319E-4</v>
      </c>
      <c r="G212" s="6">
        <f>(Indices!G216-Indices!G215)/Indices!G215</f>
        <v>3.5745317363426229E-3</v>
      </c>
      <c r="H212" s="6">
        <f>(Indices!H216-Indices!H215)/Indices!H215</f>
        <v>1.8492454051387715E-3</v>
      </c>
      <c r="I212" s="6">
        <f>(Indices!I216-Indices!I215)/Indices!I215</f>
        <v>3.8832983708281727E-3</v>
      </c>
      <c r="J212" s="6">
        <f>(Indices!J216-Indices!J215)/Indices!J215</f>
        <v>5.3614046004905862E-3</v>
      </c>
      <c r="K212" s="6">
        <f>(Indices!K216-Indices!K215)/Indices!K215</f>
        <v>3.1798626517097893E-3</v>
      </c>
      <c r="L212" s="6">
        <f>(Indices!L216-Indices!L215)/Indices!L215</f>
        <v>4.5694235909037164E-4</v>
      </c>
      <c r="M212" s="10">
        <f>WEEKNUM(Rend_j[[#This Row],[Date]])-1</f>
        <v>42</v>
      </c>
      <c r="N212" s="7" t="str">
        <f>TEXT(Rend_j[[#This Row],[Date]],"ddd")</f>
        <v>Wed</v>
      </c>
      <c r="O212" s="7">
        <f>MONTH(Rend_j[[#This Row],[Date]])</f>
        <v>10</v>
      </c>
      <c r="P212" s="7">
        <f>YEAR(Rend_j[[#This Row],[Date]])</f>
        <v>2021</v>
      </c>
      <c r="Q212" s="7" t="str">
        <f>Rend_j[[#This Row],[Week]]&amp;","&amp;Rend_j[[#This Row],[Year]]</f>
        <v>42,2021</v>
      </c>
      <c r="R212" s="7" t="str">
        <f>Rend_j[[#This Row],[Month]]&amp;","&amp;Rend_j[[#This Row],[Year]]</f>
        <v>10,2021</v>
      </c>
    </row>
    <row r="213" spans="1:18" x14ac:dyDescent="0.25">
      <c r="A213" s="1">
        <v>44490</v>
      </c>
      <c r="B213" s="6">
        <f>(Indices!B217-Indices!B216)/Indices!B216</f>
        <v>-1.8916101119249849E-3</v>
      </c>
      <c r="C213" s="6">
        <f>(Indices!C217-Indices!C216)/Indices!C216</f>
        <v>1.5980750624192571E-3</v>
      </c>
      <c r="D213" s="6">
        <f>(Indices!D217-Indices!D216)/Indices!D216</f>
        <v>-7.7750812635646802E-3</v>
      </c>
      <c r="E213" s="6">
        <f>(Indices!E217-Indices!E216)/Indices!E216</f>
        <v>-6.1196581196581246E-3</v>
      </c>
      <c r="F213" s="6">
        <f>(Indices!F217-Indices!F216)/Indices!F216</f>
        <v>-1.009169151150369E-2</v>
      </c>
      <c r="G213" s="6">
        <f>(Indices!G217-Indices!G216)/Indices!G216</f>
        <v>6.8313496847354708E-4</v>
      </c>
      <c r="H213" s="6">
        <f>(Indices!H217-Indices!H216)/Indices!H216</f>
        <v>-4.0608304193115131E-3</v>
      </c>
      <c r="I213" s="6">
        <f>(Indices!I217-Indices!I216)/Indices!I216</f>
        <v>3.4257575503296809E-3</v>
      </c>
      <c r="J213" s="6">
        <f>(Indices!J217-Indices!J216)/Indices!J216</f>
        <v>-2.8990563717798019E-3</v>
      </c>
      <c r="K213" s="6">
        <f>(Indices!K217-Indices!K216)/Indices!K216</f>
        <v>-7.6587741110649768E-4</v>
      </c>
      <c r="L213" s="6">
        <f>(Indices!L217-Indices!L216)/Indices!L216</f>
        <v>-3.2442575404332068E-3</v>
      </c>
      <c r="M213" s="10">
        <f>WEEKNUM(Rend_j[[#This Row],[Date]])-1</f>
        <v>42</v>
      </c>
      <c r="N213" s="7" t="str">
        <f>TEXT(Rend_j[[#This Row],[Date]],"ddd")</f>
        <v>Thu</v>
      </c>
      <c r="O213" s="7">
        <f>MONTH(Rend_j[[#This Row],[Date]])</f>
        <v>10</v>
      </c>
      <c r="P213" s="7">
        <f>YEAR(Rend_j[[#This Row],[Date]])</f>
        <v>2021</v>
      </c>
      <c r="Q213" s="7" t="str">
        <f>Rend_j[[#This Row],[Week]]&amp;","&amp;Rend_j[[#This Row],[Year]]</f>
        <v>42,2021</v>
      </c>
      <c r="R213" s="7" t="str">
        <f>Rend_j[[#This Row],[Month]]&amp;","&amp;Rend_j[[#This Row],[Year]]</f>
        <v>10,2021</v>
      </c>
    </row>
    <row r="214" spans="1:18" x14ac:dyDescent="0.25">
      <c r="A214" s="1">
        <v>44491</v>
      </c>
      <c r="B214" s="6">
        <f>(Indices!B218-Indices!B217)/Indices!B217</f>
        <v>3.8387894089192275E-3</v>
      </c>
      <c r="C214" s="6">
        <f>(Indices!C218-Indices!C217)/Indices!C217</f>
        <v>-4.1244871525855008E-4</v>
      </c>
      <c r="D214" s="6">
        <f>(Indices!D218-Indices!D217)/Indices!D217</f>
        <v>-2.1150707648676693E-3</v>
      </c>
      <c r="E214" s="6">
        <f>(Indices!E218-Indices!E217)/Indices!E217</f>
        <v>6.4210610803481155E-5</v>
      </c>
      <c r="F214" s="6">
        <f>(Indices!F218-Indices!F217)/Indices!F217</f>
        <v>3.6311769786789676E-3</v>
      </c>
      <c r="G214" s="6">
        <f>(Indices!G218-Indices!G217)/Indices!G217</f>
        <v>-3.5776216117555236E-4</v>
      </c>
      <c r="H214" s="6">
        <f>(Indices!H218-Indices!H217)/Indices!H217</f>
        <v>-1.5032794143388227E-3</v>
      </c>
      <c r="I214" s="6">
        <f>(Indices!I218-Indices!I217)/Indices!I217</f>
        <v>-1.8217618873585478E-3</v>
      </c>
      <c r="J214" s="6">
        <f>(Indices!J218-Indices!J217)/Indices!J217</f>
        <v>7.1072107879940286E-3</v>
      </c>
      <c r="K214" s="6">
        <f>(Indices!K218-Indices!K217)/Indices!K217</f>
        <v>4.6199017299591158E-3</v>
      </c>
      <c r="L214" s="6">
        <f>(Indices!L218-Indices!L217)/Indices!L217</f>
        <v>4.5513413395764993E-3</v>
      </c>
      <c r="M214" s="10">
        <f>WEEKNUM(Rend_j[[#This Row],[Date]])-1</f>
        <v>42</v>
      </c>
      <c r="N214" s="7" t="str">
        <f>TEXT(Rend_j[[#This Row],[Date]],"ddd")</f>
        <v>Fri</v>
      </c>
      <c r="O214" s="7">
        <f>MONTH(Rend_j[[#This Row],[Date]])</f>
        <v>10</v>
      </c>
      <c r="P214" s="7">
        <f>YEAR(Rend_j[[#This Row],[Date]])</f>
        <v>2021</v>
      </c>
      <c r="Q214" s="7" t="str">
        <f>Rend_j[[#This Row],[Week]]&amp;","&amp;Rend_j[[#This Row],[Year]]</f>
        <v>42,2021</v>
      </c>
      <c r="R214" s="7" t="str">
        <f>Rend_j[[#This Row],[Month]]&amp;","&amp;Rend_j[[#This Row],[Year]]</f>
        <v>10,2021</v>
      </c>
    </row>
    <row r="215" spans="1:18" x14ac:dyDescent="0.25">
      <c r="A215" s="1">
        <v>44494</v>
      </c>
      <c r="B215" s="6">
        <f>(Indices!B219-Indices!B218)/Indices!B218</f>
        <v>6.392669334076638E-3</v>
      </c>
      <c r="C215" s="6">
        <f>(Indices!C219-Indices!C218)/Indices!C218</f>
        <v>5.6608417425548403E-3</v>
      </c>
      <c r="D215" s="6">
        <f>(Indices!D219-Indices!D218)/Indices!D218</f>
        <v>7.560685299997514E-3</v>
      </c>
      <c r="E215" s="6">
        <f>(Indices!E219-Indices!E218)/Indices!E218</f>
        <v>6.0812716553578861E-3</v>
      </c>
      <c r="F215" s="6">
        <f>(Indices!F219-Indices!F218)/Indices!F218</f>
        <v>-1.1607168134077654E-3</v>
      </c>
      <c r="G215" s="6">
        <f>(Indices!G219-Indices!G218)/Indices!G218</f>
        <v>5.7116354486592682E-3</v>
      </c>
      <c r="H215" s="6">
        <f>(Indices!H219-Indices!H218)/Indices!H218</f>
        <v>5.2693993297242584E-3</v>
      </c>
      <c r="I215" s="6">
        <f>(Indices!I219-Indices!I218)/Indices!I218</f>
        <v>4.9793612420279236E-3</v>
      </c>
      <c r="J215" s="6">
        <f>(Indices!J219-Indices!J218)/Indices!J218</f>
        <v>-3.0918893181035531E-3</v>
      </c>
      <c r="K215" s="6">
        <f>(Indices!K219-Indices!K218)/Indices!K218</f>
        <v>6.9930066225208979E-4</v>
      </c>
      <c r="L215" s="6">
        <f>(Indices!L219-Indices!L218)/Indices!L218</f>
        <v>3.6189970198167534E-3</v>
      </c>
      <c r="M215" s="10">
        <f>WEEKNUM(Rend_j[[#This Row],[Date]])-1</f>
        <v>43</v>
      </c>
      <c r="N215" s="7" t="str">
        <f>TEXT(Rend_j[[#This Row],[Date]],"ddd")</f>
        <v>Mon</v>
      </c>
      <c r="O215" s="7">
        <f>MONTH(Rend_j[[#This Row],[Date]])</f>
        <v>10</v>
      </c>
      <c r="P215" s="7">
        <f>YEAR(Rend_j[[#This Row],[Date]])</f>
        <v>2021</v>
      </c>
      <c r="Q215" s="7" t="str">
        <f>Rend_j[[#This Row],[Week]]&amp;","&amp;Rend_j[[#This Row],[Year]]</f>
        <v>43,2021</v>
      </c>
      <c r="R215" s="7" t="str">
        <f>Rend_j[[#This Row],[Month]]&amp;","&amp;Rend_j[[#This Row],[Year]]</f>
        <v>10,2021</v>
      </c>
    </row>
    <row r="216" spans="1:18" x14ac:dyDescent="0.25">
      <c r="A216" s="1">
        <v>44495</v>
      </c>
      <c r="B216" s="6">
        <f>(Indices!B220-Indices!B219)/Indices!B219</f>
        <v>-7.9267888515032747E-3</v>
      </c>
      <c r="C216" s="6">
        <f>(Indices!C220-Indices!C219)/Indices!C219</f>
        <v>4.0345800581612279E-3</v>
      </c>
      <c r="D216" s="6">
        <f>(Indices!D220-Indices!D219)/Indices!D219</f>
        <v>7.6310834338613369E-3</v>
      </c>
      <c r="E216" s="6">
        <f>(Indices!E220-Indices!E219)/Indices!E219</f>
        <v>7.1111921503381646E-4</v>
      </c>
      <c r="F216" s="6">
        <f>(Indices!F220-Indices!F219)/Indices!F219</f>
        <v>8.2024828524460223E-3</v>
      </c>
      <c r="G216" s="6">
        <f>(Indices!G220-Indices!G219)/Indices!G219</f>
        <v>3.6420943313324903E-3</v>
      </c>
      <c r="H216" s="6">
        <f>(Indices!H220-Indices!H219)/Indices!H219</f>
        <v>1.047329873007407E-2</v>
      </c>
      <c r="I216" s="6">
        <f>(Indices!I220-Indices!I219)/Indices!I219</f>
        <v>6.0933033001824618E-4</v>
      </c>
      <c r="J216" s="6">
        <f>(Indices!J220-Indices!J219)/Indices!J219</f>
        <v>7.9905685742615619E-3</v>
      </c>
      <c r="K216" s="6">
        <f>(Indices!K220-Indices!K219)/Indices!K219</f>
        <v>7.4754856256312781E-3</v>
      </c>
      <c r="L216" s="6">
        <f>(Indices!L220-Indices!L219)/Indices!L219</f>
        <v>1.011774909688856E-2</v>
      </c>
      <c r="M216" s="10">
        <f>WEEKNUM(Rend_j[[#This Row],[Date]])-1</f>
        <v>43</v>
      </c>
      <c r="N216" s="7" t="str">
        <f>TEXT(Rend_j[[#This Row],[Date]],"ddd")</f>
        <v>Tue</v>
      </c>
      <c r="O216" s="7">
        <f>MONTH(Rend_j[[#This Row],[Date]])</f>
        <v>10</v>
      </c>
      <c r="P216" s="7">
        <f>YEAR(Rend_j[[#This Row],[Date]])</f>
        <v>2021</v>
      </c>
      <c r="Q216" s="7" t="str">
        <f>Rend_j[[#This Row],[Week]]&amp;","&amp;Rend_j[[#This Row],[Year]]</f>
        <v>43,2021</v>
      </c>
      <c r="R216" s="7" t="str">
        <f>Rend_j[[#This Row],[Month]]&amp;","&amp;Rend_j[[#This Row],[Year]]</f>
        <v>10,2021</v>
      </c>
    </row>
    <row r="217" spans="1:18" x14ac:dyDescent="0.25">
      <c r="A217" s="1">
        <v>44496</v>
      </c>
      <c r="B217" s="6">
        <f>(Indices!B221-Indices!B220)/Indices!B220</f>
        <v>-1.5928320737511367E-2</v>
      </c>
      <c r="C217" s="6">
        <f>(Indices!C221-Indices!C220)/Indices!C220</f>
        <v>-5.0292326387520476E-3</v>
      </c>
      <c r="D217" s="6">
        <f>(Indices!D221-Indices!D220)/Indices!D220</f>
        <v>-5.6823900723329702E-3</v>
      </c>
      <c r="E217" s="6">
        <f>(Indices!E221-Indices!E220)/Indices!E220</f>
        <v>-1.0335787836203524E-2</v>
      </c>
      <c r="F217" s="6">
        <f>(Indices!F221-Indices!F220)/Indices!F220</f>
        <v>3.1654643899311705E-3</v>
      </c>
      <c r="G217" s="6">
        <f>(Indices!G221-Indices!G220)/Indices!G220</f>
        <v>-5.6549708025499402E-3</v>
      </c>
      <c r="H217" s="6">
        <f>(Indices!H221-Indices!H220)/Indices!H220</f>
        <v>-8.6998893479651122E-3</v>
      </c>
      <c r="I217" s="6">
        <f>(Indices!I221-Indices!I220)/Indices!I220</f>
        <v>-7.4135809773959345E-3</v>
      </c>
      <c r="J217" s="6">
        <f>(Indices!J221-Indices!J220)/Indices!J220</f>
        <v>-1.9197114094581498E-3</v>
      </c>
      <c r="K217" s="6">
        <f>(Indices!K221-Indices!K220)/Indices!K220</f>
        <v>-3.5733405552053335E-3</v>
      </c>
      <c r="L217" s="6">
        <f>(Indices!L221-Indices!L220)/Indices!L220</f>
        <v>-3.2525103920769149E-3</v>
      </c>
      <c r="M217" s="10">
        <f>WEEKNUM(Rend_j[[#This Row],[Date]])-1</f>
        <v>43</v>
      </c>
      <c r="N217" s="7" t="str">
        <f>TEXT(Rend_j[[#This Row],[Date]],"ddd")</f>
        <v>Wed</v>
      </c>
      <c r="O217" s="7">
        <f>MONTH(Rend_j[[#This Row],[Date]])</f>
        <v>10</v>
      </c>
      <c r="P217" s="7">
        <f>YEAR(Rend_j[[#This Row],[Date]])</f>
        <v>2021</v>
      </c>
      <c r="Q217" s="7" t="str">
        <f>Rend_j[[#This Row],[Week]]&amp;","&amp;Rend_j[[#This Row],[Year]]</f>
        <v>43,2021</v>
      </c>
      <c r="R217" s="7" t="str">
        <f>Rend_j[[#This Row],[Month]]&amp;","&amp;Rend_j[[#This Row],[Year]]</f>
        <v>10,2021</v>
      </c>
    </row>
    <row r="218" spans="1:18" x14ac:dyDescent="0.25">
      <c r="A218" s="1">
        <v>44497</v>
      </c>
      <c r="B218" s="6">
        <f>(Indices!B222-Indices!B221)/Indices!B221</f>
        <v>-1.2707044904544246E-2</v>
      </c>
      <c r="C218" s="6">
        <f>(Indices!C222-Indices!C221)/Indices!C221</f>
        <v>1.7365239258411613E-3</v>
      </c>
      <c r="D218" s="6">
        <f>(Indices!D222-Indices!D221)/Indices!D221</f>
        <v>-1.3407712904234556E-2</v>
      </c>
      <c r="E218" s="6">
        <f>(Indices!E222-Indices!E221)/Indices!E221</f>
        <v>-1.217207993206278E-2</v>
      </c>
      <c r="F218" s="6">
        <f>(Indices!F222-Indices!F221)/Indices!F221</f>
        <v>-1.22575944400851E-2</v>
      </c>
      <c r="G218" s="6">
        <f>(Indices!G222-Indices!G221)/Indices!G221</f>
        <v>1.0551939191720133E-4</v>
      </c>
      <c r="H218" s="6">
        <f>(Indices!H222-Indices!H221)/Indices!H221</f>
        <v>-1.1674347158218568E-3</v>
      </c>
      <c r="I218" s="6">
        <f>(Indices!I222-Indices!I221)/Indices!I221</f>
        <v>1.0892079472875436E-2</v>
      </c>
      <c r="J218" s="6">
        <f>(Indices!J222-Indices!J221)/Indices!J221</f>
        <v>7.5072250988900378E-3</v>
      </c>
      <c r="K218" s="6">
        <f>(Indices!K222-Indices!K221)/Indices!K221</f>
        <v>2.3626592244031814E-3</v>
      </c>
      <c r="L218" s="6">
        <f>(Indices!L222-Indices!L221)/Indices!L221</f>
        <v>-6.0356583070424392E-4</v>
      </c>
      <c r="M218" s="10">
        <f>WEEKNUM(Rend_j[[#This Row],[Date]])-1</f>
        <v>43</v>
      </c>
      <c r="N218" s="7" t="str">
        <f>TEXT(Rend_j[[#This Row],[Date]],"ddd")</f>
        <v>Thu</v>
      </c>
      <c r="O218" s="7">
        <f>MONTH(Rend_j[[#This Row],[Date]])</f>
        <v>10</v>
      </c>
      <c r="P218" s="7">
        <f>YEAR(Rend_j[[#This Row],[Date]])</f>
        <v>2021</v>
      </c>
      <c r="Q218" s="7" t="str">
        <f>Rend_j[[#This Row],[Week]]&amp;","&amp;Rend_j[[#This Row],[Year]]</f>
        <v>43,2021</v>
      </c>
      <c r="R218" s="7" t="str">
        <f>Rend_j[[#This Row],[Month]]&amp;","&amp;Rend_j[[#This Row],[Year]]</f>
        <v>10,2021</v>
      </c>
    </row>
    <row r="219" spans="1:18" x14ac:dyDescent="0.25">
      <c r="A219" s="1">
        <v>44498</v>
      </c>
      <c r="B219" s="6">
        <f>(Indices!B223-Indices!B222)/Indices!B222</f>
        <v>7.9945012483855337E-3</v>
      </c>
      <c r="C219" s="6">
        <f>(Indices!C223-Indices!C222)/Indices!C222</f>
        <v>7.4879157555529747E-3</v>
      </c>
      <c r="D219" s="6">
        <f>(Indices!D223-Indices!D222)/Indices!D222</f>
        <v>1.1031094197850104E-4</v>
      </c>
      <c r="E219" s="6">
        <f>(Indices!E223-Indices!E222)/Indices!E222</f>
        <v>4.1935559024234697E-5</v>
      </c>
      <c r="F219" s="6">
        <f>(Indices!F223-Indices!F222)/Indices!F222</f>
        <v>4.5451192455441816E-3</v>
      </c>
      <c r="G219" s="6">
        <f>(Indices!G223-Indices!G222)/Indices!G222</f>
        <v>6.6288292221494674E-3</v>
      </c>
      <c r="H219" s="6">
        <f>(Indices!H223-Indices!H222)/Indices!H222</f>
        <v>5.0237860892380639E-4</v>
      </c>
      <c r="I219" s="6">
        <f>(Indices!I223-Indices!I222)/Indices!I222</f>
        <v>1.5090592113406671E-3</v>
      </c>
      <c r="J219" s="6">
        <f>(Indices!J223-Indices!J222)/Indices!J222</f>
        <v>3.8387395138121355E-3</v>
      </c>
      <c r="K219" s="6">
        <f>(Indices!K223-Indices!K222)/Indices!K222</f>
        <v>7.3660661051768068E-4</v>
      </c>
      <c r="L219" s="6">
        <f>(Indices!L223-Indices!L222)/Indices!L222</f>
        <v>-4.8167628748032476E-4</v>
      </c>
      <c r="M219" s="10">
        <f>WEEKNUM(Rend_j[[#This Row],[Date]])-1</f>
        <v>43</v>
      </c>
      <c r="N219" s="7" t="str">
        <f>TEXT(Rend_j[[#This Row],[Date]],"ddd")</f>
        <v>Fri</v>
      </c>
      <c r="O219" s="7">
        <f>MONTH(Rend_j[[#This Row],[Date]])</f>
        <v>10</v>
      </c>
      <c r="P219" s="7">
        <f>YEAR(Rend_j[[#This Row],[Date]])</f>
        <v>2021</v>
      </c>
      <c r="Q219" s="7" t="str">
        <f>Rend_j[[#This Row],[Week]]&amp;","&amp;Rend_j[[#This Row],[Year]]</f>
        <v>43,2021</v>
      </c>
      <c r="R219" s="7" t="str">
        <f>Rend_j[[#This Row],[Month]]&amp;","&amp;Rend_j[[#This Row],[Year]]</f>
        <v>10,2021</v>
      </c>
    </row>
    <row r="220" spans="1:18" x14ac:dyDescent="0.25">
      <c r="A220" s="1">
        <v>44501</v>
      </c>
      <c r="B220" s="6">
        <f>(Indices!B224-Indices!B223)/Indices!B223</f>
        <v>-6.200865486813578E-3</v>
      </c>
      <c r="C220" s="6">
        <f>(Indices!C224-Indices!C223)/Indices!C223</f>
        <v>3.4198407882055719E-3</v>
      </c>
      <c r="D220" s="6">
        <f>(Indices!D224-Indices!D223)/Indices!D223</f>
        <v>5.028468161944943E-4</v>
      </c>
      <c r="E220" s="6">
        <f>(Indices!E224-Indices!E223)/Indices!E223</f>
        <v>-1.7262747875353768E-3</v>
      </c>
      <c r="F220" s="6">
        <f>(Indices!F224-Indices!F223)/Indices!F223</f>
        <v>1.9148864060011157E-2</v>
      </c>
      <c r="G220" s="6">
        <f>(Indices!G224-Indices!G223)/Indices!G223</f>
        <v>2.8263493830461765E-3</v>
      </c>
      <c r="H220" s="6">
        <f>(Indices!H224-Indices!H223)/Indices!H223</f>
        <v>3.3406773582006213E-3</v>
      </c>
      <c r="I220" s="6">
        <f>(Indices!I224-Indices!I223)/Indices!I223</f>
        <v>4.4333559641235379E-3</v>
      </c>
      <c r="J220" s="6">
        <f>(Indices!J224-Indices!J223)/Indices!J223</f>
        <v>9.2162610408467321E-3</v>
      </c>
      <c r="K220" s="6">
        <f>(Indices!K224-Indices!K223)/Indices!K223</f>
        <v>7.0660657595830517E-3</v>
      </c>
      <c r="L220" s="6">
        <f>(Indices!L224-Indices!L223)/Indices!L223</f>
        <v>7.4907410536739711E-3</v>
      </c>
      <c r="M220" s="10">
        <f>WEEKNUM(Rend_j[[#This Row],[Date]])-1</f>
        <v>44</v>
      </c>
      <c r="N220" s="7" t="str">
        <f>TEXT(Rend_j[[#This Row],[Date]],"ddd")</f>
        <v>Mon</v>
      </c>
      <c r="O220" s="7">
        <f>MONTH(Rend_j[[#This Row],[Date]])</f>
        <v>11</v>
      </c>
      <c r="P220" s="7">
        <f>YEAR(Rend_j[[#This Row],[Date]])</f>
        <v>2021</v>
      </c>
      <c r="Q220" s="7" t="str">
        <f>Rend_j[[#This Row],[Week]]&amp;","&amp;Rend_j[[#This Row],[Year]]</f>
        <v>44,2021</v>
      </c>
      <c r="R220" s="7" t="str">
        <f>Rend_j[[#This Row],[Month]]&amp;","&amp;Rend_j[[#This Row],[Year]]</f>
        <v>11,2021</v>
      </c>
    </row>
    <row r="221" spans="1:18" x14ac:dyDescent="0.25">
      <c r="A221" s="1">
        <v>44502</v>
      </c>
      <c r="B221" s="6">
        <f>(Indices!B225-Indices!B224)/Indices!B224</f>
        <v>-7.655010999086713E-3</v>
      </c>
      <c r="C221" s="6">
        <f>(Indices!C225-Indices!C224)/Indices!C224</f>
        <v>2.5187841530053576E-3</v>
      </c>
      <c r="D221" s="6">
        <f>(Indices!D225-Indices!D224)/Indices!D224</f>
        <v>5.1749378858215508E-3</v>
      </c>
      <c r="E221" s="6">
        <f>(Indices!E225-Indices!E224)/Indices!E224</f>
        <v>4.4806735945972242E-4</v>
      </c>
      <c r="F221" s="6">
        <f>(Indices!F225-Indices!F224)/Indices!F224</f>
        <v>-1.302487473950326E-3</v>
      </c>
      <c r="G221" s="6">
        <f>(Indices!G225-Indices!G224)/Indices!G224</f>
        <v>2.2813770435082797E-3</v>
      </c>
      <c r="H221" s="6">
        <f>(Indices!H225-Indices!H224)/Indices!H224</f>
        <v>-4.9330514446793931E-3</v>
      </c>
      <c r="I221" s="6">
        <f>(Indices!I225-Indices!I224)/Indices!I224</f>
        <v>3.0019337325081865E-3</v>
      </c>
      <c r="J221" s="6">
        <f>(Indices!J225-Indices!J224)/Indices!J224</f>
        <v>4.8945780330017655E-3</v>
      </c>
      <c r="K221" s="6">
        <f>(Indices!K225-Indices!K224)/Indices!K224</f>
        <v>1.3782529849253931E-3</v>
      </c>
      <c r="L221" s="6">
        <f>(Indices!L225-Indices!L224)/Indices!L224</f>
        <v>9.3734936930209237E-3</v>
      </c>
      <c r="M221" s="10">
        <f>WEEKNUM(Rend_j[[#This Row],[Date]])-1</f>
        <v>44</v>
      </c>
      <c r="N221" s="7" t="str">
        <f>TEXT(Rend_j[[#This Row],[Date]],"ddd")</f>
        <v>Tue</v>
      </c>
      <c r="O221" s="7">
        <f>MONTH(Rend_j[[#This Row],[Date]])</f>
        <v>11</v>
      </c>
      <c r="P221" s="7">
        <f>YEAR(Rend_j[[#This Row],[Date]])</f>
        <v>2021</v>
      </c>
      <c r="Q221" s="7" t="str">
        <f>Rend_j[[#This Row],[Week]]&amp;","&amp;Rend_j[[#This Row],[Year]]</f>
        <v>44,2021</v>
      </c>
      <c r="R221" s="7" t="str">
        <f>Rend_j[[#This Row],[Month]]&amp;","&amp;Rend_j[[#This Row],[Year]]</f>
        <v>11,2021</v>
      </c>
    </row>
    <row r="222" spans="1:18" x14ac:dyDescent="0.25">
      <c r="A222" s="1">
        <v>44503</v>
      </c>
      <c r="B222" s="6">
        <f>(Indices!B226-Indices!B225)/Indices!B225</f>
        <v>-6.5685111466062915E-4</v>
      </c>
      <c r="C222" s="6">
        <f>(Indices!C226-Indices!C225)/Indices!C225</f>
        <v>4.829734985592379E-3</v>
      </c>
      <c r="D222" s="6">
        <f>(Indices!D226-Indices!D225)/Indices!D225</f>
        <v>-3.0321280572419783E-3</v>
      </c>
      <c r="E222" s="6">
        <f>(Indices!E226-Indices!E225)/Indices!E225</f>
        <v>-1.5721986755276663E-3</v>
      </c>
      <c r="F222" s="6">
        <f>(Indices!F226-Indices!F225)/Indices!F225</f>
        <v>-2.8414609104884343E-3</v>
      </c>
      <c r="G222" s="6">
        <f>(Indices!G226-Indices!G225)/Indices!G225</f>
        <v>4.0992890969699181E-3</v>
      </c>
      <c r="H222" s="6">
        <f>(Indices!H226-Indices!H225)/Indices!H225</f>
        <v>-8.0059120581355415E-4</v>
      </c>
      <c r="I222" s="6">
        <f>(Indices!I226-Indices!I225)/Indices!I225</f>
        <v>7.3567923074628712E-3</v>
      </c>
      <c r="J222" s="6">
        <f>(Indices!J226-Indices!J225)/Indices!J225</f>
        <v>3.4098477606012475E-3</v>
      </c>
      <c r="K222" s="6">
        <f>(Indices!K226-Indices!K225)/Indices!K225</f>
        <v>3.5242883730409735E-3</v>
      </c>
      <c r="L222" s="6">
        <f>(Indices!L226-Indices!L225)/Indices!L225</f>
        <v>3.4662867918827504E-4</v>
      </c>
      <c r="M222" s="10">
        <f>WEEKNUM(Rend_j[[#This Row],[Date]])-1</f>
        <v>44</v>
      </c>
      <c r="N222" s="7" t="str">
        <f>TEXT(Rend_j[[#This Row],[Date]],"ddd")</f>
        <v>Wed</v>
      </c>
      <c r="O222" s="7">
        <f>MONTH(Rend_j[[#This Row],[Date]])</f>
        <v>11</v>
      </c>
      <c r="P222" s="7">
        <f>YEAR(Rend_j[[#This Row],[Date]])</f>
        <v>2021</v>
      </c>
      <c r="Q222" s="7" t="str">
        <f>Rend_j[[#This Row],[Week]]&amp;","&amp;Rend_j[[#This Row],[Year]]</f>
        <v>44,2021</v>
      </c>
      <c r="R222" s="7" t="str">
        <f>Rend_j[[#This Row],[Month]]&amp;","&amp;Rend_j[[#This Row],[Year]]</f>
        <v>11,2021</v>
      </c>
    </row>
    <row r="223" spans="1:18" x14ac:dyDescent="0.25">
      <c r="A223" s="1">
        <v>44504</v>
      </c>
      <c r="B223" s="6">
        <f>(Indices!B227-Indices!B226)/Indices!B226</f>
        <v>1.2512705298083571E-2</v>
      </c>
      <c r="C223" s="6">
        <f>(Indices!C227-Indices!C226)/Indices!C226</f>
        <v>7.211546950984896E-3</v>
      </c>
      <c r="D223" s="6">
        <f>(Indices!D227-Indices!D226)/Indices!D226</f>
        <v>6.2191304314407224E-3</v>
      </c>
      <c r="E223" s="6">
        <f>(Indices!E227-Indices!E226)/Indices!E226</f>
        <v>8.1397114654518724E-3</v>
      </c>
      <c r="F223" s="6">
        <f>(Indices!F227-Indices!F226)/Indices!F226</f>
        <v>1.8995196936725408E-2</v>
      </c>
      <c r="G223" s="6">
        <f>(Indices!G227-Indices!G226)/Indices!G226</f>
        <v>7.3199468551803041E-3</v>
      </c>
      <c r="H223" s="6">
        <f>(Indices!H227-Indices!H226)/Indices!H226</f>
        <v>-4.612223934257813E-3</v>
      </c>
      <c r="I223" s="6">
        <f>(Indices!I227-Indices!I226)/Indices!I226</f>
        <v>3.2522645690421133E-3</v>
      </c>
      <c r="J223" s="6">
        <f>(Indices!J227-Indices!J226)/Indices!J226</f>
        <v>5.3434049367546924E-3</v>
      </c>
      <c r="K223" s="6">
        <f>(Indices!K227-Indices!K226)/Indices!K226</f>
        <v>4.1353019323067943E-3</v>
      </c>
      <c r="L223" s="6">
        <f>(Indices!L227-Indices!L226)/Indices!L226</f>
        <v>4.3652885497547401E-3</v>
      </c>
      <c r="M223" s="10">
        <f>WEEKNUM(Rend_j[[#This Row],[Date]])-1</f>
        <v>44</v>
      </c>
      <c r="N223" s="7" t="str">
        <f>TEXT(Rend_j[[#This Row],[Date]],"ddd")</f>
        <v>Thu</v>
      </c>
      <c r="O223" s="7">
        <f>MONTH(Rend_j[[#This Row],[Date]])</f>
        <v>11</v>
      </c>
      <c r="P223" s="7">
        <f>YEAR(Rend_j[[#This Row],[Date]])</f>
        <v>2021</v>
      </c>
      <c r="Q223" s="7" t="str">
        <f>Rend_j[[#This Row],[Week]]&amp;","&amp;Rend_j[[#This Row],[Year]]</f>
        <v>44,2021</v>
      </c>
      <c r="R223" s="7" t="str">
        <f>Rend_j[[#This Row],[Month]]&amp;","&amp;Rend_j[[#This Row],[Year]]</f>
        <v>11,2021</v>
      </c>
    </row>
    <row r="224" spans="1:18" x14ac:dyDescent="0.25">
      <c r="A224" s="1">
        <v>44505</v>
      </c>
      <c r="B224" s="6">
        <f>(Indices!B228-Indices!B227)/Indices!B227</f>
        <v>-1.5669533508405751E-2</v>
      </c>
      <c r="C224" s="6">
        <f>(Indices!C228-Indices!C227)/Indices!C227</f>
        <v>1.5848582919294884E-3</v>
      </c>
      <c r="D224" s="6">
        <f>(Indices!D228-Indices!D227)/Indices!D227</f>
        <v>3.619089677561825E-3</v>
      </c>
      <c r="E224" s="6">
        <f>(Indices!E228-Indices!E227)/Indices!E227</f>
        <v>-4.2316614485445768E-3</v>
      </c>
      <c r="F224" s="6">
        <f>(Indices!F228-Indices!F227)/Indices!F227</f>
        <v>-5.5928778196515424E-3</v>
      </c>
      <c r="G224" s="6">
        <f>(Indices!G228-Indices!G227)/Indices!G227</f>
        <v>9.2078739765577675E-4</v>
      </c>
      <c r="H224" s="6">
        <f>(Indices!H228-Indices!H227)/Indices!H227</f>
        <v>2.3425970836214679E-3</v>
      </c>
      <c r="I224" s="6">
        <f>(Indices!I228-Indices!I227)/Indices!I227</f>
        <v>4.0180054434603421E-3</v>
      </c>
      <c r="J224" s="6">
        <f>(Indices!J228-Indices!J227)/Indices!J227</f>
        <v>7.58465834036202E-3</v>
      </c>
      <c r="K224" s="6">
        <f>(Indices!K228-Indices!K227)/Indices!K227</f>
        <v>4.7600630012633661E-4</v>
      </c>
      <c r="L224" s="6">
        <f>(Indices!L228-Indices!L227)/Indices!L227</f>
        <v>1.5415158408829237E-3</v>
      </c>
      <c r="M224" s="10">
        <f>WEEKNUM(Rend_j[[#This Row],[Date]])-1</f>
        <v>44</v>
      </c>
      <c r="N224" s="7" t="str">
        <f>TEXT(Rend_j[[#This Row],[Date]],"ddd")</f>
        <v>Fri</v>
      </c>
      <c r="O224" s="7">
        <f>MONTH(Rend_j[[#This Row],[Date]])</f>
        <v>11</v>
      </c>
      <c r="P224" s="7">
        <f>YEAR(Rend_j[[#This Row],[Date]])</f>
        <v>2021</v>
      </c>
      <c r="Q224" s="7" t="str">
        <f>Rend_j[[#This Row],[Week]]&amp;","&amp;Rend_j[[#This Row],[Year]]</f>
        <v>44,2021</v>
      </c>
      <c r="R224" s="7" t="str">
        <f>Rend_j[[#This Row],[Month]]&amp;","&amp;Rend_j[[#This Row],[Year]]</f>
        <v>11,2021</v>
      </c>
    </row>
    <row r="225" spans="1:18" x14ac:dyDescent="0.25">
      <c r="A225" s="1">
        <v>44508</v>
      </c>
      <c r="B225" s="6">
        <f>(Indices!B229-Indices!B228)/Indices!B228</f>
        <v>-3.7121470004710059E-3</v>
      </c>
      <c r="C225" s="6">
        <f>(Indices!C229-Indices!C228)/Indices!C228</f>
        <v>-1.3197923340020148E-3</v>
      </c>
      <c r="D225" s="6">
        <f>(Indices!D229-Indices!D228)/Indices!D228</f>
        <v>4.4680063629547809E-3</v>
      </c>
      <c r="E225" s="6">
        <f>(Indices!E229-Indices!E228)/Indices!E228</f>
        <v>7.7498993444010311E-4</v>
      </c>
      <c r="F225" s="6">
        <f>(Indices!F229-Indices!F228)/Indices!F228</f>
        <v>-4.2512056067579938E-3</v>
      </c>
      <c r="G225" s="6">
        <f>(Indices!G229-Indices!G228)/Indices!G228</f>
        <v>-1.0797755203524558E-3</v>
      </c>
      <c r="H225" s="6">
        <f>(Indices!H229-Indices!H228)/Indices!H228</f>
        <v>1.6781978420228637E-3</v>
      </c>
      <c r="I225" s="6">
        <f>(Indices!I229-Indices!I228)/Indices!I228</f>
        <v>1.5141866924070033E-3</v>
      </c>
      <c r="J225" s="6">
        <f>(Indices!J229-Indices!J228)/Indices!J228</f>
        <v>9.5016908087629942E-4</v>
      </c>
      <c r="K225" s="6">
        <f>(Indices!K229-Indices!K228)/Indices!K228</f>
        <v>3.5161136707094834E-4</v>
      </c>
      <c r="L225" s="6">
        <f>(Indices!L229-Indices!L228)/Indices!L228</f>
        <v>-4.8839192774200173E-4</v>
      </c>
      <c r="M225" s="10">
        <f>WEEKNUM(Rend_j[[#This Row],[Date]])-1</f>
        <v>45</v>
      </c>
      <c r="N225" s="7" t="str">
        <f>TEXT(Rend_j[[#This Row],[Date]],"ddd")</f>
        <v>Mon</v>
      </c>
      <c r="O225" s="7">
        <f>MONTH(Rend_j[[#This Row],[Date]])</f>
        <v>11</v>
      </c>
      <c r="P225" s="7">
        <f>YEAR(Rend_j[[#This Row],[Date]])</f>
        <v>2021</v>
      </c>
      <c r="Q225" s="7" t="str">
        <f>Rend_j[[#This Row],[Week]]&amp;","&amp;Rend_j[[#This Row],[Year]]</f>
        <v>45,2021</v>
      </c>
      <c r="R225" s="7" t="str">
        <f>Rend_j[[#This Row],[Month]]&amp;","&amp;Rend_j[[#This Row],[Year]]</f>
        <v>11,2021</v>
      </c>
    </row>
    <row r="226" spans="1:18" x14ac:dyDescent="0.25">
      <c r="A226" s="1">
        <v>44509</v>
      </c>
      <c r="B226" s="6">
        <f>(Indices!B230-Indices!B229)/Indices!B229</f>
        <v>1.5171731158027352E-3</v>
      </c>
      <c r="C226" s="6">
        <f>(Indices!C230-Indices!C229)/Indices!C229</f>
        <v>-2.6500837791036992E-3</v>
      </c>
      <c r="D226" s="6">
        <f>(Indices!D230-Indices!D229)/Indices!D229</f>
        <v>5.0697102924590256E-3</v>
      </c>
      <c r="E226" s="6">
        <f>(Indices!E230-Indices!E229)/Indices!E229</f>
        <v>3.6463759488018668E-3</v>
      </c>
      <c r="F226" s="6">
        <f>(Indices!F230-Indices!F229)/Indices!F229</f>
        <v>-4.8816274297817383E-3</v>
      </c>
      <c r="G226" s="6">
        <f>(Indices!G230-Indices!G229)/Indices!G229</f>
        <v>-1.9378742408511567E-3</v>
      </c>
      <c r="H226" s="6">
        <f>(Indices!H230-Indices!H229)/Indices!H229</f>
        <v>-4.0085927783659395E-3</v>
      </c>
      <c r="I226" s="6">
        <f>(Indices!I230-Indices!I229)/Indices!I229</f>
        <v>-3.0276504218026486E-3</v>
      </c>
      <c r="J226" s="6">
        <f>(Indices!J230-Indices!J229)/Indices!J229</f>
        <v>-5.9737097685237227E-4</v>
      </c>
      <c r="K226" s="6">
        <f>(Indices!K230-Indices!K229)/Indices!K229</f>
        <v>-1.8609913523600892E-3</v>
      </c>
      <c r="L226" s="6">
        <f>(Indices!L230-Indices!L229)/Indices!L229</f>
        <v>-3.7701633607763841E-4</v>
      </c>
      <c r="M226" s="10">
        <f>WEEKNUM(Rend_j[[#This Row],[Date]])-1</f>
        <v>45</v>
      </c>
      <c r="N226" s="7" t="str">
        <f>TEXT(Rend_j[[#This Row],[Date]],"ddd")</f>
        <v>Tue</v>
      </c>
      <c r="O226" s="7">
        <f>MONTH(Rend_j[[#This Row],[Date]])</f>
        <v>11</v>
      </c>
      <c r="P226" s="7">
        <f>YEAR(Rend_j[[#This Row],[Date]])</f>
        <v>2021</v>
      </c>
      <c r="Q226" s="7" t="str">
        <f>Rend_j[[#This Row],[Week]]&amp;","&amp;Rend_j[[#This Row],[Year]]</f>
        <v>45,2021</v>
      </c>
      <c r="R226" s="7" t="str">
        <f>Rend_j[[#This Row],[Month]]&amp;","&amp;Rend_j[[#This Row],[Year]]</f>
        <v>11,2021</v>
      </c>
    </row>
    <row r="227" spans="1:18" x14ac:dyDescent="0.25">
      <c r="A227" s="1">
        <v>44510</v>
      </c>
      <c r="B227" s="6">
        <f>(Indices!B231-Indices!B230)/Indices!B230</f>
        <v>1.0719220921537419E-2</v>
      </c>
      <c r="C227" s="6">
        <f>(Indices!C231-Indices!C230)/Indices!C230</f>
        <v>-2.442727700883576E-3</v>
      </c>
      <c r="D227" s="6">
        <f>(Indices!D231-Indices!D230)/Indices!D230</f>
        <v>1.1150819725430619E-3</v>
      </c>
      <c r="E227" s="6">
        <f>(Indices!E231-Indices!E230)/Indices!E230</f>
        <v>6.8630903833320723E-3</v>
      </c>
      <c r="F227" s="6">
        <f>(Indices!F231-Indices!F230)/Indices!F230</f>
        <v>-7.5440531686687233E-3</v>
      </c>
      <c r="G227" s="6">
        <f>(Indices!G231-Indices!G230)/Indices!G230</f>
        <v>-1.3823029594820526E-3</v>
      </c>
      <c r="H227" s="6">
        <f>(Indices!H231-Indices!H230)/Indices!H230</f>
        <v>9.2259109813108784E-3</v>
      </c>
      <c r="I227" s="6">
        <f>(Indices!I231-Indices!I230)/Indices!I230</f>
        <v>-9.9162339323399899E-3</v>
      </c>
      <c r="J227" s="6">
        <f>(Indices!J231-Indices!J230)/Indices!J230</f>
        <v>2.6836057607230345E-4</v>
      </c>
      <c r="K227" s="6">
        <f>(Indices!K231-Indices!K230)/Indices!K230</f>
        <v>2.1752584772997173E-3</v>
      </c>
      <c r="L227" s="6">
        <f>(Indices!L231-Indices!L230)/Indices!L230</f>
        <v>1.7057075298005638E-3</v>
      </c>
      <c r="M227" s="10">
        <f>WEEKNUM(Rend_j[[#This Row],[Date]])-1</f>
        <v>45</v>
      </c>
      <c r="N227" s="7" t="str">
        <f>TEXT(Rend_j[[#This Row],[Date]],"ddd")</f>
        <v>Wed</v>
      </c>
      <c r="O227" s="7">
        <f>MONTH(Rend_j[[#This Row],[Date]])</f>
        <v>11</v>
      </c>
      <c r="P227" s="7">
        <f>YEAR(Rend_j[[#This Row],[Date]])</f>
        <v>2021</v>
      </c>
      <c r="Q227" s="7" t="str">
        <f>Rend_j[[#This Row],[Week]]&amp;","&amp;Rend_j[[#This Row],[Year]]</f>
        <v>45,2021</v>
      </c>
      <c r="R227" s="7" t="str">
        <f>Rend_j[[#This Row],[Month]]&amp;","&amp;Rend_j[[#This Row],[Year]]</f>
        <v>11,2021</v>
      </c>
    </row>
    <row r="228" spans="1:18" x14ac:dyDescent="0.25">
      <c r="A228" s="1">
        <v>44511</v>
      </c>
      <c r="B228" s="6">
        <f>(Indices!B232-Indices!B231)/Indices!B231</f>
        <v>1.9456896634022006E-2</v>
      </c>
      <c r="C228" s="6">
        <f>(Indices!C232-Indices!C231)/Indices!C231</f>
        <v>4.2737903552567003E-3</v>
      </c>
      <c r="D228" s="6">
        <f>(Indices!D232-Indices!D231)/Indices!D231</f>
        <v>2.9480399429171835E-3</v>
      </c>
      <c r="E228" s="6">
        <f>(Indices!E232-Indices!E231)/Indices!E231</f>
        <v>9.6606573297189167E-3</v>
      </c>
      <c r="F228" s="6">
        <f>(Indices!F232-Indices!F231)/Indices!F231</f>
        <v>7.3165555220446269E-3</v>
      </c>
      <c r="G228" s="6">
        <f>(Indices!G232-Indices!G231)/Indices!G231</f>
        <v>4.8947032318598588E-3</v>
      </c>
      <c r="H228" s="6">
        <f>(Indices!H232-Indices!H231)/Indices!H231</f>
        <v>4.2231197914003446E-3</v>
      </c>
      <c r="I228" s="6">
        <f>(Indices!I232-Indices!I231)/Indices!I231</f>
        <v>1.3443276618853499E-3</v>
      </c>
      <c r="J228" s="6">
        <f>(Indices!J232-Indices!J231)/Indices!J231</f>
        <v>2.0424871374634134E-3</v>
      </c>
      <c r="K228" s="6">
        <f>(Indices!K232-Indices!K231)/Indices!K231</f>
        <v>3.1627231858209512E-3</v>
      </c>
      <c r="L228" s="6">
        <f>(Indices!L232-Indices!L231)/Indices!L231</f>
        <v>9.5098528699409234E-4</v>
      </c>
      <c r="M228" s="10">
        <f>WEEKNUM(Rend_j[[#This Row],[Date]])-1</f>
        <v>45</v>
      </c>
      <c r="N228" s="7" t="str">
        <f>TEXT(Rend_j[[#This Row],[Date]],"ddd")</f>
        <v>Thu</v>
      </c>
      <c r="O228" s="7">
        <f>MONTH(Rend_j[[#This Row],[Date]])</f>
        <v>11</v>
      </c>
      <c r="P228" s="7">
        <f>YEAR(Rend_j[[#This Row],[Date]])</f>
        <v>2021</v>
      </c>
      <c r="Q228" s="7" t="str">
        <f>Rend_j[[#This Row],[Week]]&amp;","&amp;Rend_j[[#This Row],[Year]]</f>
        <v>45,2021</v>
      </c>
      <c r="R228" s="7" t="str">
        <f>Rend_j[[#This Row],[Month]]&amp;","&amp;Rend_j[[#This Row],[Year]]</f>
        <v>11,2021</v>
      </c>
    </row>
    <row r="229" spans="1:18" x14ac:dyDescent="0.25">
      <c r="A229" s="1">
        <v>44512</v>
      </c>
      <c r="B229" s="6">
        <f>(Indices!B233-Indices!B232)/Indices!B232</f>
        <v>6.5891588237437706E-3</v>
      </c>
      <c r="C229" s="6">
        <f>(Indices!C233-Indices!C232)/Indices!C232</f>
        <v>9.1462131099228558E-3</v>
      </c>
      <c r="D229" s="6">
        <f>(Indices!D233-Indices!D232)/Indices!D232</f>
        <v>3.6444771693403435E-3</v>
      </c>
      <c r="E229" s="6">
        <f>(Indices!E233-Indices!E232)/Indices!E232</f>
        <v>5.50890724431553E-3</v>
      </c>
      <c r="F229" s="6">
        <f>(Indices!F233-Indices!F232)/Indices!F232</f>
        <v>1.5530395440129612E-2</v>
      </c>
      <c r="G229" s="6">
        <f>(Indices!G233-Indices!G232)/Indices!G232</f>
        <v>8.7228188515132456E-3</v>
      </c>
      <c r="H229" s="6">
        <f>(Indices!H233-Indices!H232)/Indices!H232</f>
        <v>-2.5150700553926348E-3</v>
      </c>
      <c r="I229" s="6">
        <f>(Indices!I233-Indices!I232)/Indices!I232</f>
        <v>6.9780072630027347E-3</v>
      </c>
      <c r="J229" s="6">
        <f>(Indices!J233-Indices!J232)/Indices!J232</f>
        <v>4.5116328774169557E-3</v>
      </c>
      <c r="K229" s="6">
        <f>(Indices!K233-Indices!K232)/Indices!K232</f>
        <v>3.0084917738333293E-3</v>
      </c>
      <c r="L229" s="6">
        <f>(Indices!L233-Indices!L232)/Indices!L232</f>
        <v>6.8145773805489791E-4</v>
      </c>
      <c r="M229" s="10">
        <f>WEEKNUM(Rend_j[[#This Row],[Date]])-1</f>
        <v>45</v>
      </c>
      <c r="N229" s="7" t="str">
        <f>TEXT(Rend_j[[#This Row],[Date]],"ddd")</f>
        <v>Fri</v>
      </c>
      <c r="O229" s="7">
        <f>MONTH(Rend_j[[#This Row],[Date]])</f>
        <v>11</v>
      </c>
      <c r="P229" s="7">
        <f>YEAR(Rend_j[[#This Row],[Date]])</f>
        <v>2021</v>
      </c>
      <c r="Q229" s="7" t="str">
        <f>Rend_j[[#This Row],[Week]]&amp;","&amp;Rend_j[[#This Row],[Year]]</f>
        <v>45,2021</v>
      </c>
      <c r="R229" s="7" t="str">
        <f>Rend_j[[#This Row],[Month]]&amp;","&amp;Rend_j[[#This Row],[Year]]</f>
        <v>11,2021</v>
      </c>
    </row>
    <row r="230" spans="1:18" x14ac:dyDescent="0.25">
      <c r="A230" s="1">
        <v>44515</v>
      </c>
      <c r="B230" s="6">
        <f>(Indices!B234-Indices!B233)/Indices!B233</f>
        <v>-1.1778328208348736E-3</v>
      </c>
      <c r="C230" s="6">
        <f>(Indices!C234-Indices!C233)/Indices!C233</f>
        <v>2.9202866052712283E-3</v>
      </c>
      <c r="D230" s="6">
        <f>(Indices!D234-Indices!D233)/Indices!D233</f>
        <v>5.6965536621854333E-3</v>
      </c>
      <c r="E230" s="6">
        <f>(Indices!E234-Indices!E233)/Indices!E233</f>
        <v>3.1439769154571699E-3</v>
      </c>
      <c r="F230" s="6">
        <f>(Indices!F234-Indices!F233)/Indices!F233</f>
        <v>6.862964560458931E-3</v>
      </c>
      <c r="G230" s="6">
        <f>(Indices!G234-Indices!G233)/Indices!G233</f>
        <v>2.9458139174749379E-3</v>
      </c>
      <c r="H230" s="6">
        <f>(Indices!H234-Indices!H233)/Indices!H233</f>
        <v>5.5634385112442878E-3</v>
      </c>
      <c r="I230" s="6">
        <f>(Indices!I234-Indices!I233)/Indices!I233</f>
        <v>-2.1389857457209931E-4</v>
      </c>
      <c r="J230" s="6">
        <f>(Indices!J234-Indices!J233)/Indices!J233</f>
        <v>5.2500185456329238E-3</v>
      </c>
      <c r="K230" s="6">
        <f>(Indices!K234-Indices!K233)/Indices!K233</f>
        <v>3.4514494093477645E-3</v>
      </c>
      <c r="L230" s="6">
        <f>(Indices!L234-Indices!L233)/Indices!L233</f>
        <v>3.3906487885847947E-3</v>
      </c>
      <c r="M230" s="10">
        <f>WEEKNUM(Rend_j[[#This Row],[Date]])-1</f>
        <v>46</v>
      </c>
      <c r="N230" s="7" t="str">
        <f>TEXT(Rend_j[[#This Row],[Date]],"ddd")</f>
        <v>Mon</v>
      </c>
      <c r="O230" s="7">
        <f>MONTH(Rend_j[[#This Row],[Date]])</f>
        <v>11</v>
      </c>
      <c r="P230" s="7">
        <f>YEAR(Rend_j[[#This Row],[Date]])</f>
        <v>2021</v>
      </c>
      <c r="Q230" s="7" t="str">
        <f>Rend_j[[#This Row],[Week]]&amp;","&amp;Rend_j[[#This Row],[Year]]</f>
        <v>46,2021</v>
      </c>
      <c r="R230" s="7" t="str">
        <f>Rend_j[[#This Row],[Month]]&amp;","&amp;Rend_j[[#This Row],[Year]]</f>
        <v>11,2021</v>
      </c>
    </row>
    <row r="231" spans="1:18" x14ac:dyDescent="0.25">
      <c r="A231" s="1">
        <v>44516</v>
      </c>
      <c r="B231" s="6">
        <f>(Indices!B235-Indices!B234)/Indices!B234</f>
        <v>1.5675832108095884E-2</v>
      </c>
      <c r="C231" s="6">
        <f>(Indices!C235-Indices!C234)/Indices!C234</f>
        <v>7.8826135335531063E-3</v>
      </c>
      <c r="D231" s="6">
        <f>(Indices!D235-Indices!D234)/Indices!D234</f>
        <v>2.7563591882165286E-3</v>
      </c>
      <c r="E231" s="6">
        <f>(Indices!E235-Indices!E234)/Indices!E234</f>
        <v>9.0860200475428986E-3</v>
      </c>
      <c r="F231" s="6">
        <f>(Indices!F235-Indices!F234)/Indices!F234</f>
        <v>3.0312232260025049E-3</v>
      </c>
      <c r="G231" s="6">
        <f>(Indices!G235-Indices!G234)/Indices!G234</f>
        <v>8.0219251918629796E-3</v>
      </c>
      <c r="H231" s="6">
        <f>(Indices!H235-Indices!H234)/Indices!H234</f>
        <v>1.7765415304651204E-3</v>
      </c>
      <c r="I231" s="6">
        <f>(Indices!I235-Indices!I234)/Indices!I234</f>
        <v>3.9404108115810646E-3</v>
      </c>
      <c r="J231" s="6">
        <f>(Indices!J235-Indices!J234)/Indices!J234</f>
        <v>3.3625276376268672E-3</v>
      </c>
      <c r="K231" s="6">
        <f>(Indices!K235-Indices!K234)/Indices!K234</f>
        <v>1.7197879164639774E-3</v>
      </c>
      <c r="L231" s="6">
        <f>(Indices!L235-Indices!L234)/Indices!L234</f>
        <v>6.1442141350898051E-3</v>
      </c>
      <c r="M231" s="10">
        <f>WEEKNUM(Rend_j[[#This Row],[Date]])-1</f>
        <v>46</v>
      </c>
      <c r="N231" s="7" t="str">
        <f>TEXT(Rend_j[[#This Row],[Date]],"ddd")</f>
        <v>Tue</v>
      </c>
      <c r="O231" s="7">
        <f>MONTH(Rend_j[[#This Row],[Date]])</f>
        <v>11</v>
      </c>
      <c r="P231" s="7">
        <f>YEAR(Rend_j[[#This Row],[Date]])</f>
        <v>2021</v>
      </c>
      <c r="Q231" s="7" t="str">
        <f>Rend_j[[#This Row],[Week]]&amp;","&amp;Rend_j[[#This Row],[Year]]</f>
        <v>46,2021</v>
      </c>
      <c r="R231" s="7" t="str">
        <f>Rend_j[[#This Row],[Month]]&amp;","&amp;Rend_j[[#This Row],[Year]]</f>
        <v>11,2021</v>
      </c>
    </row>
    <row r="232" spans="1:18" x14ac:dyDescent="0.25">
      <c r="A232" s="1">
        <v>44517</v>
      </c>
      <c r="B232" s="6">
        <f>(Indices!B236-Indices!B235)/Indices!B235</f>
        <v>2.6728063811983444E-3</v>
      </c>
      <c r="C232" s="6">
        <f>(Indices!C236-Indices!C235)/Indices!C235</f>
        <v>3.6800489756040573E-4</v>
      </c>
      <c r="D232" s="6">
        <f>(Indices!D236-Indices!D235)/Indices!D235</f>
        <v>1.1081370176647578E-3</v>
      </c>
      <c r="E232" s="6">
        <f>(Indices!E236-Indices!E235)/Indices!E235</f>
        <v>8.9795753847672014E-4</v>
      </c>
      <c r="F232" s="6">
        <f>(Indices!F236-Indices!F235)/Indices!F235</f>
        <v>-1.0866450779304104E-3</v>
      </c>
      <c r="G232" s="6">
        <f>(Indices!G236-Indices!G235)/Indices!G235</f>
        <v>4.2819098013956397E-4</v>
      </c>
      <c r="H232" s="6">
        <f>(Indices!H236-Indices!H235)/Indices!H235</f>
        <v>2.290207841428432E-3</v>
      </c>
      <c r="I232" s="6">
        <f>(Indices!I236-Indices!I235)/Indices!I235</f>
        <v>-3.8876889193665783E-3</v>
      </c>
      <c r="J232" s="6">
        <f>(Indices!J236-Indices!J235)/Indices!J235</f>
        <v>5.9418951734605983E-4</v>
      </c>
      <c r="K232" s="6">
        <f>(Indices!K236-Indices!K235)/Indices!K235</f>
        <v>1.389872698691122E-3</v>
      </c>
      <c r="L232" s="6">
        <f>(Indices!L236-Indices!L235)/Indices!L235</f>
        <v>2.0122834204440812E-4</v>
      </c>
      <c r="M232" s="10">
        <f>WEEKNUM(Rend_j[[#This Row],[Date]])-1</f>
        <v>46</v>
      </c>
      <c r="N232" s="7" t="str">
        <f>TEXT(Rend_j[[#This Row],[Date]],"ddd")</f>
        <v>Wed</v>
      </c>
      <c r="O232" s="7">
        <f>MONTH(Rend_j[[#This Row],[Date]])</f>
        <v>11</v>
      </c>
      <c r="P232" s="7">
        <f>YEAR(Rend_j[[#This Row],[Date]])</f>
        <v>2021</v>
      </c>
      <c r="Q232" s="7" t="str">
        <f>Rend_j[[#This Row],[Week]]&amp;","&amp;Rend_j[[#This Row],[Year]]</f>
        <v>46,2021</v>
      </c>
      <c r="R232" s="7" t="str">
        <f>Rend_j[[#This Row],[Month]]&amp;","&amp;Rend_j[[#This Row],[Year]]</f>
        <v>11,2021</v>
      </c>
    </row>
    <row r="233" spans="1:18" x14ac:dyDescent="0.25">
      <c r="A233" s="1">
        <v>44518</v>
      </c>
      <c r="B233" s="6">
        <f>(Indices!B237-Indices!B236)/Indices!B236</f>
        <v>-1.8274012855111151E-2</v>
      </c>
      <c r="C233" s="6">
        <f>(Indices!C237-Indices!C236)/Indices!C236</f>
        <v>-1.9149843225698593E-3</v>
      </c>
      <c r="D233" s="6">
        <f>(Indices!D237-Indices!D236)/Indices!D236</f>
        <v>-8.5630404003773832E-3</v>
      </c>
      <c r="E233" s="6">
        <f>(Indices!E237-Indices!E236)/Indices!E236</f>
        <v>-1.3636261941517389E-2</v>
      </c>
      <c r="F233" s="6">
        <f>(Indices!F237-Indices!F236)/Indices!F236</f>
        <v>-2.2243629987227578E-3</v>
      </c>
      <c r="G233" s="6">
        <f>(Indices!G237-Indices!G236)/Indices!G236</f>
        <v>-3.2674735017989009E-3</v>
      </c>
      <c r="H233" s="6">
        <f>(Indices!H237-Indices!H236)/Indices!H236</f>
        <v>-7.501996825300436E-3</v>
      </c>
      <c r="I233" s="6">
        <f>(Indices!I237-Indices!I236)/Indices!I236</f>
        <v>1.8860249660960155E-3</v>
      </c>
      <c r="J233" s="6">
        <f>(Indices!J237-Indices!J236)/Indices!J236</f>
        <v>-2.0777461867135254E-3</v>
      </c>
      <c r="K233" s="6">
        <f>(Indices!K237-Indices!K236)/Indices!K236</f>
        <v>-4.5923052248032191E-3</v>
      </c>
      <c r="L233" s="6">
        <f>(Indices!L237-Indices!L236)/Indices!L236</f>
        <v>-1.8090686750452572E-3</v>
      </c>
      <c r="M233" s="10">
        <f>WEEKNUM(Rend_j[[#This Row],[Date]])-1</f>
        <v>46</v>
      </c>
      <c r="N233" s="7" t="str">
        <f>TEXT(Rend_j[[#This Row],[Date]],"ddd")</f>
        <v>Thu</v>
      </c>
      <c r="O233" s="7">
        <f>MONTH(Rend_j[[#This Row],[Date]])</f>
        <v>11</v>
      </c>
      <c r="P233" s="7">
        <f>YEAR(Rend_j[[#This Row],[Date]])</f>
        <v>2021</v>
      </c>
      <c r="Q233" s="7" t="str">
        <f>Rend_j[[#This Row],[Week]]&amp;","&amp;Rend_j[[#This Row],[Year]]</f>
        <v>46,2021</v>
      </c>
      <c r="R233" s="7" t="str">
        <f>Rend_j[[#This Row],[Month]]&amp;","&amp;Rend_j[[#This Row],[Year]]</f>
        <v>11,2021</v>
      </c>
    </row>
    <row r="234" spans="1:18" x14ac:dyDescent="0.25">
      <c r="A234" s="1">
        <v>44519</v>
      </c>
      <c r="B234" s="6">
        <f>(Indices!B238-Indices!B237)/Indices!B237</f>
        <v>1.8505702764209991E-3</v>
      </c>
      <c r="C234" s="6">
        <f>(Indices!C238-Indices!C237)/Indices!C237</f>
        <v>7.2681678361167959E-4</v>
      </c>
      <c r="D234" s="6">
        <f>(Indices!D238-Indices!D237)/Indices!D237</f>
        <v>1.8372718125225947E-3</v>
      </c>
      <c r="E234" s="6">
        <f>(Indices!E238-Indices!E237)/Indices!E237</f>
        <v>-9.1862772894805262E-4</v>
      </c>
      <c r="F234" s="6">
        <f>(Indices!F238-Indices!F237)/Indices!F237</f>
        <v>1.1347302303632617E-2</v>
      </c>
      <c r="G234" s="6">
        <f>(Indices!G238-Indices!G237)/Indices!G237</f>
        <v>5.4112743027301695E-4</v>
      </c>
      <c r="H234" s="6">
        <f>(Indices!H238-Indices!H237)/Indices!H237</f>
        <v>-3.4329954668161082E-3</v>
      </c>
      <c r="I234" s="6">
        <f>(Indices!I238-Indices!I237)/Indices!I237</f>
        <v>-2.4919133433328531E-3</v>
      </c>
      <c r="J234" s="6">
        <f>(Indices!J238-Indices!J237)/Indices!J237</f>
        <v>-4.157102243795373E-3</v>
      </c>
      <c r="K234" s="6">
        <f>(Indices!K238-Indices!K237)/Indices!K237</f>
        <v>-3.3217653478343533E-3</v>
      </c>
      <c r="L234" s="6">
        <f>(Indices!L238-Indices!L237)/Indices!L237</f>
        <v>-3.8072843161966129E-3</v>
      </c>
      <c r="M234" s="10">
        <f>WEEKNUM(Rend_j[[#This Row],[Date]])-1</f>
        <v>46</v>
      </c>
      <c r="N234" s="7" t="str">
        <f>TEXT(Rend_j[[#This Row],[Date]],"ddd")</f>
        <v>Fri</v>
      </c>
      <c r="O234" s="7">
        <f>MONTH(Rend_j[[#This Row],[Date]])</f>
        <v>11</v>
      </c>
      <c r="P234" s="7">
        <f>YEAR(Rend_j[[#This Row],[Date]])</f>
        <v>2021</v>
      </c>
      <c r="Q234" s="7" t="str">
        <f>Rend_j[[#This Row],[Week]]&amp;","&amp;Rend_j[[#This Row],[Year]]</f>
        <v>46,2021</v>
      </c>
      <c r="R234" s="7" t="str">
        <f>Rend_j[[#This Row],[Month]]&amp;","&amp;Rend_j[[#This Row],[Year]]</f>
        <v>11,2021</v>
      </c>
    </row>
    <row r="235" spans="1:18" x14ac:dyDescent="0.25">
      <c r="A235" s="1">
        <v>44522</v>
      </c>
      <c r="B235" s="6">
        <f>(Indices!B239-Indices!B238)/Indices!B238</f>
        <v>7.3278332794221076E-3</v>
      </c>
      <c r="C235" s="6">
        <f>(Indices!C239-Indices!C238)/Indices!C238</f>
        <v>5.6106678415798999E-4</v>
      </c>
      <c r="D235" s="6">
        <f>(Indices!D239-Indices!D238)/Indices!D238</f>
        <v>-5.6863565212654477E-4</v>
      </c>
      <c r="E235" s="6">
        <f>(Indices!E239-Indices!E238)/Indices!E238</f>
        <v>2.3611142643082387E-4</v>
      </c>
      <c r="F235" s="6">
        <f>(Indices!F239-Indices!F238)/Indices!F238</f>
        <v>-2.5368323384446115E-3</v>
      </c>
      <c r="G235" s="6">
        <f>(Indices!G239-Indices!G238)/Indices!G238</f>
        <v>5.23388486849111E-4</v>
      </c>
      <c r="H235" s="6">
        <f>(Indices!H239-Indices!H238)/Indices!H238</f>
        <v>7.0020852925543019E-3</v>
      </c>
      <c r="I235" s="6">
        <f>(Indices!I239-Indices!I238)/Indices!I238</f>
        <v>-4.5807821871159211E-3</v>
      </c>
      <c r="J235" s="6">
        <f>(Indices!J239-Indices!J238)/Indices!J238</f>
        <v>-1.0249918043310597E-3</v>
      </c>
      <c r="K235" s="6">
        <f>(Indices!K239-Indices!K238)/Indices!K238</f>
        <v>-1.2755020090963231E-3</v>
      </c>
      <c r="L235" s="6">
        <f>(Indices!L239-Indices!L238)/Indices!L238</f>
        <v>-2.7400608255966174E-3</v>
      </c>
      <c r="M235" s="10">
        <f>WEEKNUM(Rend_j[[#This Row],[Date]])-1</f>
        <v>47</v>
      </c>
      <c r="N235" s="7" t="str">
        <f>TEXT(Rend_j[[#This Row],[Date]],"ddd")</f>
        <v>Mon</v>
      </c>
      <c r="O235" s="7">
        <f>MONTH(Rend_j[[#This Row],[Date]])</f>
        <v>11</v>
      </c>
      <c r="P235" s="7">
        <f>YEAR(Rend_j[[#This Row],[Date]])</f>
        <v>2021</v>
      </c>
      <c r="Q235" s="7" t="str">
        <f>Rend_j[[#This Row],[Week]]&amp;","&amp;Rend_j[[#This Row],[Year]]</f>
        <v>47,2021</v>
      </c>
      <c r="R235" s="7" t="str">
        <f>Rend_j[[#This Row],[Month]]&amp;","&amp;Rend_j[[#This Row],[Year]]</f>
        <v>11,2021</v>
      </c>
    </row>
    <row r="236" spans="1:18" x14ac:dyDescent="0.25">
      <c r="A236" s="1">
        <v>44523</v>
      </c>
      <c r="B236" s="6">
        <f>(Indices!B240-Indices!B239)/Indices!B239</f>
        <v>-8.4541441065124016E-3</v>
      </c>
      <c r="C236" s="6">
        <f>(Indices!C240-Indices!C239)/Indices!C239</f>
        <v>-2.9482491115689399E-3</v>
      </c>
      <c r="D236" s="6">
        <f>(Indices!D240-Indices!D239)/Indices!D239</f>
        <v>-3.5910445498070986E-3</v>
      </c>
      <c r="E236" s="6">
        <f>(Indices!E240-Indices!E239)/Indices!E239</f>
        <v>-6.3893920204097327E-3</v>
      </c>
      <c r="F236" s="6">
        <f>(Indices!F240-Indices!F239)/Indices!F239</f>
        <v>-3.6778148187977069E-3</v>
      </c>
      <c r="G236" s="6">
        <f>(Indices!G240-Indices!G239)/Indices!G239</f>
        <v>-3.340959183104186E-3</v>
      </c>
      <c r="H236" s="6">
        <f>(Indices!H240-Indices!H239)/Indices!H239</f>
        <v>-1.9489813527149439E-3</v>
      </c>
      <c r="I236" s="6">
        <f>(Indices!I240-Indices!I239)/Indices!I239</f>
        <v>6.5831173700362563E-4</v>
      </c>
      <c r="J236" s="6">
        <f>(Indices!J240-Indices!J239)/Indices!J239</f>
        <v>-8.4982242083039561E-3</v>
      </c>
      <c r="K236" s="6">
        <f>(Indices!K240-Indices!K239)/Indices!K239</f>
        <v>-1.2791972799257936E-2</v>
      </c>
      <c r="L236" s="6">
        <f>(Indices!L240-Indices!L239)/Indices!L239</f>
        <v>-1.10879785620206E-2</v>
      </c>
      <c r="M236" s="10">
        <f>WEEKNUM(Rend_j[[#This Row],[Date]])-1</f>
        <v>47</v>
      </c>
      <c r="N236" s="7" t="str">
        <f>TEXT(Rend_j[[#This Row],[Date]],"ddd")</f>
        <v>Tue</v>
      </c>
      <c r="O236" s="7">
        <f>MONTH(Rend_j[[#This Row],[Date]])</f>
        <v>11</v>
      </c>
      <c r="P236" s="7">
        <f>YEAR(Rend_j[[#This Row],[Date]])</f>
        <v>2021</v>
      </c>
      <c r="Q236" s="7" t="str">
        <f>Rend_j[[#This Row],[Week]]&amp;","&amp;Rend_j[[#This Row],[Year]]</f>
        <v>47,2021</v>
      </c>
      <c r="R236" s="7" t="str">
        <f>Rend_j[[#This Row],[Month]]&amp;","&amp;Rend_j[[#This Row],[Year]]</f>
        <v>11,2021</v>
      </c>
    </row>
    <row r="237" spans="1:18" x14ac:dyDescent="0.25">
      <c r="A237" s="1">
        <v>44524</v>
      </c>
      <c r="B237" s="6">
        <f>(Indices!B241-Indices!B240)/Indices!B240</f>
        <v>4.7064980595463279E-3</v>
      </c>
      <c r="C237" s="6">
        <f>(Indices!C241-Indices!C240)/Indices!C240</f>
        <v>6.3762835375952755E-3</v>
      </c>
      <c r="D237" s="6">
        <f>(Indices!D241-Indices!D240)/Indices!D240</f>
        <v>3.8886720711637924E-3</v>
      </c>
      <c r="E237" s="6">
        <f>(Indices!E241-Indices!E240)/Indices!E240</f>
        <v>4.189519804275876E-3</v>
      </c>
      <c r="F237" s="6">
        <f>(Indices!F241-Indices!F240)/Indices!F240</f>
        <v>-9.4227614195664285E-3</v>
      </c>
      <c r="G237" s="6">
        <f>(Indices!G241-Indices!G240)/Indices!G240</f>
        <v>6.1269621325046588E-3</v>
      </c>
      <c r="H237" s="6">
        <f>(Indices!H241-Indices!H240)/Indices!H240</f>
        <v>5.9397280336856133E-3</v>
      </c>
      <c r="I237" s="6">
        <f>(Indices!I241-Indices!I240)/Indices!I240</f>
        <v>2.7281674431038766E-3</v>
      </c>
      <c r="J237" s="6">
        <f>(Indices!J241-Indices!J240)/Indices!J240</f>
        <v>-3.3928543488561861E-4</v>
      </c>
      <c r="K237" s="6">
        <f>(Indices!K241-Indices!K240)/Indices!K240</f>
        <v>9.1810537297859712E-4</v>
      </c>
      <c r="L237" s="6">
        <f>(Indices!L241-Indices!L240)/Indices!L240</f>
        <v>-3.6776275334128652E-3</v>
      </c>
      <c r="M237" s="10">
        <f>WEEKNUM(Rend_j[[#This Row],[Date]])-1</f>
        <v>47</v>
      </c>
      <c r="N237" s="7" t="str">
        <f>TEXT(Rend_j[[#This Row],[Date]],"ddd")</f>
        <v>Wed</v>
      </c>
      <c r="O237" s="7">
        <f>MONTH(Rend_j[[#This Row],[Date]])</f>
        <v>11</v>
      </c>
      <c r="P237" s="7">
        <f>YEAR(Rend_j[[#This Row],[Date]])</f>
        <v>2021</v>
      </c>
      <c r="Q237" s="7" t="str">
        <f>Rend_j[[#This Row],[Week]]&amp;","&amp;Rend_j[[#This Row],[Year]]</f>
        <v>47,2021</v>
      </c>
      <c r="R237" s="7" t="str">
        <f>Rend_j[[#This Row],[Month]]&amp;","&amp;Rend_j[[#This Row],[Year]]</f>
        <v>11,2021</v>
      </c>
    </row>
    <row r="238" spans="1:18" x14ac:dyDescent="0.25">
      <c r="A238" s="1">
        <v>44525</v>
      </c>
      <c r="B238" s="6">
        <f>(Indices!B242-Indices!B241)/Indices!B241</f>
        <v>3.8388999036629873E-4</v>
      </c>
      <c r="C238" s="6">
        <f>(Indices!C242-Indices!C241)/Indices!C241</f>
        <v>1.4056885816943969E-4</v>
      </c>
      <c r="D238" s="6">
        <f>(Indices!D242-Indices!D241)/Indices!D241</f>
        <v>-1.7889496503141627E-3</v>
      </c>
      <c r="E238" s="6">
        <f>(Indices!E242-Indices!E241)/Indices!E241</f>
        <v>2.0473483426618959E-5</v>
      </c>
      <c r="F238" s="6">
        <f>(Indices!F242-Indices!F241)/Indices!F241</f>
        <v>3.3342413511304536E-3</v>
      </c>
      <c r="G238" s="6">
        <f>(Indices!G242-Indices!G241)/Indices!G241</f>
        <v>1.2867909173440136E-4</v>
      </c>
      <c r="H238" s="6">
        <f>(Indices!H242-Indices!H241)/Indices!H241</f>
        <v>1.1627319144633223E-3</v>
      </c>
      <c r="I238" s="6">
        <f>(Indices!I242-Indices!I241)/Indices!I241</f>
        <v>0</v>
      </c>
      <c r="J238" s="6">
        <f>(Indices!J242-Indices!J241)/Indices!J241</f>
        <v>4.7769154224639966E-3</v>
      </c>
      <c r="K238" s="6">
        <f>(Indices!K242-Indices!K241)/Indices!K241</f>
        <v>4.2318976662766303E-3</v>
      </c>
      <c r="L238" s="6">
        <f>(Indices!L242-Indices!L241)/Indices!L241</f>
        <v>2.4933775321479947E-3</v>
      </c>
      <c r="M238" s="10">
        <f>WEEKNUM(Rend_j[[#This Row],[Date]])-1</f>
        <v>47</v>
      </c>
      <c r="N238" s="7" t="str">
        <f>TEXT(Rend_j[[#This Row],[Date]],"ddd")</f>
        <v>Thu</v>
      </c>
      <c r="O238" s="7">
        <f>MONTH(Rend_j[[#This Row],[Date]])</f>
        <v>11</v>
      </c>
      <c r="P238" s="7">
        <f>YEAR(Rend_j[[#This Row],[Date]])</f>
        <v>2021</v>
      </c>
      <c r="Q238" s="7" t="str">
        <f>Rend_j[[#This Row],[Week]]&amp;","&amp;Rend_j[[#This Row],[Year]]</f>
        <v>47,2021</v>
      </c>
      <c r="R238" s="7" t="str">
        <f>Rend_j[[#This Row],[Month]]&amp;","&amp;Rend_j[[#This Row],[Year]]</f>
        <v>11,2021</v>
      </c>
    </row>
    <row r="239" spans="1:18" x14ac:dyDescent="0.25">
      <c r="A239" s="1">
        <v>44526</v>
      </c>
      <c r="B239" s="6">
        <f>(Indices!B243-Indices!B242)/Indices!B242</f>
        <v>-2.6704851268286055E-2</v>
      </c>
      <c r="C239" s="6">
        <f>(Indices!C243-Indices!C242)/Indices!C242</f>
        <v>-3.1119627853403966E-2</v>
      </c>
      <c r="D239" s="6">
        <f>(Indices!D243-Indices!D242)/Indices!D242</f>
        <v>-3.4236458956339637E-2</v>
      </c>
      <c r="E239" s="6">
        <f>(Indices!E243-Indices!E242)/Indices!E242</f>
        <v>-3.4240062602080894E-2</v>
      </c>
      <c r="F239" s="6">
        <f>(Indices!F243-Indices!F242)/Indices!F242</f>
        <v>-1.0268133491165492E-2</v>
      </c>
      <c r="G239" s="6">
        <f>(Indices!G243-Indices!G242)/Indices!G242</f>
        <v>-3.1473638089674266E-2</v>
      </c>
      <c r="H239" s="6">
        <f>(Indices!H243-Indices!H242)/Indices!H242</f>
        <v>-4.4485962431831963E-2</v>
      </c>
      <c r="I239" s="6">
        <f>(Indices!I243-Indices!I242)/Indices!I242</f>
        <v>-2.316592860185894E-2</v>
      </c>
      <c r="J239" s="6">
        <f>(Indices!J243-Indices!J242)/Indices!J242</f>
        <v>-4.7505131021612884E-2</v>
      </c>
      <c r="K239" s="6">
        <f>(Indices!K243-Indices!K242)/Indices!K242</f>
        <v>-3.6681086447145544E-2</v>
      </c>
      <c r="L239" s="6">
        <f>(Indices!L243-Indices!L242)/Indices!L242</f>
        <v>-4.1521625890020994E-2</v>
      </c>
      <c r="M239" s="10">
        <f>WEEKNUM(Rend_j[[#This Row],[Date]])-1</f>
        <v>47</v>
      </c>
      <c r="N239" s="7" t="str">
        <f>TEXT(Rend_j[[#This Row],[Date]],"ddd")</f>
        <v>Fri</v>
      </c>
      <c r="O239" s="7">
        <f>MONTH(Rend_j[[#This Row],[Date]])</f>
        <v>11</v>
      </c>
      <c r="P239" s="7">
        <f>YEAR(Rend_j[[#This Row],[Date]])</f>
        <v>2021</v>
      </c>
      <c r="Q239" s="7" t="str">
        <f>Rend_j[[#This Row],[Week]]&amp;","&amp;Rend_j[[#This Row],[Year]]</f>
        <v>47,2021</v>
      </c>
      <c r="R239" s="7" t="str">
        <f>Rend_j[[#This Row],[Month]]&amp;","&amp;Rend_j[[#This Row],[Year]]</f>
        <v>11,2021</v>
      </c>
    </row>
    <row r="240" spans="1:18" x14ac:dyDescent="0.25">
      <c r="A240" s="1">
        <v>44529</v>
      </c>
      <c r="B240" s="6">
        <f>(Indices!B244-Indices!B243)/Indices!B243</f>
        <v>2.3363993618236954E-3</v>
      </c>
      <c r="C240" s="6">
        <f>(Indices!C244-Indices!C243)/Indices!C243</f>
        <v>1.1785518424823596E-2</v>
      </c>
      <c r="D240" s="6">
        <f>(Indices!D244-Indices!D243)/Indices!D243</f>
        <v>1.4628268530207534E-3</v>
      </c>
      <c r="E240" s="6">
        <f>(Indices!E244-Indices!E243)/Indices!E243</f>
        <v>7.6787186432685189E-4</v>
      </c>
      <c r="F240" s="6">
        <f>(Indices!F244-Indices!F243)/Indices!F243</f>
        <v>-1.7287445616691533E-2</v>
      </c>
      <c r="G240" s="6">
        <f>(Indices!G244-Indices!G243)/Indices!G243</f>
        <v>1.0541319747381647E-2</v>
      </c>
      <c r="H240" s="6">
        <f>(Indices!H244-Indices!H243)/Indices!H243</f>
        <v>1.1129313533794975E-2</v>
      </c>
      <c r="I240" s="6">
        <f>(Indices!I244-Indices!I243)/Indices!I243</f>
        <v>1.1256336800288976E-2</v>
      </c>
      <c r="J240" s="6">
        <f>(Indices!J244-Indices!J243)/Indices!J243</f>
        <v>5.418617675837502E-3</v>
      </c>
      <c r="K240" s="6">
        <f>(Indices!K244-Indices!K243)/Indices!K243</f>
        <v>6.8742637269500213E-3</v>
      </c>
      <c r="L240" s="6">
        <f>(Indices!L244-Indices!L243)/Indices!L243</f>
        <v>1.5612667947092164E-3</v>
      </c>
      <c r="M240" s="10">
        <f>WEEKNUM(Rend_j[[#This Row],[Date]])-1</f>
        <v>48</v>
      </c>
      <c r="N240" s="7" t="str">
        <f>TEXT(Rend_j[[#This Row],[Date]],"ddd")</f>
        <v>Mon</v>
      </c>
      <c r="O240" s="7">
        <f>MONTH(Rend_j[[#This Row],[Date]])</f>
        <v>11</v>
      </c>
      <c r="P240" s="7">
        <f>YEAR(Rend_j[[#This Row],[Date]])</f>
        <v>2021</v>
      </c>
      <c r="Q240" s="7" t="str">
        <f>Rend_j[[#This Row],[Week]]&amp;","&amp;Rend_j[[#This Row],[Year]]</f>
        <v>48,2021</v>
      </c>
      <c r="R240" s="7" t="str">
        <f>Rend_j[[#This Row],[Month]]&amp;","&amp;Rend_j[[#This Row],[Year]]</f>
        <v>11,2021</v>
      </c>
    </row>
    <row r="241" spans="1:18" x14ac:dyDescent="0.25">
      <c r="A241" s="1">
        <v>44530</v>
      </c>
      <c r="B241" s="6">
        <f>(Indices!B245-Indices!B244)/Indices!B244</f>
        <v>-6.1878435053413193E-3</v>
      </c>
      <c r="C241" s="6">
        <f>(Indices!C245-Indices!C244)/Indices!C244</f>
        <v>-1.5998405404838299E-2</v>
      </c>
      <c r="D241" s="6">
        <f>(Indices!D245-Indices!D244)/Indices!D244</f>
        <v>-1.2490869177045612E-3</v>
      </c>
      <c r="E241" s="6">
        <f>(Indices!E245-Indices!E244)/Indices!E244</f>
        <v>-4.2812491173894506E-3</v>
      </c>
      <c r="F241" s="6">
        <f>(Indices!F245-Indices!F244)/Indices!F244</f>
        <v>-9.1837874050916153E-3</v>
      </c>
      <c r="G241" s="6">
        <f>(Indices!G245-Indices!G244)/Indices!G244</f>
        <v>-1.4687752034932316E-2</v>
      </c>
      <c r="H241" s="6">
        <f>(Indices!H245-Indices!H244)/Indices!H244</f>
        <v>-1.0630513860434105E-2</v>
      </c>
      <c r="I241" s="6">
        <f>(Indices!I245-Indices!I244)/Indices!I244</f>
        <v>-1.9682826105428514E-2</v>
      </c>
      <c r="J241" s="6">
        <f>(Indices!J245-Indices!J244)/Indices!J244</f>
        <v>-8.1298423169157107E-3</v>
      </c>
      <c r="K241" s="6">
        <f>(Indices!K245-Indices!K244)/Indices!K244</f>
        <v>-9.1601726984027534E-3</v>
      </c>
      <c r="L241" s="6">
        <f>(Indices!L245-Indices!L244)/Indices!L244</f>
        <v>-1.1827244399887499E-2</v>
      </c>
      <c r="M241" s="10">
        <f>WEEKNUM(Rend_j[[#This Row],[Date]])-1</f>
        <v>48</v>
      </c>
      <c r="N241" s="7" t="str">
        <f>TEXT(Rend_j[[#This Row],[Date]],"ddd")</f>
        <v>Tue</v>
      </c>
      <c r="O241" s="7">
        <f>MONTH(Rend_j[[#This Row],[Date]])</f>
        <v>11</v>
      </c>
      <c r="P241" s="7">
        <f>YEAR(Rend_j[[#This Row],[Date]])</f>
        <v>2021</v>
      </c>
      <c r="Q241" s="7" t="str">
        <f>Rend_j[[#This Row],[Week]]&amp;","&amp;Rend_j[[#This Row],[Year]]</f>
        <v>48,2021</v>
      </c>
      <c r="R241" s="7" t="str">
        <f>Rend_j[[#This Row],[Month]]&amp;","&amp;Rend_j[[#This Row],[Year]]</f>
        <v>11,2021</v>
      </c>
    </row>
    <row r="242" spans="1:18" x14ac:dyDescent="0.25">
      <c r="A242" s="1">
        <v>44531</v>
      </c>
      <c r="B242" s="6">
        <f>(Indices!B246-Indices!B245)/Indices!B245</f>
        <v>-4.749621258649658E-3</v>
      </c>
      <c r="C242" s="6">
        <f>(Indices!C246-Indices!C245)/Indices!C245</f>
        <v>-1.1308108645976651E-2</v>
      </c>
      <c r="D242" s="6">
        <f>(Indices!D246-Indices!D245)/Indices!D245</f>
        <v>9.2365671315100921E-3</v>
      </c>
      <c r="E242" s="6">
        <f>(Indices!E246-Indices!E245)/Indices!E245</f>
        <v>4.904776424926165E-3</v>
      </c>
      <c r="F242" s="6">
        <f>(Indices!F246-Indices!F245)/Indices!F245</f>
        <v>2.5073954078038778E-3</v>
      </c>
      <c r="G242" s="6">
        <f>(Indices!G246-Indices!G245)/Indices!G245</f>
        <v>-9.4546110159560593E-3</v>
      </c>
      <c r="H242" s="6">
        <f>(Indices!H246-Indices!H245)/Indices!H245</f>
        <v>1.4854571002947735E-2</v>
      </c>
      <c r="I242" s="6">
        <f>(Indices!I246-Indices!I245)/Indices!I245</f>
        <v>-1.460806393941759E-2</v>
      </c>
      <c r="J242" s="6">
        <f>(Indices!J246-Indices!J245)/Indices!J245</f>
        <v>2.3911044711013799E-2</v>
      </c>
      <c r="K242" s="6">
        <f>(Indices!K246-Indices!K245)/Indices!K245</f>
        <v>1.7064096581944146E-2</v>
      </c>
      <c r="L242" s="6">
        <f>(Indices!L246-Indices!L245)/Indices!L245</f>
        <v>2.4671313621840177E-2</v>
      </c>
      <c r="M242" s="10">
        <f>WEEKNUM(Rend_j[[#This Row],[Date]])-1</f>
        <v>48</v>
      </c>
      <c r="N242" s="7" t="str">
        <f>TEXT(Rend_j[[#This Row],[Date]],"ddd")</f>
        <v>Wed</v>
      </c>
      <c r="O242" s="7">
        <f>MONTH(Rend_j[[#This Row],[Date]])</f>
        <v>12</v>
      </c>
      <c r="P242" s="7">
        <f>YEAR(Rend_j[[#This Row],[Date]])</f>
        <v>2021</v>
      </c>
      <c r="Q242" s="7" t="str">
        <f>Rend_j[[#This Row],[Week]]&amp;","&amp;Rend_j[[#This Row],[Year]]</f>
        <v>48,2021</v>
      </c>
      <c r="R242" s="7" t="str">
        <f>Rend_j[[#This Row],[Month]]&amp;","&amp;Rend_j[[#This Row],[Year]]</f>
        <v>12,2021</v>
      </c>
    </row>
    <row r="243" spans="1:18" x14ac:dyDescent="0.25">
      <c r="A243" s="1">
        <v>44532</v>
      </c>
      <c r="B243" s="6">
        <f>(Indices!B247-Indices!B246)/Indices!B246</f>
        <v>1.9027440654954427E-3</v>
      </c>
      <c r="C243" s="6">
        <f>(Indices!C247-Indices!C246)/Indices!C246</f>
        <v>8.9788612158484826E-3</v>
      </c>
      <c r="D243" s="6">
        <f>(Indices!D247-Indices!D246)/Indices!D246</f>
        <v>1.2889533586573965E-2</v>
      </c>
      <c r="E243" s="6">
        <f>(Indices!E247-Indices!E246)/Indices!E246</f>
        <v>9.1171683147821762E-3</v>
      </c>
      <c r="F243" s="6">
        <f>(Indices!F247-Indices!F246)/Indices!F246</f>
        <v>-3.4622302158272564E-3</v>
      </c>
      <c r="G243" s="6">
        <f>(Indices!G247-Indices!G246)/Indices!G246</f>
        <v>8.9951693283291546E-3</v>
      </c>
      <c r="H243" s="6">
        <f>(Indices!H247-Indices!H246)/Indices!H246</f>
        <v>-3.5187440790364895E-3</v>
      </c>
      <c r="I243" s="6">
        <f>(Indices!I247-Indices!I246)/Indices!I246</f>
        <v>1.5913173503480777E-2</v>
      </c>
      <c r="J243" s="6">
        <f>(Indices!J247-Indices!J246)/Indices!J246</f>
        <v>-1.251405730358982E-2</v>
      </c>
      <c r="K243" s="6">
        <f>(Indices!K247-Indices!K246)/Indices!K246</f>
        <v>-1.1510816745236914E-2</v>
      </c>
      <c r="L243" s="6">
        <f>(Indices!L247-Indices!L246)/Indices!L246</f>
        <v>-1.3543853199448298E-2</v>
      </c>
      <c r="M243" s="10">
        <f>WEEKNUM(Rend_j[[#This Row],[Date]])-1</f>
        <v>48</v>
      </c>
      <c r="N243" s="7" t="str">
        <f>TEXT(Rend_j[[#This Row],[Date]],"ddd")</f>
        <v>Thu</v>
      </c>
      <c r="O243" s="7">
        <f>MONTH(Rend_j[[#This Row],[Date]])</f>
        <v>12</v>
      </c>
      <c r="P243" s="7">
        <f>YEAR(Rend_j[[#This Row],[Date]])</f>
        <v>2021</v>
      </c>
      <c r="Q243" s="7" t="str">
        <f>Rend_j[[#This Row],[Week]]&amp;","&amp;Rend_j[[#This Row],[Year]]</f>
        <v>48,2021</v>
      </c>
      <c r="R243" s="7" t="str">
        <f>Rend_j[[#This Row],[Month]]&amp;","&amp;Rend_j[[#This Row],[Year]]</f>
        <v>12,2021</v>
      </c>
    </row>
    <row r="244" spans="1:18" x14ac:dyDescent="0.25">
      <c r="A244" s="1">
        <v>44533</v>
      </c>
      <c r="B244" s="6">
        <f>(Indices!B248-Indices!B247)/Indices!B247</f>
        <v>-1.9549067715122683E-3</v>
      </c>
      <c r="C244" s="6">
        <f>(Indices!C248-Indices!C247)/Indices!C247</f>
        <v>-4.6489756222680831E-3</v>
      </c>
      <c r="D244" s="6">
        <f>(Indices!D248-Indices!D247)/Indices!D247</f>
        <v>-2.3792010133843271E-3</v>
      </c>
      <c r="E244" s="6">
        <f>(Indices!E248-Indices!E247)/Indices!E247</f>
        <v>-6.0488382501024934E-3</v>
      </c>
      <c r="F244" s="6">
        <f>(Indices!F248-Indices!F247)/Indices!F247</f>
        <v>1.5126562288498782E-2</v>
      </c>
      <c r="G244" s="6">
        <f>(Indices!G248-Indices!G247)/Indices!G247</f>
        <v>-4.8092533931752982E-3</v>
      </c>
      <c r="H244" s="6">
        <f>(Indices!H248-Indices!H247)/Indices!H247</f>
        <v>-3.9281647321847343E-3</v>
      </c>
      <c r="I244" s="6">
        <f>(Indices!I248-Indices!I247)/Indices!I247</f>
        <v>-1.0865314044270465E-2</v>
      </c>
      <c r="J244" s="6">
        <f>(Indices!J248-Indices!J247)/Indices!J247</f>
        <v>-4.4483655225692632E-3</v>
      </c>
      <c r="K244" s="6">
        <f>(Indices!K248-Indices!K247)/Indices!K247</f>
        <v>-5.736535296766313E-3</v>
      </c>
      <c r="L244" s="6">
        <f>(Indices!L248-Indices!L247)/Indices!L247</f>
        <v>-6.1016318341693973E-3</v>
      </c>
      <c r="M244" s="10">
        <f>WEEKNUM(Rend_j[[#This Row],[Date]])-1</f>
        <v>48</v>
      </c>
      <c r="N244" s="7" t="str">
        <f>TEXT(Rend_j[[#This Row],[Date]],"ddd")</f>
        <v>Fri</v>
      </c>
      <c r="O244" s="7">
        <f>MONTH(Rend_j[[#This Row],[Date]])</f>
        <v>12</v>
      </c>
      <c r="P244" s="7">
        <f>YEAR(Rend_j[[#This Row],[Date]])</f>
        <v>2021</v>
      </c>
      <c r="Q244" s="7" t="str">
        <f>Rend_j[[#This Row],[Week]]&amp;","&amp;Rend_j[[#This Row],[Year]]</f>
        <v>48,2021</v>
      </c>
      <c r="R244" s="7" t="str">
        <f>Rend_j[[#This Row],[Month]]&amp;","&amp;Rend_j[[#This Row],[Year]]</f>
        <v>12,2021</v>
      </c>
    </row>
    <row r="245" spans="1:18" x14ac:dyDescent="0.25">
      <c r="A245" s="1">
        <v>44536</v>
      </c>
      <c r="B245" s="6">
        <f>(Indices!B249-Indices!B248)/Indices!B248</f>
        <v>-1.3883607955217578E-2</v>
      </c>
      <c r="C245" s="6">
        <f>(Indices!C249-Indices!C248)/Indices!C248</f>
        <v>1.0851747661076296E-2</v>
      </c>
      <c r="D245" s="6">
        <f>(Indices!D249-Indices!D248)/Indices!D248</f>
        <v>-2.1455812575758748E-3</v>
      </c>
      <c r="E245" s="6">
        <f>(Indices!E249-Indices!E248)/Indices!E248</f>
        <v>-7.8914104401132442E-3</v>
      </c>
      <c r="F245" s="6">
        <f>(Indices!F249-Indices!F248)/Indices!F248</f>
        <v>-7.0894402898002183E-3</v>
      </c>
      <c r="G245" s="6">
        <f>(Indices!G249-Indices!G248)/Indices!G248</f>
        <v>8.6789128519690895E-3</v>
      </c>
      <c r="H245" s="6">
        <f>(Indices!H249-Indices!H248)/Indices!H248</f>
        <v>1.721154148705192E-2</v>
      </c>
      <c r="I245" s="6">
        <f>(Indices!I249-Indices!I248)/Indices!I248</f>
        <v>1.2276448841807229E-2</v>
      </c>
      <c r="J245" s="6">
        <f>(Indices!J249-Indices!J248)/Indices!J248</f>
        <v>1.4819225233775863E-2</v>
      </c>
      <c r="K245" s="6">
        <f>(Indices!K249-Indices!K248)/Indices!K248</f>
        <v>1.2835754567481239E-2</v>
      </c>
      <c r="L245" s="6">
        <f>(Indices!L249-Indices!L248)/Indices!L248</f>
        <v>1.3896495807420075E-2</v>
      </c>
      <c r="M245" s="10">
        <f>WEEKNUM(Rend_j[[#This Row],[Date]])-1</f>
        <v>49</v>
      </c>
      <c r="N245" s="7" t="str">
        <f>TEXT(Rend_j[[#This Row],[Date]],"ddd")</f>
        <v>Mon</v>
      </c>
      <c r="O245" s="7">
        <f>MONTH(Rend_j[[#This Row],[Date]])</f>
        <v>12</v>
      </c>
      <c r="P245" s="7">
        <f>YEAR(Rend_j[[#This Row],[Date]])</f>
        <v>2021</v>
      </c>
      <c r="Q245" s="7" t="str">
        <f>Rend_j[[#This Row],[Week]]&amp;","&amp;Rend_j[[#This Row],[Year]]</f>
        <v>49,2021</v>
      </c>
      <c r="R245" s="7" t="str">
        <f>Rend_j[[#This Row],[Month]]&amp;","&amp;Rend_j[[#This Row],[Year]]</f>
        <v>12,2021</v>
      </c>
    </row>
    <row r="246" spans="1:18" x14ac:dyDescent="0.25">
      <c r="A246" s="1">
        <v>44537</v>
      </c>
      <c r="B246" s="6">
        <f>(Indices!B250-Indices!B249)/Indices!B249</f>
        <v>2.1055683869906729E-2</v>
      </c>
      <c r="C246" s="6">
        <f>(Indices!C250-Indices!C249)/Indices!C249</f>
        <v>2.3584271015529294E-2</v>
      </c>
      <c r="D246" s="6">
        <f>(Indices!D250-Indices!D249)/Indices!D249</f>
        <v>1.2728620096465356E-2</v>
      </c>
      <c r="E246" s="6">
        <f>(Indices!E250-Indices!E249)/Indices!E249</f>
        <v>1.992208921919025E-2</v>
      </c>
      <c r="F246" s="6">
        <f>(Indices!F250-Indices!F249)/Indices!F249</f>
        <v>2.0245089810307173E-2</v>
      </c>
      <c r="G246" s="6">
        <f>(Indices!G250-Indices!G249)/Indices!G249</f>
        <v>2.3167466350387151E-2</v>
      </c>
      <c r="H246" s="6">
        <f>(Indices!H250-Indices!H249)/Indices!H249</f>
        <v>1.6311968984574855E-2</v>
      </c>
      <c r="I246" s="6">
        <f>(Indices!I250-Indices!I249)/Indices!I249</f>
        <v>2.1493625293637363E-2</v>
      </c>
      <c r="J246" s="6">
        <f>(Indices!J250-Indices!J249)/Indices!J249</f>
        <v>2.9073223763468058E-2</v>
      </c>
      <c r="K246" s="6">
        <f>(Indices!K250-Indices!K249)/Indices!K249</f>
        <v>2.447142629822888E-2</v>
      </c>
      <c r="L246" s="6">
        <f>(Indices!L250-Indices!L249)/Indices!L249</f>
        <v>2.8161777702805226E-2</v>
      </c>
      <c r="M246" s="10">
        <f>WEEKNUM(Rend_j[[#This Row],[Date]])-1</f>
        <v>49</v>
      </c>
      <c r="N246" s="7" t="str">
        <f>TEXT(Rend_j[[#This Row],[Date]],"ddd")</f>
        <v>Tue</v>
      </c>
      <c r="O246" s="7">
        <f>MONTH(Rend_j[[#This Row],[Date]])</f>
        <v>12</v>
      </c>
      <c r="P246" s="7">
        <f>YEAR(Rend_j[[#This Row],[Date]])</f>
        <v>2021</v>
      </c>
      <c r="Q246" s="7" t="str">
        <f>Rend_j[[#This Row],[Week]]&amp;","&amp;Rend_j[[#This Row],[Year]]</f>
        <v>49,2021</v>
      </c>
      <c r="R246" s="7" t="str">
        <f>Rend_j[[#This Row],[Month]]&amp;","&amp;Rend_j[[#This Row],[Year]]</f>
        <v>12,2021</v>
      </c>
    </row>
    <row r="247" spans="1:18" x14ac:dyDescent="0.25">
      <c r="A247" s="1">
        <v>44538</v>
      </c>
      <c r="B247" s="6">
        <f>(Indices!B251-Indices!B250)/Indices!B250</f>
        <v>2.5589573210866162E-3</v>
      </c>
      <c r="C247" s="6">
        <f>(Indices!C251-Indices!C250)/Indices!C250</f>
        <v>-3.7357961915634682E-3</v>
      </c>
      <c r="D247" s="6">
        <f>(Indices!D251-Indices!D250)/Indices!D250</f>
        <v>-3.2721735934676238E-3</v>
      </c>
      <c r="E247" s="6">
        <f>(Indices!E251-Indices!E250)/Indices!E250</f>
        <v>-3.1681947547488589E-3</v>
      </c>
      <c r="F247" s="6">
        <f>(Indices!F251-Indices!F250)/Indices!F250</f>
        <v>-2.073186784257022E-3</v>
      </c>
      <c r="G247" s="6">
        <f>(Indices!G251-Indices!G250)/Indices!G250</f>
        <v>-3.6707753590859917E-3</v>
      </c>
      <c r="H247" s="6">
        <f>(Indices!H251-Indices!H250)/Indices!H250</f>
        <v>-9.3541383438507913E-3</v>
      </c>
      <c r="I247" s="6">
        <f>(Indices!I251-Indices!I250)/Indices!I250</f>
        <v>4.4476673903756378E-3</v>
      </c>
      <c r="J247" s="6">
        <f>(Indices!J251-Indices!J250)/Indices!J250</f>
        <v>-7.1928530505151588E-3</v>
      </c>
      <c r="K247" s="6">
        <f>(Indices!K251-Indices!K250)/Indices!K250</f>
        <v>-5.8728144468943536E-3</v>
      </c>
      <c r="L247" s="6">
        <f>(Indices!L251-Indices!L250)/Indices!L250</f>
        <v>-8.0214409913519583E-3</v>
      </c>
      <c r="M247" s="10">
        <f>WEEKNUM(Rend_j[[#This Row],[Date]])-1</f>
        <v>49</v>
      </c>
      <c r="N247" s="7" t="str">
        <f>TEXT(Rend_j[[#This Row],[Date]],"ddd")</f>
        <v>Wed</v>
      </c>
      <c r="O247" s="7">
        <f>MONTH(Rend_j[[#This Row],[Date]])</f>
        <v>12</v>
      </c>
      <c r="P247" s="7">
        <f>YEAR(Rend_j[[#This Row],[Date]])</f>
        <v>2021</v>
      </c>
      <c r="Q247" s="7" t="str">
        <f>Rend_j[[#This Row],[Week]]&amp;","&amp;Rend_j[[#This Row],[Year]]</f>
        <v>49,2021</v>
      </c>
      <c r="R247" s="7" t="str">
        <f>Rend_j[[#This Row],[Month]]&amp;","&amp;Rend_j[[#This Row],[Year]]</f>
        <v>12,2021</v>
      </c>
    </row>
    <row r="248" spans="1:18" x14ac:dyDescent="0.25">
      <c r="A248" s="1">
        <v>44539</v>
      </c>
      <c r="B248" s="6">
        <f>(Indices!B252-Indices!B251)/Indices!B251</f>
        <v>1.7210448269139467E-2</v>
      </c>
      <c r="C248" s="6">
        <f>(Indices!C252-Indices!C251)/Indices!C251</f>
        <v>-3.3435758554240767E-3</v>
      </c>
      <c r="D248" s="6">
        <f>(Indices!D252-Indices!D251)/Indices!D251</f>
        <v>6.4914287005910822E-3</v>
      </c>
      <c r="E248" s="6">
        <f>(Indices!E252-Indices!E251)/Indices!E251</f>
        <v>9.5882671601850312E-3</v>
      </c>
      <c r="F248" s="6">
        <f>(Indices!F252-Indices!F251)/Indices!F251</f>
        <v>2.6435834020336522E-3</v>
      </c>
      <c r="G248" s="6">
        <f>(Indices!G252-Indices!G251)/Indices!G251</f>
        <v>-1.8756434303122279E-3</v>
      </c>
      <c r="H248" s="6">
        <f>(Indices!H252-Indices!H251)/Indices!H251</f>
        <v>1.6693294006799874E-3</v>
      </c>
      <c r="I248" s="6">
        <f>(Indices!I252-Indices!I251)/Indices!I251</f>
        <v>-9.7722985934412341E-3</v>
      </c>
      <c r="J248" s="6">
        <f>(Indices!J252-Indices!J251)/Indices!J251</f>
        <v>-9.0381080509151473E-4</v>
      </c>
      <c r="K248" s="6">
        <f>(Indices!K252-Indices!K251)/Indices!K251</f>
        <v>-7.7508591341190266E-4</v>
      </c>
      <c r="L248" s="6">
        <f>(Indices!L252-Indices!L251)/Indices!L251</f>
        <v>-3.0490084832713611E-3</v>
      </c>
      <c r="M248" s="10">
        <f>WEEKNUM(Rend_j[[#This Row],[Date]])-1</f>
        <v>49</v>
      </c>
      <c r="N248" s="7" t="str">
        <f>TEXT(Rend_j[[#This Row],[Date]],"ddd")</f>
        <v>Thu</v>
      </c>
      <c r="O248" s="7">
        <f>MONTH(Rend_j[[#This Row],[Date]])</f>
        <v>12</v>
      </c>
      <c r="P248" s="7">
        <f>YEAR(Rend_j[[#This Row],[Date]])</f>
        <v>2021</v>
      </c>
      <c r="Q248" s="7" t="str">
        <f>Rend_j[[#This Row],[Week]]&amp;","&amp;Rend_j[[#This Row],[Year]]</f>
        <v>49,2021</v>
      </c>
      <c r="R248" s="7" t="str">
        <f>Rend_j[[#This Row],[Month]]&amp;","&amp;Rend_j[[#This Row],[Year]]</f>
        <v>12,2021</v>
      </c>
    </row>
    <row r="249" spans="1:18" x14ac:dyDescent="0.25">
      <c r="A249" s="1">
        <v>44540</v>
      </c>
      <c r="B249" s="6">
        <f>(Indices!B253-Indices!B252)/Indices!B252</f>
        <v>-1.0285382296080253E-2</v>
      </c>
      <c r="C249" s="6">
        <f>(Indices!C253-Indices!C252)/Indices!C252</f>
        <v>3.2816353831361818E-3</v>
      </c>
      <c r="D249" s="6">
        <f>(Indices!D253-Indices!D252)/Indices!D252</f>
        <v>-7.6339699380705943E-3</v>
      </c>
      <c r="E249" s="6">
        <f>(Indices!E253-Indices!E252)/Indices!E252</f>
        <v>-9.0228057287216924E-3</v>
      </c>
      <c r="F249" s="6">
        <f>(Indices!F253-Indices!F252)/Indices!F252</f>
        <v>-8.8636251514272162E-3</v>
      </c>
      <c r="G249" s="6">
        <f>(Indices!G253-Indices!G252)/Indices!G252</f>
        <v>1.8650389962699928E-3</v>
      </c>
      <c r="H249" s="6">
        <f>(Indices!H253-Indices!H252)/Indices!H252</f>
        <v>-3.9056509247804858E-3</v>
      </c>
      <c r="I249" s="6">
        <f>(Indices!I253-Indices!I252)/Indices!I252</f>
        <v>7.1962570974132617E-3</v>
      </c>
      <c r="J249" s="6">
        <f>(Indices!J253-Indices!J252)/Indices!J252</f>
        <v>-2.361481293740338E-3</v>
      </c>
      <c r="K249" s="6">
        <f>(Indices!K253-Indices!K252)/Indices!K252</f>
        <v>-2.9979497054015121E-3</v>
      </c>
      <c r="L249" s="6">
        <f>(Indices!L253-Indices!L252)/Indices!L252</f>
        <v>-1.0198820298769891E-3</v>
      </c>
      <c r="M249" s="10">
        <f>WEEKNUM(Rend_j[[#This Row],[Date]])-1</f>
        <v>49</v>
      </c>
      <c r="N249" s="7" t="str">
        <f>TEXT(Rend_j[[#This Row],[Date]],"ddd")</f>
        <v>Fri</v>
      </c>
      <c r="O249" s="7">
        <f>MONTH(Rend_j[[#This Row],[Date]])</f>
        <v>12</v>
      </c>
      <c r="P249" s="7">
        <f>YEAR(Rend_j[[#This Row],[Date]])</f>
        <v>2021</v>
      </c>
      <c r="Q249" s="7" t="str">
        <f>Rend_j[[#This Row],[Week]]&amp;","&amp;Rend_j[[#This Row],[Year]]</f>
        <v>49,2021</v>
      </c>
      <c r="R249" s="7" t="str">
        <f>Rend_j[[#This Row],[Month]]&amp;","&amp;Rend_j[[#This Row],[Year]]</f>
        <v>12,2021</v>
      </c>
    </row>
    <row r="250" spans="1:18" x14ac:dyDescent="0.25">
      <c r="A250" s="1">
        <v>44543</v>
      </c>
      <c r="B250" s="6">
        <f>(Indices!B254-Indices!B253)/Indices!B253</f>
        <v>2.0161086269610867E-3</v>
      </c>
      <c r="C250" s="6">
        <f>(Indices!C254-Indices!C253)/Indices!C253</f>
        <v>-5.6876184920520339E-3</v>
      </c>
      <c r="D250" s="6">
        <f>(Indices!D254-Indices!D253)/Indices!D253</f>
        <v>-4.0534398723643117E-3</v>
      </c>
      <c r="E250" s="6">
        <f>(Indices!E254-Indices!E253)/Indices!E253</f>
        <v>-3.8460197762103872E-3</v>
      </c>
      <c r="F250" s="6">
        <f>(Indices!F254-Indices!F253)/Indices!F253</f>
        <v>2.9201278662051612E-3</v>
      </c>
      <c r="G250" s="6">
        <f>(Indices!G254-Indices!G253)/Indices!G253</f>
        <v>-5.4754047498166538E-3</v>
      </c>
      <c r="H250" s="6">
        <f>(Indices!H254-Indices!H253)/Indices!H253</f>
        <v>-5.409289196818076E-3</v>
      </c>
      <c r="I250" s="6">
        <f>(Indices!I254-Indices!I253)/Indices!I253</f>
        <v>-9.6503751910441034E-3</v>
      </c>
      <c r="J250" s="6">
        <f>(Indices!J254-Indices!J253)/Indices!J253</f>
        <v>-6.9754363432427023E-3</v>
      </c>
      <c r="K250" s="6">
        <f>(Indices!K254-Indices!K253)/Indices!K253</f>
        <v>-4.2686496100120515E-3</v>
      </c>
      <c r="L250" s="6">
        <f>(Indices!L254-Indices!L253)/Indices!L253</f>
        <v>-1.0176076924517669E-4</v>
      </c>
      <c r="M250" s="10">
        <f>WEEKNUM(Rend_j[[#This Row],[Date]])-1</f>
        <v>50</v>
      </c>
      <c r="N250" s="7" t="str">
        <f>TEXT(Rend_j[[#This Row],[Date]],"ddd")</f>
        <v>Mon</v>
      </c>
      <c r="O250" s="7">
        <f>MONTH(Rend_j[[#This Row],[Date]])</f>
        <v>12</v>
      </c>
      <c r="P250" s="7">
        <f>YEAR(Rend_j[[#This Row],[Date]])</f>
        <v>2021</v>
      </c>
      <c r="Q250" s="7" t="str">
        <f>Rend_j[[#This Row],[Week]]&amp;","&amp;Rend_j[[#This Row],[Year]]</f>
        <v>50,2021</v>
      </c>
      <c r="R250" s="7" t="str">
        <f>Rend_j[[#This Row],[Month]]&amp;","&amp;Rend_j[[#This Row],[Year]]</f>
        <v>12,2021</v>
      </c>
    </row>
    <row r="251" spans="1:18" x14ac:dyDescent="0.25">
      <c r="A251" s="1">
        <v>44544</v>
      </c>
      <c r="B251" s="6">
        <f>(Indices!B255-Indices!B254)/Indices!B254</f>
        <v>-1.0579434645678844E-2</v>
      </c>
      <c r="C251" s="6">
        <f>(Indices!C255-Indices!C254)/Indices!C254</f>
        <v>-7.392895556579987E-3</v>
      </c>
      <c r="D251" s="6">
        <f>(Indices!D255-Indices!D254)/Indices!D254</f>
        <v>-3.1839950048297748E-3</v>
      </c>
      <c r="E251" s="6">
        <f>(Indices!E255-Indices!E254)/Indices!E254</f>
        <v>-6.7372742966454379E-3</v>
      </c>
      <c r="F251" s="6">
        <f>(Indices!F255-Indices!F254)/Indices!F254</f>
        <v>-3.0825732593664232E-3</v>
      </c>
      <c r="G251" s="6">
        <f>(Indices!G255-Indices!G254)/Indices!G254</f>
        <v>-7.3206442166910603E-3</v>
      </c>
      <c r="H251" s="6">
        <f>(Indices!H255-Indices!H254)/Indices!H254</f>
        <v>-9.1849160973393295E-4</v>
      </c>
      <c r="I251" s="6">
        <f>(Indices!I255-Indices!I254)/Indices!I254</f>
        <v>-7.8769286481157469E-3</v>
      </c>
      <c r="J251" s="6">
        <f>(Indices!J255-Indices!J254)/Indices!J254</f>
        <v>-6.8559286999939038E-3</v>
      </c>
      <c r="K251" s="6">
        <f>(Indices!K255-Indices!K254)/Indices!K254</f>
        <v>-8.3838426464718403E-3</v>
      </c>
      <c r="L251" s="6">
        <f>(Indices!L255-Indices!L254)/Indices!L254</f>
        <v>-1.076451011197352E-2</v>
      </c>
      <c r="M251" s="10">
        <f>WEEKNUM(Rend_j[[#This Row],[Date]])-1</f>
        <v>50</v>
      </c>
      <c r="N251" s="7" t="str">
        <f>TEXT(Rend_j[[#This Row],[Date]],"ddd")</f>
        <v>Tue</v>
      </c>
      <c r="O251" s="7">
        <f>MONTH(Rend_j[[#This Row],[Date]])</f>
        <v>12</v>
      </c>
      <c r="P251" s="7">
        <f>YEAR(Rend_j[[#This Row],[Date]])</f>
        <v>2021</v>
      </c>
      <c r="Q251" s="7" t="str">
        <f>Rend_j[[#This Row],[Week]]&amp;","&amp;Rend_j[[#This Row],[Year]]</f>
        <v>50,2021</v>
      </c>
      <c r="R251" s="7" t="str">
        <f>Rend_j[[#This Row],[Month]]&amp;","&amp;Rend_j[[#This Row],[Year]]</f>
        <v>12,2021</v>
      </c>
    </row>
    <row r="252" spans="1:18" x14ac:dyDescent="0.25">
      <c r="A252" s="1">
        <v>44545</v>
      </c>
      <c r="B252" s="6">
        <f>(Indices!B256-Indices!B255)/Indices!B255</f>
        <v>-9.2725305239086241E-3</v>
      </c>
      <c r="C252" s="6">
        <f>(Indices!C256-Indices!C255)/Indices!C255</f>
        <v>1.3784174585472108E-2</v>
      </c>
      <c r="D252" s="6">
        <f>(Indices!D256-Indices!D255)/Indices!D255</f>
        <v>-6.4847347539273895E-4</v>
      </c>
      <c r="E252" s="6">
        <f>(Indices!E256-Indices!E255)/Indices!E255</f>
        <v>-4.2792856270492249E-3</v>
      </c>
      <c r="F252" s="6">
        <f>(Indices!F256-Indices!F255)/Indices!F255</f>
        <v>6.2727136954249824E-3</v>
      </c>
      <c r="G252" s="6">
        <f>(Indices!G256-Indices!G255)/Indices!G255</f>
        <v>1.1727985029319933E-2</v>
      </c>
      <c r="H252" s="6">
        <f>(Indices!H256-Indices!H255)/Indices!H255</f>
        <v>-6.3527151401212168E-3</v>
      </c>
      <c r="I252" s="6">
        <f>(Indices!I256-Indices!I255)/Indices!I255</f>
        <v>1.6168540804946219E-2</v>
      </c>
      <c r="J252" s="6">
        <f>(Indices!J256-Indices!J255)/Indices!J255</f>
        <v>4.687218373568898E-3</v>
      </c>
      <c r="K252" s="6">
        <f>(Indices!K256-Indices!K255)/Indices!K255</f>
        <v>2.5556095176574541E-3</v>
      </c>
      <c r="L252" s="6">
        <f>(Indices!L256-Indices!L255)/Indices!L255</f>
        <v>1.4747437246912468E-3</v>
      </c>
      <c r="M252" s="10">
        <f>WEEKNUM(Rend_j[[#This Row],[Date]])-1</f>
        <v>50</v>
      </c>
      <c r="N252" s="7" t="str">
        <f>TEXT(Rend_j[[#This Row],[Date]],"ddd")</f>
        <v>Wed</v>
      </c>
      <c r="O252" s="7">
        <f>MONTH(Rend_j[[#This Row],[Date]])</f>
        <v>12</v>
      </c>
      <c r="P252" s="7">
        <f>YEAR(Rend_j[[#This Row],[Date]])</f>
        <v>2021</v>
      </c>
      <c r="Q252" s="7" t="str">
        <f>Rend_j[[#This Row],[Week]]&amp;","&amp;Rend_j[[#This Row],[Year]]</f>
        <v>50,2021</v>
      </c>
      <c r="R252" s="7" t="str">
        <f>Rend_j[[#This Row],[Month]]&amp;","&amp;Rend_j[[#This Row],[Year]]</f>
        <v>12,2021</v>
      </c>
    </row>
    <row r="253" spans="1:18" x14ac:dyDescent="0.25">
      <c r="A253" s="1">
        <v>44546</v>
      </c>
      <c r="B253" s="6">
        <f>(Indices!B257-Indices!B256)/Indices!B256</f>
        <v>-1.4175159912771255E-3</v>
      </c>
      <c r="C253" s="6">
        <f>(Indices!C257-Indices!C256)/Indices!C256</f>
        <v>-7.3466894783050969E-3</v>
      </c>
      <c r="D253" s="6">
        <f>(Indices!D257-Indices!D256)/Indices!D256</f>
        <v>5.3025900171501982E-3</v>
      </c>
      <c r="E253" s="6">
        <f>(Indices!E257-Indices!E256)/Indices!E256</f>
        <v>2.7880646302630412E-3</v>
      </c>
      <c r="F253" s="6">
        <f>(Indices!F257-Indices!F256)/Indices!F256</f>
        <v>1.1554720009674764E-2</v>
      </c>
      <c r="G253" s="6">
        <f>(Indices!G257-Indices!G256)/Indices!G256</f>
        <v>-6.2090095941376728E-3</v>
      </c>
      <c r="H253" s="6">
        <f>(Indices!H257-Indices!H256)/Indices!H256</f>
        <v>1.6529097448905371E-2</v>
      </c>
      <c r="I253" s="6">
        <f>(Indices!I257-Indices!I256)/Indices!I256</f>
        <v>-1.0646827374759695E-2</v>
      </c>
      <c r="J253" s="6">
        <f>(Indices!J257-Indices!J256)/Indices!J256</f>
        <v>1.1178417771716362E-2</v>
      </c>
      <c r="K253" s="6">
        <f>(Indices!K257-Indices!K256)/Indices!K256</f>
        <v>1.232047726398847E-2</v>
      </c>
      <c r="L253" s="6">
        <f>(Indices!L257-Indices!L256)/Indices!L256</f>
        <v>1.0341636369895976E-2</v>
      </c>
      <c r="M253" s="10">
        <f>WEEKNUM(Rend_j[[#This Row],[Date]])-1</f>
        <v>50</v>
      </c>
      <c r="N253" s="7" t="str">
        <f>TEXT(Rend_j[[#This Row],[Date]],"ddd")</f>
        <v>Thu</v>
      </c>
      <c r="O253" s="7">
        <f>MONTH(Rend_j[[#This Row],[Date]])</f>
        <v>12</v>
      </c>
      <c r="P253" s="7">
        <f>YEAR(Rend_j[[#This Row],[Date]])</f>
        <v>2021</v>
      </c>
      <c r="Q253" s="7" t="str">
        <f>Rend_j[[#This Row],[Week]]&amp;","&amp;Rend_j[[#This Row],[Year]]</f>
        <v>50,2021</v>
      </c>
      <c r="R253" s="7" t="str">
        <f>Rend_j[[#This Row],[Month]]&amp;","&amp;Rend_j[[#This Row],[Year]]</f>
        <v>12,2021</v>
      </c>
    </row>
    <row r="254" spans="1:18" x14ac:dyDescent="0.25">
      <c r="A254" s="1">
        <v>44547</v>
      </c>
      <c r="B254" s="6">
        <f>(Indices!B258-Indices!B257)/Indices!B257</f>
        <v>-1.3636688836117648E-2</v>
      </c>
      <c r="C254" s="6">
        <f>(Indices!C258-Indices!C257)/Indices!C257</f>
        <v>-5.8488323311425032E-3</v>
      </c>
      <c r="D254" s="6">
        <f>(Indices!D258-Indices!D257)/Indices!D257</f>
        <v>1.721336369641669E-3</v>
      </c>
      <c r="E254" s="6">
        <f>(Indices!E258-Indices!E257)/Indices!E257</f>
        <v>-3.3377868520835475E-3</v>
      </c>
      <c r="F254" s="6">
        <f>(Indices!F258-Indices!F257)/Indices!F257</f>
        <v>-1.0661942516805425E-2</v>
      </c>
      <c r="G254" s="6">
        <f>(Indices!G258-Indices!G257)/Indices!G257</f>
        <v>-5.5658363494933468E-3</v>
      </c>
      <c r="H254" s="6">
        <f>(Indices!H258-Indices!H257)/Indices!H257</f>
        <v>-1.4010472060868898E-3</v>
      </c>
      <c r="I254" s="6">
        <f>(Indices!I258-Indices!I257)/Indices!I257</f>
        <v>-7.1113771462491329E-3</v>
      </c>
      <c r="J254" s="6">
        <f>(Indices!J258-Indices!J257)/Indices!J257</f>
        <v>-1.1197595879952294E-2</v>
      </c>
      <c r="K254" s="6">
        <f>(Indices!K258-Indices!K257)/Indices!K257</f>
        <v>-5.5816770420584376E-3</v>
      </c>
      <c r="L254" s="6">
        <f>(Indices!L258-Indices!L257)/Indices!L257</f>
        <v>-6.6965514689023729E-3</v>
      </c>
      <c r="M254" s="10">
        <f>WEEKNUM(Rend_j[[#This Row],[Date]])-1</f>
        <v>50</v>
      </c>
      <c r="N254" s="7" t="str">
        <f>TEXT(Rend_j[[#This Row],[Date]],"ddd")</f>
        <v>Fri</v>
      </c>
      <c r="O254" s="7">
        <f>MONTH(Rend_j[[#This Row],[Date]])</f>
        <v>12</v>
      </c>
      <c r="P254" s="7">
        <f>YEAR(Rend_j[[#This Row],[Date]])</f>
        <v>2021</v>
      </c>
      <c r="Q254" s="7" t="str">
        <f>Rend_j[[#This Row],[Week]]&amp;","&amp;Rend_j[[#This Row],[Year]]</f>
        <v>50,2021</v>
      </c>
      <c r="R254" s="7" t="str">
        <f>Rend_j[[#This Row],[Month]]&amp;","&amp;Rend_j[[#This Row],[Year]]</f>
        <v>12,2021</v>
      </c>
    </row>
    <row r="255" spans="1:18" x14ac:dyDescent="0.25">
      <c r="A255" s="1">
        <v>44550</v>
      </c>
      <c r="B255" s="6">
        <f>(Indices!B259-Indices!B258)/Indices!B258</f>
        <v>-2.3508033384734166E-2</v>
      </c>
      <c r="C255" s="6">
        <f>(Indices!C259-Indices!C258)/Indices!C258</f>
        <v>-1.3813135842063239E-2</v>
      </c>
      <c r="D255" s="6">
        <f>(Indices!D259-Indices!D258)/Indices!D258</f>
        <v>-2.0543151991672181E-2</v>
      </c>
      <c r="E255" s="6">
        <f>(Indices!E259-Indices!E258)/Indices!E258</f>
        <v>-2.2852732863990598E-2</v>
      </c>
      <c r="F255" s="6">
        <f>(Indices!F259-Indices!F258)/Indices!F258</f>
        <v>-2.0218942419132378E-2</v>
      </c>
      <c r="G255" s="6">
        <f>(Indices!G259-Indices!G258)/Indices!G258</f>
        <v>-1.4840769791264745E-2</v>
      </c>
      <c r="H255" s="6">
        <f>(Indices!H259-Indices!H258)/Indices!H258</f>
        <v>-1.3958442143639839E-2</v>
      </c>
      <c r="I255" s="6">
        <f>(Indices!I259-Indices!I258)/Indices!I258</f>
        <v>-1.2214358378945914E-2</v>
      </c>
      <c r="J255" s="6">
        <f>(Indices!J259-Indices!J258)/Indices!J258</f>
        <v>-8.1612250047805417E-3</v>
      </c>
      <c r="K255" s="6">
        <f>(Indices!K259-Indices!K258)/Indices!K258</f>
        <v>-1.3821456178368267E-2</v>
      </c>
      <c r="L255" s="6">
        <f>(Indices!L259-Indices!L258)/Indices!L258</f>
        <v>-1.8801592223081687E-2</v>
      </c>
      <c r="M255" s="10">
        <f>WEEKNUM(Rend_j[[#This Row],[Date]])-1</f>
        <v>51</v>
      </c>
      <c r="N255" s="7" t="str">
        <f>TEXT(Rend_j[[#This Row],[Date]],"ddd")</f>
        <v>Mon</v>
      </c>
      <c r="O255" s="7">
        <f>MONTH(Rend_j[[#This Row],[Date]])</f>
        <v>12</v>
      </c>
      <c r="P255" s="7">
        <f>YEAR(Rend_j[[#This Row],[Date]])</f>
        <v>2021</v>
      </c>
      <c r="Q255" s="7" t="str">
        <f>Rend_j[[#This Row],[Week]]&amp;","&amp;Rend_j[[#This Row],[Year]]</f>
        <v>51,2021</v>
      </c>
      <c r="R255" s="7" t="str">
        <f>Rend_j[[#This Row],[Month]]&amp;","&amp;Rend_j[[#This Row],[Year]]</f>
        <v>12,2021</v>
      </c>
    </row>
    <row r="256" spans="1:18" x14ac:dyDescent="0.25">
      <c r="A256" s="1">
        <v>44551</v>
      </c>
      <c r="B256" s="6">
        <f>(Indices!B260-Indices!B259)/Indices!B259</f>
        <v>1.7004226415902889E-2</v>
      </c>
      <c r="C256" s="6">
        <f>(Indices!C260-Indices!C259)/Indices!C259</f>
        <v>1.9148549238871927E-2</v>
      </c>
      <c r="D256" s="6">
        <f>(Indices!D260-Indices!D259)/Indices!D259</f>
        <v>1.0115797004743268E-2</v>
      </c>
      <c r="E256" s="6">
        <f>(Indices!E260-Indices!E259)/Indices!E259</f>
        <v>1.3832330990508013E-2</v>
      </c>
      <c r="F256" s="6">
        <f>(Indices!F260-Indices!F259)/Indices!F259</f>
        <v>1.1386060905054524E-2</v>
      </c>
      <c r="G256" s="6">
        <f>(Indices!G260-Indices!G259)/Indices!G259</f>
        <v>1.8552155958479782E-2</v>
      </c>
      <c r="H256" s="6">
        <f>(Indices!H260-Indices!H259)/Indices!H259</f>
        <v>1.7271820863279431E-2</v>
      </c>
      <c r="I256" s="6">
        <f>(Indices!I260-Indices!I259)/Indices!I259</f>
        <v>1.9870876125863371E-2</v>
      </c>
      <c r="J256" s="6">
        <f>(Indices!J260-Indices!J259)/Indices!J259</f>
        <v>1.381204562472446E-2</v>
      </c>
      <c r="K256" s="6">
        <f>(Indices!K260-Indices!K259)/Indices!K259</f>
        <v>1.4207732780044021E-2</v>
      </c>
      <c r="L256" s="6">
        <f>(Indices!L260-Indices!L259)/Indices!L259</f>
        <v>1.3633530850122264E-2</v>
      </c>
      <c r="M256" s="10">
        <f>WEEKNUM(Rend_j[[#This Row],[Date]])-1</f>
        <v>51</v>
      </c>
      <c r="N256" s="7" t="str">
        <f>TEXT(Rend_j[[#This Row],[Date]],"ddd")</f>
        <v>Tue</v>
      </c>
      <c r="O256" s="7">
        <f>MONTH(Rend_j[[#This Row],[Date]])</f>
        <v>12</v>
      </c>
      <c r="P256" s="7">
        <f>YEAR(Rend_j[[#This Row],[Date]])</f>
        <v>2021</v>
      </c>
      <c r="Q256" s="7" t="str">
        <f>Rend_j[[#This Row],[Week]]&amp;","&amp;Rend_j[[#This Row],[Year]]</f>
        <v>51,2021</v>
      </c>
      <c r="R256" s="7" t="str">
        <f>Rend_j[[#This Row],[Month]]&amp;","&amp;Rend_j[[#This Row],[Year]]</f>
        <v>12,2021</v>
      </c>
    </row>
    <row r="257" spans="1:18" x14ac:dyDescent="0.25">
      <c r="A257" s="1">
        <v>44552</v>
      </c>
      <c r="B257" s="6">
        <f>(Indices!B261-Indices!B260)/Indices!B260</f>
        <v>-2.4390235338030588E-3</v>
      </c>
      <c r="C257" s="6">
        <f>(Indices!C261-Indices!C260)/Indices!C260</f>
        <v>4.4925107326920831E-3</v>
      </c>
      <c r="D257" s="6">
        <f>(Indices!D261-Indices!D260)/Indices!D260</f>
        <v>1.5739682816770168E-4</v>
      </c>
      <c r="E257" s="6">
        <f>(Indices!E261-Indices!E260)/Indices!E260</f>
        <v>-2.4776239586233223E-4</v>
      </c>
      <c r="F257" s="6">
        <f>(Indices!F261-Indices!F260)/Indices!F260</f>
        <v>-6.6959707771871288E-3</v>
      </c>
      <c r="G257" s="6">
        <f>(Indices!G261-Indices!G260)/Indices!G260</f>
        <v>3.961784618451307E-3</v>
      </c>
      <c r="H257" s="6">
        <f>(Indices!H261-Indices!H260)/Indices!H260</f>
        <v>8.9538219649401753E-3</v>
      </c>
      <c r="I257" s="6">
        <f>(Indices!I261-Indices!I260)/Indices!I260</f>
        <v>9.7436513295373443E-3</v>
      </c>
      <c r="J257" s="6">
        <f>(Indices!J261-Indices!J260)/Indices!J260</f>
        <v>1.2445055210109024E-2</v>
      </c>
      <c r="K257" s="6">
        <f>(Indices!K261-Indices!K260)/Indices!K260</f>
        <v>9.2195934348740516E-3</v>
      </c>
      <c r="L257" s="6">
        <f>(Indices!L261-Indices!L260)/Indices!L260</f>
        <v>9.4533007368910859E-3</v>
      </c>
      <c r="M257" s="10">
        <f>WEEKNUM(Rend_j[[#This Row],[Date]])-1</f>
        <v>51</v>
      </c>
      <c r="N257" s="7" t="str">
        <f>TEXT(Rend_j[[#This Row],[Date]],"ddd")</f>
        <v>Wed</v>
      </c>
      <c r="O257" s="7">
        <f>MONTH(Rend_j[[#This Row],[Date]])</f>
        <v>12</v>
      </c>
      <c r="P257" s="7">
        <f>YEAR(Rend_j[[#This Row],[Date]])</f>
        <v>2021</v>
      </c>
      <c r="Q257" s="7" t="str">
        <f>Rend_j[[#This Row],[Week]]&amp;","&amp;Rend_j[[#This Row],[Year]]</f>
        <v>51,2021</v>
      </c>
      <c r="R257" s="7" t="str">
        <f>Rend_j[[#This Row],[Month]]&amp;","&amp;Rend_j[[#This Row],[Year]]</f>
        <v>12,2021</v>
      </c>
    </row>
    <row r="258" spans="1:18" x14ac:dyDescent="0.25">
      <c r="A258" s="1">
        <v>44553</v>
      </c>
      <c r="B258" s="6">
        <f>(Indices!B262-Indices!B261)/Indices!B261</f>
        <v>8.0195993192333816E-3</v>
      </c>
      <c r="C258" s="6">
        <f>(Indices!C262-Indices!C261)/Indices!C261</f>
        <v>8.3875259933190935E-3</v>
      </c>
      <c r="D258" s="6">
        <f>(Indices!D262-Indices!D261)/Indices!D261</f>
        <v>1.0202955113435441E-2</v>
      </c>
      <c r="E258" s="6">
        <f>(Indices!E262-Indices!E261)/Indices!E261</f>
        <v>9.3672629529634802E-3</v>
      </c>
      <c r="F258" s="6">
        <f>(Indices!F262-Indices!F261)/Indices!F261</f>
        <v>9.9275107561983961E-3</v>
      </c>
      <c r="G258" s="6">
        <f>(Indices!G262-Indices!G261)/Indices!G261</f>
        <v>8.498583569405067E-3</v>
      </c>
      <c r="H258" s="6">
        <f>(Indices!H262-Indices!H261)/Indices!H261</f>
        <v>1.0048166437302629E-2</v>
      </c>
      <c r="I258" s="6">
        <f>(Indices!I262-Indices!I261)/Indices!I261</f>
        <v>6.5776160885928289E-3</v>
      </c>
      <c r="J258" s="6">
        <f>(Indices!J262-Indices!J261)/Indices!J261</f>
        <v>7.7258267336126835E-3</v>
      </c>
      <c r="K258" s="6">
        <f>(Indices!K262-Indices!K261)/Indices!K261</f>
        <v>9.7207650008602365E-3</v>
      </c>
      <c r="L258" s="6">
        <f>(Indices!L262-Indices!L261)/Indices!L261</f>
        <v>1.0442822721277615E-2</v>
      </c>
      <c r="M258" s="10">
        <f>WEEKNUM(Rend_j[[#This Row],[Date]])-1</f>
        <v>51</v>
      </c>
      <c r="N258" s="7" t="str">
        <f>TEXT(Rend_j[[#This Row],[Date]],"ddd")</f>
        <v>Thu</v>
      </c>
      <c r="O258" s="7">
        <f>MONTH(Rend_j[[#This Row],[Date]])</f>
        <v>12</v>
      </c>
      <c r="P258" s="7">
        <f>YEAR(Rend_j[[#This Row],[Date]])</f>
        <v>2021</v>
      </c>
      <c r="Q258" s="7" t="str">
        <f>Rend_j[[#This Row],[Week]]&amp;","&amp;Rend_j[[#This Row],[Year]]</f>
        <v>51,2021</v>
      </c>
      <c r="R258" s="7" t="str">
        <f>Rend_j[[#This Row],[Month]]&amp;","&amp;Rend_j[[#This Row],[Year]]</f>
        <v>12,2021</v>
      </c>
    </row>
    <row r="259" spans="1:18" x14ac:dyDescent="0.25">
      <c r="A259" s="1">
        <v>44554</v>
      </c>
      <c r="B259" s="6">
        <f>(Indices!B263-Indices!B262)/Indices!B262</f>
        <v>-6.2461195279668869E-3</v>
      </c>
      <c r="C259" s="6">
        <f>(Indices!C263-Indices!C262)/Indices!C262</f>
        <v>-1.5682156538317689E-3</v>
      </c>
      <c r="D259" s="6">
        <f>(Indices!D263-Indices!D262)/Indices!D262</f>
        <v>6.3068355759353639E-4</v>
      </c>
      <c r="E259" s="6">
        <f>(Indices!E263-Indices!E262)/Indices!E262</f>
        <v>-1.0293117775930598E-3</v>
      </c>
      <c r="F259" s="6">
        <f>(Indices!F263-Indices!F262)/Indices!F262</f>
        <v>-2.9119561493663052E-3</v>
      </c>
      <c r="G259" s="6">
        <f>(Indices!G263-Indices!G262)/Indices!G262</f>
        <v>-1.5082054815711719E-3</v>
      </c>
      <c r="H259" s="6">
        <f>(Indices!H263-Indices!H262)/Indices!H262</f>
        <v>-1.8433733732730647E-3</v>
      </c>
      <c r="I259" s="6">
        <f>(Indices!I263-Indices!I262)/Indices!I262</f>
        <v>0</v>
      </c>
      <c r="J259" s="6">
        <f>(Indices!J263-Indices!J262)/Indices!J262</f>
        <v>-2.7539278329172731E-3</v>
      </c>
      <c r="K259" s="6">
        <f>(Indices!K263-Indices!K262)/Indices!K262</f>
        <v>0</v>
      </c>
      <c r="L259" s="6">
        <f>(Indices!L263-Indices!L262)/Indices!L262</f>
        <v>0</v>
      </c>
      <c r="M259" s="10">
        <f>WEEKNUM(Rend_j[[#This Row],[Date]])-1</f>
        <v>51</v>
      </c>
      <c r="N259" s="7" t="str">
        <f>TEXT(Rend_j[[#This Row],[Date]],"ddd")</f>
        <v>Fri</v>
      </c>
      <c r="O259" s="7">
        <f>MONTH(Rend_j[[#This Row],[Date]])</f>
        <v>12</v>
      </c>
      <c r="P259" s="7">
        <f>YEAR(Rend_j[[#This Row],[Date]])</f>
        <v>2021</v>
      </c>
      <c r="Q259" s="7" t="str">
        <f>Rend_j[[#This Row],[Week]]&amp;","&amp;Rend_j[[#This Row],[Year]]</f>
        <v>51,2021</v>
      </c>
      <c r="R259" s="7" t="str">
        <f>Rend_j[[#This Row],[Month]]&amp;","&amp;Rend_j[[#This Row],[Year]]</f>
        <v>12,2021</v>
      </c>
    </row>
    <row r="260" spans="1:18" x14ac:dyDescent="0.25">
      <c r="A260" s="1">
        <v>44557</v>
      </c>
      <c r="B260" s="6">
        <f>(Indices!B264-Indices!B263)/Indices!B263</f>
        <v>-8.2401817970352022E-4</v>
      </c>
      <c r="C260" s="6">
        <f>(Indices!C264-Indices!C263)/Indices!C263</f>
        <v>1.0510401422605852E-2</v>
      </c>
      <c r="D260" s="6">
        <f>(Indices!D264-Indices!D263)/Indices!D263</f>
        <v>3.0837310952516036E-3</v>
      </c>
      <c r="E260" s="6">
        <f>(Indices!E264-Indices!E263)/Indices!E263</f>
        <v>1.874048796165761E-3</v>
      </c>
      <c r="F260" s="6">
        <f>(Indices!F264-Indices!F263)/Indices!F263</f>
        <v>-7.3815052285661686E-3</v>
      </c>
      <c r="G260" s="6">
        <f>(Indices!G264-Indices!G263)/Indices!G263</f>
        <v>9.5452704962766498E-3</v>
      </c>
      <c r="H260" s="6">
        <f>(Indices!H264-Indices!H263)/Indices!H263</f>
        <v>1.3650095851777011E-3</v>
      </c>
      <c r="I260" s="6">
        <f>(Indices!I264-Indices!I263)/Indices!I263</f>
        <v>1.2918758008230349E-2</v>
      </c>
      <c r="J260" s="6">
        <f>(Indices!J264-Indices!J263)/Indices!J263</f>
        <v>7.5932337471288167E-3</v>
      </c>
      <c r="K260" s="6">
        <f>(Indices!K264-Indices!K263)/Indices!K263</f>
        <v>5.1344277523357228E-3</v>
      </c>
      <c r="L260" s="6">
        <f>(Indices!L264-Indices!L263)/Indices!L263</f>
        <v>5.0100837159421565E-3</v>
      </c>
      <c r="M260" s="10">
        <f>WEEKNUM(Rend_j[[#This Row],[Date]])-1</f>
        <v>52</v>
      </c>
      <c r="N260" s="7" t="str">
        <f>TEXT(Rend_j[[#This Row],[Date]],"ddd")</f>
        <v>Mon</v>
      </c>
      <c r="O260" s="7">
        <f>MONTH(Rend_j[[#This Row],[Date]])</f>
        <v>12</v>
      </c>
      <c r="P260" s="7">
        <f>YEAR(Rend_j[[#This Row],[Date]])</f>
        <v>2021</v>
      </c>
      <c r="Q260" s="7" t="str">
        <f>Rend_j[[#This Row],[Week]]&amp;","&amp;Rend_j[[#This Row],[Year]]</f>
        <v>52,2021</v>
      </c>
      <c r="R260" s="7" t="str">
        <f>Rend_j[[#This Row],[Month]]&amp;","&amp;Rend_j[[#This Row],[Year]]</f>
        <v>12,2021</v>
      </c>
    </row>
    <row r="261" spans="1:18" x14ac:dyDescent="0.25">
      <c r="A261" s="1">
        <v>44558</v>
      </c>
      <c r="B261" s="6">
        <f>(Indices!B265-Indices!B264)/Indices!B264</f>
        <v>3.7644199016271616E-3</v>
      </c>
      <c r="C261" s="6">
        <f>(Indices!C265-Indices!C264)/Indices!C264</f>
        <v>2.4821541674513335E-3</v>
      </c>
      <c r="D261" s="6">
        <f>(Indices!D265-Indices!D264)/Indices!D264</f>
        <v>9.3238717360335562E-3</v>
      </c>
      <c r="E261" s="6">
        <f>(Indices!E265-Indices!E264)/Indices!E264</f>
        <v>6.3876813047099171E-3</v>
      </c>
      <c r="F261" s="6">
        <f>(Indices!F265-Indices!F264)/Indices!F264</f>
        <v>1.6547658260709353E-2</v>
      </c>
      <c r="G261" s="6">
        <f>(Indices!G265-Indices!G264)/Indices!G264</f>
        <v>2.915675592726201E-3</v>
      </c>
      <c r="H261" s="6">
        <f>(Indices!H265-Indices!H264)/Indices!H264</f>
        <v>2.515811524621782E-3</v>
      </c>
      <c r="I261" s="6">
        <f>(Indices!I265-Indices!I264)/Indices!I264</f>
        <v>-1.9243822480069131E-3</v>
      </c>
      <c r="J261" s="6">
        <f>(Indices!J265-Indices!J264)/Indices!J264</f>
        <v>5.7027312539966544E-3</v>
      </c>
      <c r="K261" s="6">
        <f>(Indices!K265-Indices!K264)/Indices!K264</f>
        <v>6.199942454014392E-3</v>
      </c>
      <c r="L261" s="6">
        <f>(Indices!L265-Indices!L264)/Indices!L264</f>
        <v>8.1116622724617116E-3</v>
      </c>
      <c r="M261" s="10">
        <f>WEEKNUM(Rend_j[[#This Row],[Date]])-1</f>
        <v>52</v>
      </c>
      <c r="N261" s="7" t="str">
        <f>TEXT(Rend_j[[#This Row],[Date]],"ddd")</f>
        <v>Tue</v>
      </c>
      <c r="O261" s="7">
        <f>MONTH(Rend_j[[#This Row],[Date]])</f>
        <v>12</v>
      </c>
      <c r="P261" s="7">
        <f>YEAR(Rend_j[[#This Row],[Date]])</f>
        <v>2021</v>
      </c>
      <c r="Q261" s="7" t="str">
        <f>Rend_j[[#This Row],[Week]]&amp;","&amp;Rend_j[[#This Row],[Year]]</f>
        <v>52,2021</v>
      </c>
      <c r="R261" s="7" t="str">
        <f>Rend_j[[#This Row],[Month]]&amp;","&amp;Rend_j[[#This Row],[Year]]</f>
        <v>12,2021</v>
      </c>
    </row>
    <row r="262" spans="1:18" x14ac:dyDescent="0.25">
      <c r="A262" s="1">
        <v>44559</v>
      </c>
      <c r="B262" s="6">
        <f>(Indices!B266-Indices!B265)/Indices!B265</f>
        <v>-1.9663860246586659E-2</v>
      </c>
      <c r="C262" s="6">
        <f>(Indices!C266-Indices!C265)/Indices!C265</f>
        <v>-3.3229739421468296E-3</v>
      </c>
      <c r="D262" s="6">
        <f>(Indices!D266-Indices!D265)/Indices!D265</f>
        <v>-8.3109140654142339E-3</v>
      </c>
      <c r="E262" s="6">
        <f>(Indices!E266-Indices!E265)/Indices!E265</f>
        <v>-1.2204411588917339E-2</v>
      </c>
      <c r="F262" s="6">
        <f>(Indices!F266-Indices!F265)/Indices!F265</f>
        <v>-1.1126793824794244E-2</v>
      </c>
      <c r="G262" s="6">
        <f>(Indices!G266-Indices!G265)/Indices!G265</f>
        <v>-4.3121135615971831E-3</v>
      </c>
      <c r="H262" s="6">
        <f>(Indices!H266-Indices!H265)/Indices!H265</f>
        <v>6.4587082583483389E-3</v>
      </c>
      <c r="I262" s="6">
        <f>(Indices!I266-Indices!I265)/Indices!I265</f>
        <v>1.2236711026540627E-3</v>
      </c>
      <c r="J262" s="6">
        <f>(Indices!J266-Indices!J265)/Indices!J265</f>
        <v>-2.7279687086998335E-3</v>
      </c>
      <c r="K262" s="6">
        <f>(Indices!K266-Indices!K265)/Indices!K265</f>
        <v>-1.0644605936540627E-3</v>
      </c>
      <c r="L262" s="6">
        <f>(Indices!L266-Indices!L265)/Indices!L265</f>
        <v>-6.9814766378536296E-3</v>
      </c>
      <c r="M262" s="10">
        <f>WEEKNUM(Rend_j[[#This Row],[Date]])-1</f>
        <v>52</v>
      </c>
      <c r="N262" s="7" t="str">
        <f>TEXT(Rend_j[[#This Row],[Date]],"ddd")</f>
        <v>Wed</v>
      </c>
      <c r="O262" s="7">
        <f>MONTH(Rend_j[[#This Row],[Date]])</f>
        <v>12</v>
      </c>
      <c r="P262" s="7">
        <f>YEAR(Rend_j[[#This Row],[Date]])</f>
        <v>2021</v>
      </c>
      <c r="Q262" s="7" t="str">
        <f>Rend_j[[#This Row],[Week]]&amp;","&amp;Rend_j[[#This Row],[Year]]</f>
        <v>52,2021</v>
      </c>
      <c r="R262" s="7" t="str">
        <f>Rend_j[[#This Row],[Month]]&amp;","&amp;Rend_j[[#This Row],[Year]]</f>
        <v>12,2021</v>
      </c>
    </row>
    <row r="263" spans="1:18" x14ac:dyDescent="0.25">
      <c r="A263" s="1">
        <v>44560</v>
      </c>
      <c r="B263" s="6">
        <f>(Indices!B267-Indices!B266)/Indices!B266</f>
        <v>1.088080753497268E-2</v>
      </c>
      <c r="C263" s="6">
        <f>(Indices!C267-Indices!C266)/Indices!C266</f>
        <v>-4.0433529675810471E-4</v>
      </c>
      <c r="D263" s="6">
        <f>(Indices!D267-Indices!D266)/Indices!D266</f>
        <v>2.4386828669137246E-3</v>
      </c>
      <c r="E263" s="6">
        <f>(Indices!E267-Indices!E266)/Indices!E266</f>
        <v>5.6804969604358499E-3</v>
      </c>
      <c r="F263" s="6">
        <f>(Indices!F267-Indices!F266)/Indices!F266</f>
        <v>-3.365600893050504E-3</v>
      </c>
      <c r="G263" s="6">
        <f>(Indices!G267-Indices!G266)/Indices!G266</f>
        <v>2.6892799016491287E-4</v>
      </c>
      <c r="H263" s="6">
        <f>(Indices!H267-Indices!H266)/Indices!H266</f>
        <v>-3.973536248583637E-4</v>
      </c>
      <c r="I263" s="6">
        <f>(Indices!I267-Indices!I266)/Indices!I266</f>
        <v>-2.1587507656524022E-3</v>
      </c>
      <c r="J263" s="6">
        <f>(Indices!J267-Indices!J266)/Indices!J266</f>
        <v>1.6351221482726703E-3</v>
      </c>
      <c r="K263" s="6">
        <f>(Indices!K267-Indices!K266)/Indices!K266</f>
        <v>1.4959219302940092E-3</v>
      </c>
      <c r="L263" s="6">
        <f>(Indices!L267-Indices!L266)/Indices!L266</f>
        <v>2.0571433077323934E-3</v>
      </c>
      <c r="M263" s="10">
        <f>WEEKNUM(Rend_j[[#This Row],[Date]])-1</f>
        <v>52</v>
      </c>
      <c r="N263" s="7" t="str">
        <f>TEXT(Rend_j[[#This Row],[Date]],"ddd")</f>
        <v>Thu</v>
      </c>
      <c r="O263" s="7">
        <f>MONTH(Rend_j[[#This Row],[Date]])</f>
        <v>12</v>
      </c>
      <c r="P263" s="7">
        <f>YEAR(Rend_j[[#This Row],[Date]])</f>
        <v>2021</v>
      </c>
      <c r="Q263" s="7" t="str">
        <f>Rend_j[[#This Row],[Week]]&amp;","&amp;Rend_j[[#This Row],[Year]]</f>
        <v>52,2021</v>
      </c>
      <c r="R263" s="7" t="str">
        <f>Rend_j[[#This Row],[Month]]&amp;","&amp;Rend_j[[#This Row],[Year]]</f>
        <v>12,2021</v>
      </c>
    </row>
    <row r="264" spans="1:18" x14ac:dyDescent="0.25">
      <c r="A264" s="1">
        <v>44561</v>
      </c>
      <c r="B264" s="6">
        <f>(Indices!B268-Indices!B267)/Indices!B267</f>
        <v>9.9109383766820894E-3</v>
      </c>
      <c r="C264" s="6">
        <f>(Indices!C268-Indices!C267)/Indices!C267</f>
        <v>-5.2482011799025981E-3</v>
      </c>
      <c r="D264" s="6">
        <f>(Indices!D268-Indices!D267)/Indices!D267</f>
        <v>-1.6977689946694383E-3</v>
      </c>
      <c r="E264" s="6">
        <f>(Indices!E268-Indices!E267)/Indices!E267</f>
        <v>3.9402032861766316E-3</v>
      </c>
      <c r="F264" s="6">
        <f>(Indices!F268-Indices!F267)/Indices!F267</f>
        <v>-3.605441039615223E-3</v>
      </c>
      <c r="G264" s="6">
        <f>(Indices!G268-Indices!G267)/Indices!G267</f>
        <v>-4.2318583514606859E-3</v>
      </c>
      <c r="H264" s="6">
        <f>(Indices!H268-Indices!H267)/Indices!H267</f>
        <v>-2.4844473595293463E-3</v>
      </c>
      <c r="I264" s="6">
        <f>(Indices!I268-Indices!I267)/Indices!I267</f>
        <v>-2.7624061758254217E-3</v>
      </c>
      <c r="J264" s="6">
        <f>(Indices!J268-Indices!J267)/Indices!J267</f>
        <v>-2.8160528877955128E-3</v>
      </c>
      <c r="K264" s="6">
        <f>(Indices!K268-Indices!K267)/Indices!K267</f>
        <v>0</v>
      </c>
      <c r="L264" s="6">
        <f>(Indices!L268-Indices!L267)/Indices!L267</f>
        <v>0</v>
      </c>
      <c r="M264" s="10">
        <f>WEEKNUM(Rend_j[[#This Row],[Date]])-1</f>
        <v>52</v>
      </c>
      <c r="N264" s="7" t="str">
        <f>TEXT(Rend_j[[#This Row],[Date]],"ddd")</f>
        <v>Fri</v>
      </c>
      <c r="O264" s="7">
        <f>MONTH(Rend_j[[#This Row],[Date]])</f>
        <v>12</v>
      </c>
      <c r="P264" s="7">
        <f>YEAR(Rend_j[[#This Row],[Date]])</f>
        <v>2021</v>
      </c>
      <c r="Q264" s="7" t="str">
        <f>Rend_j[[#This Row],[Week]]&amp;","&amp;Rend_j[[#This Row],[Year]]</f>
        <v>52,2021</v>
      </c>
      <c r="R264" s="7" t="str">
        <f>Rend_j[[#This Row],[Month]]&amp;","&amp;Rend_j[[#This Row],[Year]]</f>
        <v>12,2021</v>
      </c>
    </row>
    <row r="265" spans="1:18" x14ac:dyDescent="0.25">
      <c r="A265" s="1">
        <v>44564</v>
      </c>
      <c r="B265" s="6">
        <f>(Indices!B269-Indices!B268)/Indices!B268</f>
        <v>3.5721737328305936E-3</v>
      </c>
      <c r="C265" s="6">
        <f>(Indices!C269-Indices!C268)/Indices!C268</f>
        <v>1.0107240823190458E-2</v>
      </c>
      <c r="D265" s="6">
        <f>(Indices!D269-Indices!D268)/Indices!D268</f>
        <v>1.1978311232313769E-2</v>
      </c>
      <c r="E265" s="6">
        <f>(Indices!E269-Indices!E268)/Indices!E268</f>
        <v>8.3054057992132876E-3</v>
      </c>
      <c r="F265" s="6">
        <f>(Indices!F269-Indices!F268)/Indices!F268</f>
        <v>5.8164246884856718E-3</v>
      </c>
      <c r="G265" s="6">
        <f>(Indices!G269-Indices!G268)/Indices!G268</f>
        <v>9.9057811190551761E-3</v>
      </c>
      <c r="H265" s="6">
        <f>(Indices!H269-Indices!H268)/Indices!H268</f>
        <v>-1.1955049015701417E-4</v>
      </c>
      <c r="I265" s="6">
        <f>(Indices!I269-Indices!I268)/Indices!I268</f>
        <v>6.2054882415537105E-3</v>
      </c>
      <c r="J265" s="6">
        <f>(Indices!J269-Indices!J268)/Indices!J268</f>
        <v>8.9738798704024365E-3</v>
      </c>
      <c r="K265" s="6">
        <f>(Indices!K269-Indices!K268)/Indices!K268</f>
        <v>2.6191381874162978E-3</v>
      </c>
      <c r="L265" s="6">
        <f>(Indices!L269-Indices!L268)/Indices!L268</f>
        <v>8.5534349692913472E-3</v>
      </c>
      <c r="M265" s="10">
        <f>WEEKNUM(Rend_j[[#This Row],[Date]])-1</f>
        <v>1</v>
      </c>
      <c r="N265" s="7" t="str">
        <f>TEXT(Rend_j[[#This Row],[Date]],"ddd")</f>
        <v>Mon</v>
      </c>
      <c r="O265" s="7">
        <f>MONTH(Rend_j[[#This Row],[Date]])</f>
        <v>1</v>
      </c>
      <c r="P265" s="7">
        <f>YEAR(Rend_j[[#This Row],[Date]])</f>
        <v>2022</v>
      </c>
      <c r="Q265" s="7" t="str">
        <f>Rend_j[[#This Row],[Week]]&amp;","&amp;Rend_j[[#This Row],[Year]]</f>
        <v>1,2022</v>
      </c>
      <c r="R265" s="7" t="str">
        <f>Rend_j[[#This Row],[Month]]&amp;","&amp;Rend_j[[#This Row],[Year]]</f>
        <v>1,2022</v>
      </c>
    </row>
    <row r="266" spans="1:18" x14ac:dyDescent="0.25">
      <c r="A266" s="1">
        <v>44565</v>
      </c>
      <c r="B266" s="6">
        <f>(Indices!B270-Indices!B269)/Indices!B269</f>
        <v>-1.0343150797703806E-2</v>
      </c>
      <c r="C266" s="6">
        <f>(Indices!C270-Indices!C269)/Indices!C269</f>
        <v>5.1173406204275409E-4</v>
      </c>
      <c r="D266" s="6">
        <f>(Indices!D270-Indices!D269)/Indices!D269</f>
        <v>4.8005430392474404E-3</v>
      </c>
      <c r="E266" s="6">
        <f>(Indices!E270-Indices!E269)/Indices!E269</f>
        <v>-3.7525638635092616E-4</v>
      </c>
      <c r="F266" s="6">
        <f>(Indices!F270-Indices!F269)/Indices!F269</f>
        <v>1.2132737261182004E-2</v>
      </c>
      <c r="G266" s="6">
        <f>(Indices!G270-Indices!G269)/Indices!G269</f>
        <v>4.1317722872648136E-4</v>
      </c>
      <c r="H266" s="6">
        <f>(Indices!H270-Indices!H269)/Indices!H269</f>
        <v>2.3633972340679921E-2</v>
      </c>
      <c r="I266" s="6">
        <f>(Indices!I270-Indices!I269)/Indices!I269</f>
        <v>-1.6009167099921115E-3</v>
      </c>
      <c r="J266" s="6">
        <f>(Indices!J270-Indices!J269)/Indices!J269</f>
        <v>1.3882067889762961E-2</v>
      </c>
      <c r="K266" s="6">
        <f>(Indices!K270-Indices!K269)/Indices!K269</f>
        <v>8.2246557730700429E-3</v>
      </c>
      <c r="L266" s="6">
        <f>(Indices!L270-Indices!L269)/Indices!L269</f>
        <v>8.2318268974660817E-3</v>
      </c>
      <c r="M266" s="10">
        <f>WEEKNUM(Rend_j[[#This Row],[Date]])-1</f>
        <v>1</v>
      </c>
      <c r="N266" s="7" t="str">
        <f>TEXT(Rend_j[[#This Row],[Date]],"ddd")</f>
        <v>Tue</v>
      </c>
      <c r="O266" s="7">
        <f>MONTH(Rend_j[[#This Row],[Date]])</f>
        <v>1</v>
      </c>
      <c r="P266" s="7">
        <f>YEAR(Rend_j[[#This Row],[Date]])</f>
        <v>2022</v>
      </c>
      <c r="Q266" s="7" t="str">
        <f>Rend_j[[#This Row],[Week]]&amp;","&amp;Rend_j[[#This Row],[Year]]</f>
        <v>1,2022</v>
      </c>
      <c r="R266" s="7" t="str">
        <f>Rend_j[[#This Row],[Month]]&amp;","&amp;Rend_j[[#This Row],[Year]]</f>
        <v>1,2022</v>
      </c>
    </row>
    <row r="267" spans="1:18" x14ac:dyDescent="0.25">
      <c r="A267" s="1">
        <v>44566</v>
      </c>
      <c r="B267" s="6">
        <f>(Indices!B271-Indices!B270)/Indices!B270</f>
        <v>-2.2408626907200711E-2</v>
      </c>
      <c r="C267" s="6">
        <f>(Indices!C271-Indices!C270)/Indices!C270</f>
        <v>-1.6230721755645772E-2</v>
      </c>
      <c r="D267" s="6">
        <f>(Indices!D271-Indices!D270)/Indices!D270</f>
        <v>-4.9036686201457654E-3</v>
      </c>
      <c r="E267" s="6">
        <f>(Indices!E271-Indices!E270)/Indices!E270</f>
        <v>-1.2248209868051462E-2</v>
      </c>
      <c r="F267" s="6">
        <f>(Indices!F271-Indices!F270)/Indices!F270</f>
        <v>5.284959291529721E-3</v>
      </c>
      <c r="G267" s="6">
        <f>(Indices!G271-Indices!G270)/Indices!G270</f>
        <v>-1.5784486917408906E-2</v>
      </c>
      <c r="H267" s="6">
        <f>(Indices!H271-Indices!H270)/Indices!H270</f>
        <v>4.1854851269265063E-4</v>
      </c>
      <c r="I267" s="6">
        <f>(Indices!I271-Indices!I270)/Indices!I270</f>
        <v>-2.1803353974371387E-2</v>
      </c>
      <c r="J267" s="6">
        <f>(Indices!J271-Indices!J270)/Indices!J270</f>
        <v>8.0574902517464506E-3</v>
      </c>
      <c r="K267" s="6">
        <f>(Indices!K271-Indices!K270)/Indices!K270</f>
        <v>6.6802357667353012E-4</v>
      </c>
      <c r="L267" s="6">
        <f>(Indices!L271-Indices!L270)/Indices!L270</f>
        <v>7.3758759369812422E-3</v>
      </c>
      <c r="M267" s="10">
        <f>WEEKNUM(Rend_j[[#This Row],[Date]])-1</f>
        <v>1</v>
      </c>
      <c r="N267" s="7" t="str">
        <f>TEXT(Rend_j[[#This Row],[Date]],"ddd")</f>
        <v>Wed</v>
      </c>
      <c r="O267" s="7">
        <f>MONTH(Rend_j[[#This Row],[Date]])</f>
        <v>1</v>
      </c>
      <c r="P267" s="7">
        <f>YEAR(Rend_j[[#This Row],[Date]])</f>
        <v>2022</v>
      </c>
      <c r="Q267" s="7" t="str">
        <f>Rend_j[[#This Row],[Week]]&amp;","&amp;Rend_j[[#This Row],[Year]]</f>
        <v>1,2022</v>
      </c>
      <c r="R267" s="7" t="str">
        <f>Rend_j[[#This Row],[Month]]&amp;","&amp;Rend_j[[#This Row],[Year]]</f>
        <v>1,2022</v>
      </c>
    </row>
    <row r="268" spans="1:18" x14ac:dyDescent="0.25">
      <c r="A268" s="1">
        <v>44567</v>
      </c>
      <c r="B268" s="6">
        <f>(Indices!B272-Indices!B271)/Indices!B271</f>
        <v>4.7409376304757981E-3</v>
      </c>
      <c r="C268" s="6">
        <f>(Indices!C272-Indices!C271)/Indices!C271</f>
        <v>-2.1801595086496494E-3</v>
      </c>
      <c r="D268" s="6">
        <f>(Indices!D272-Indices!D271)/Indices!D271</f>
        <v>-6.6612405359804524E-3</v>
      </c>
      <c r="E268" s="6">
        <f>(Indices!E272-Indices!E271)/Indices!E271</f>
        <v>-1.0622577462195159E-3</v>
      </c>
      <c r="F268" s="6">
        <f>(Indices!F272-Indices!F271)/Indices!F271</f>
        <v>-1.7509344875073819E-2</v>
      </c>
      <c r="G268" s="6">
        <f>(Indices!G272-Indices!G271)/Indices!G271</f>
        <v>-2.0558355049492627E-3</v>
      </c>
      <c r="H268" s="6">
        <f>(Indices!H272-Indices!H271)/Indices!H271</f>
        <v>-7.1415366952392485E-3</v>
      </c>
      <c r="I268" s="6">
        <f>(Indices!I272-Indices!I271)/Indices!I271</f>
        <v>-1.4325264566774948E-4</v>
      </c>
      <c r="J268" s="6">
        <f>(Indices!J272-Indices!J271)/Indices!J271</f>
        <v>-1.7177820390001517E-2</v>
      </c>
      <c r="K268" s="6">
        <f>(Indices!K272-Indices!K271)/Indices!K271</f>
        <v>-1.2521496763165798E-2</v>
      </c>
      <c r="L268" s="6">
        <f>(Indices!L272-Indices!L271)/Indices!L271</f>
        <v>-1.3503140719344921E-2</v>
      </c>
      <c r="M268" s="10">
        <f>WEEKNUM(Rend_j[[#This Row],[Date]])-1</f>
        <v>1</v>
      </c>
      <c r="N268" s="7" t="str">
        <f>TEXT(Rend_j[[#This Row],[Date]],"ddd")</f>
        <v>Thu</v>
      </c>
      <c r="O268" s="7">
        <f>MONTH(Rend_j[[#This Row],[Date]])</f>
        <v>1</v>
      </c>
      <c r="P268" s="7">
        <f>YEAR(Rend_j[[#This Row],[Date]])</f>
        <v>2022</v>
      </c>
      <c r="Q268" s="7" t="str">
        <f>Rend_j[[#This Row],[Week]]&amp;","&amp;Rend_j[[#This Row],[Year]]</f>
        <v>1,2022</v>
      </c>
      <c r="R268" s="7" t="str">
        <f>Rend_j[[#This Row],[Month]]&amp;","&amp;Rend_j[[#This Row],[Year]]</f>
        <v>1,2022</v>
      </c>
    </row>
    <row r="269" spans="1:18" x14ac:dyDescent="0.25">
      <c r="A269" s="1">
        <v>44568</v>
      </c>
      <c r="B269" s="6">
        <f>(Indices!B273-Indices!B272)/Indices!B272</f>
        <v>3.9933238859118552E-3</v>
      </c>
      <c r="C269" s="6">
        <f>(Indices!C273-Indices!C272)/Indices!C272</f>
        <v>-6.7979241494778887E-3</v>
      </c>
      <c r="D269" s="6">
        <f>(Indices!D273-Indices!D272)/Indices!D272</f>
        <v>-1.8763001314086166E-3</v>
      </c>
      <c r="E269" s="6">
        <f>(Indices!E273-Indices!E272)/Indices!E272</f>
        <v>2.8026164054673125E-3</v>
      </c>
      <c r="F269" s="6">
        <f>(Indices!F273-Indices!F272)/Indices!F272</f>
        <v>-4.3274151203666154E-3</v>
      </c>
      <c r="G269" s="6">
        <f>(Indices!G273-Indices!G272)/Indices!G272</f>
        <v>-5.7208480565372017E-3</v>
      </c>
      <c r="H269" s="6">
        <f>(Indices!H273-Indices!H272)/Indices!H272</f>
        <v>4.1844284384339502E-3</v>
      </c>
      <c r="I269" s="6">
        <f>(Indices!I273-Indices!I272)/Indices!I272</f>
        <v>-5.0034828007786674E-3</v>
      </c>
      <c r="J269" s="6">
        <f>(Indices!J273-Indices!J272)/Indices!J272</f>
        <v>-4.1629780362907052E-3</v>
      </c>
      <c r="K269" s="6">
        <f>(Indices!K273-Indices!K272)/Indices!K272</f>
        <v>-3.9126597516170435E-3</v>
      </c>
      <c r="L269" s="6">
        <f>(Indices!L273-Indices!L272)/Indices!L272</f>
        <v>-6.4969999586226715E-3</v>
      </c>
      <c r="M269" s="10">
        <f>WEEKNUM(Rend_j[[#This Row],[Date]])-1</f>
        <v>1</v>
      </c>
      <c r="N269" s="7" t="str">
        <f>TEXT(Rend_j[[#This Row],[Date]],"ddd")</f>
        <v>Fri</v>
      </c>
      <c r="O269" s="7">
        <f>MONTH(Rend_j[[#This Row],[Date]])</f>
        <v>1</v>
      </c>
      <c r="P269" s="7">
        <f>YEAR(Rend_j[[#This Row],[Date]])</f>
        <v>2022</v>
      </c>
      <c r="Q269" s="7" t="str">
        <f>Rend_j[[#This Row],[Week]]&amp;","&amp;Rend_j[[#This Row],[Year]]</f>
        <v>1,2022</v>
      </c>
      <c r="R269" s="7" t="str">
        <f>Rend_j[[#This Row],[Month]]&amp;","&amp;Rend_j[[#This Row],[Year]]</f>
        <v>1,2022</v>
      </c>
    </row>
    <row r="270" spans="1:18" x14ac:dyDescent="0.25">
      <c r="A270" s="1">
        <v>44571</v>
      </c>
      <c r="B270" s="6">
        <f>(Indices!B274-Indices!B273)/Indices!B273</f>
        <v>1.0110877235121149E-2</v>
      </c>
      <c r="C270" s="6">
        <f>(Indices!C274-Indices!C273)/Indices!C273</f>
        <v>-1.0772055608988117E-3</v>
      </c>
      <c r="D270" s="6">
        <f>(Indices!D274-Indices!D273)/Indices!D273</f>
        <v>5.080190439862688E-3</v>
      </c>
      <c r="E270" s="6">
        <f>(Indices!E274-Indices!E273)/Indices!E273</f>
        <v>7.5595835630899322E-3</v>
      </c>
      <c r="F270" s="6">
        <f>(Indices!F274-Indices!F273)/Indices!F273</f>
        <v>7.2232215679921699E-3</v>
      </c>
      <c r="G270" s="6">
        <f>(Indices!G274-Indices!G273)/Indices!G273</f>
        <v>-1.0306310660633221E-4</v>
      </c>
      <c r="H270" s="6">
        <f>(Indices!H274-Indices!H273)/Indices!H273</f>
        <v>-2.771488796939572E-3</v>
      </c>
      <c r="I270" s="6">
        <f>(Indices!I274-Indices!I273)/Indices!I273</f>
        <v>-1.5384234723908243E-3</v>
      </c>
      <c r="J270" s="6">
        <f>(Indices!J274-Indices!J273)/Indices!J273</f>
        <v>-1.4365295047192601E-2</v>
      </c>
      <c r="K270" s="6">
        <f>(Indices!K274-Indices!K273)/Indices!K273</f>
        <v>-1.4827744987146535E-2</v>
      </c>
      <c r="L270" s="6">
        <f>(Indices!L274-Indices!L273)/Indices!L273</f>
        <v>-1.1253675907160162E-2</v>
      </c>
      <c r="M270" s="10">
        <f>WEEKNUM(Rend_j[[#This Row],[Date]])-1</f>
        <v>2</v>
      </c>
      <c r="N270" s="7" t="str">
        <f>TEXT(Rend_j[[#This Row],[Date]],"ddd")</f>
        <v>Mon</v>
      </c>
      <c r="O270" s="7">
        <f>MONTH(Rend_j[[#This Row],[Date]])</f>
        <v>1</v>
      </c>
      <c r="P270" s="7">
        <f>YEAR(Rend_j[[#This Row],[Date]])</f>
        <v>2022</v>
      </c>
      <c r="Q270" s="7" t="str">
        <f>Rend_j[[#This Row],[Week]]&amp;","&amp;Rend_j[[#This Row],[Year]]</f>
        <v>2,2022</v>
      </c>
      <c r="R270" s="7" t="str">
        <f>Rend_j[[#This Row],[Month]]&amp;","&amp;Rend_j[[#This Row],[Year]]</f>
        <v>1,2022</v>
      </c>
    </row>
    <row r="271" spans="1:18" x14ac:dyDescent="0.25">
      <c r="A271" s="1">
        <v>44572</v>
      </c>
      <c r="B271" s="6">
        <f>(Indices!B275-Indices!B274)/Indices!B274</f>
        <v>-3.4464858759540315E-3</v>
      </c>
      <c r="C271" s="6">
        <f>(Indices!C275-Indices!C274)/Indices!C274</f>
        <v>6.7397949001633461E-3</v>
      </c>
      <c r="D271" s="6">
        <f>(Indices!D275-Indices!D274)/Indices!D274</f>
        <v>9.0065737301320073E-3</v>
      </c>
      <c r="E271" s="6">
        <f>(Indices!E275-Indices!E274)/Indices!E274</f>
        <v>6.8760670767359679E-3</v>
      </c>
      <c r="F271" s="6">
        <f>(Indices!F275-Indices!F274)/Indices!F274</f>
        <v>-1.0576875079728732E-2</v>
      </c>
      <c r="G271" s="6">
        <f>(Indices!G275-Indices!G274)/Indices!G274</f>
        <v>6.7566606954989148E-3</v>
      </c>
      <c r="H271" s="6">
        <f>(Indices!H275-Indices!H274)/Indices!H274</f>
        <v>6.8794770423141948E-3</v>
      </c>
      <c r="I271" s="6">
        <f>(Indices!I275-Indices!I274)/Indices!I274</f>
        <v>1.0110862936206309E-2</v>
      </c>
      <c r="J271" s="6">
        <f>(Indices!J275-Indices!J274)/Indices!J274</f>
        <v>9.5014120481650526E-3</v>
      </c>
      <c r="K271" s="6">
        <f>(Indices!K275-Indices!K274)/Indices!K274</f>
        <v>8.4334876505064924E-3</v>
      </c>
      <c r="L271" s="6">
        <f>(Indices!L275-Indices!L274)/Indices!L274</f>
        <v>1.1005649013661923E-2</v>
      </c>
      <c r="M271" s="10">
        <f>WEEKNUM(Rend_j[[#This Row],[Date]])-1</f>
        <v>2</v>
      </c>
      <c r="N271" s="7" t="str">
        <f>TEXT(Rend_j[[#This Row],[Date]],"ddd")</f>
        <v>Tue</v>
      </c>
      <c r="O271" s="7">
        <f>MONTH(Rend_j[[#This Row],[Date]])</f>
        <v>1</v>
      </c>
      <c r="P271" s="7">
        <f>YEAR(Rend_j[[#This Row],[Date]])</f>
        <v>2022</v>
      </c>
      <c r="Q271" s="7" t="str">
        <f>Rend_j[[#This Row],[Week]]&amp;","&amp;Rend_j[[#This Row],[Year]]</f>
        <v>2,2022</v>
      </c>
      <c r="R271" s="7" t="str">
        <f>Rend_j[[#This Row],[Month]]&amp;","&amp;Rend_j[[#This Row],[Year]]</f>
        <v>1,2022</v>
      </c>
    </row>
    <row r="272" spans="1:18" x14ac:dyDescent="0.25">
      <c r="A272" s="1">
        <v>44573</v>
      </c>
      <c r="B272" s="6">
        <f>(Indices!B276-Indices!B275)/Indices!B275</f>
        <v>1.6386236399395342E-2</v>
      </c>
      <c r="C272" s="6">
        <f>(Indices!C276-Indices!C275)/Indices!C275</f>
        <v>-5.3905168636224528E-4</v>
      </c>
      <c r="D272" s="6">
        <f>(Indices!D276-Indices!D275)/Indices!D275</f>
        <v>6.8831012698973917E-3</v>
      </c>
      <c r="E272" s="6">
        <f>(Indices!E276-Indices!E275)/Indices!E275</f>
        <v>1.2403893057071919E-2</v>
      </c>
      <c r="F272" s="6">
        <f>(Indices!F276-Indices!F275)/Indices!F275</f>
        <v>1.4311179873536915E-2</v>
      </c>
      <c r="G272" s="6">
        <f>(Indices!G276-Indices!G275)/Indices!G275</f>
        <v>9.3555937624662888E-4</v>
      </c>
      <c r="H272" s="6">
        <f>(Indices!H276-Indices!H275)/Indices!H275</f>
        <v>7.0171346376261693E-3</v>
      </c>
      <c r="I272" s="6">
        <f>(Indices!I276-Indices!I275)/Indices!I275</f>
        <v>1.6161295577111394E-3</v>
      </c>
      <c r="J272" s="6">
        <f>(Indices!J276-Indices!J275)/Indices!J275</f>
        <v>7.4909108075079693E-3</v>
      </c>
      <c r="K272" s="6">
        <f>(Indices!K276-Indices!K275)/Indices!K275</f>
        <v>6.4586095138733169E-3</v>
      </c>
      <c r="L272" s="6">
        <f>(Indices!L276-Indices!L275)/Indices!L275</f>
        <v>4.2975510213675017E-3</v>
      </c>
      <c r="M272" s="10">
        <f>WEEKNUM(Rend_j[[#This Row],[Date]])-1</f>
        <v>2</v>
      </c>
      <c r="N272" s="7" t="str">
        <f>TEXT(Rend_j[[#This Row],[Date]],"ddd")</f>
        <v>Wed</v>
      </c>
      <c r="O272" s="7">
        <f>MONTH(Rend_j[[#This Row],[Date]])</f>
        <v>1</v>
      </c>
      <c r="P272" s="7">
        <f>YEAR(Rend_j[[#This Row],[Date]])</f>
        <v>2022</v>
      </c>
      <c r="Q272" s="7" t="str">
        <f>Rend_j[[#This Row],[Week]]&amp;","&amp;Rend_j[[#This Row],[Year]]</f>
        <v>2,2022</v>
      </c>
      <c r="R272" s="7" t="str">
        <f>Rend_j[[#This Row],[Month]]&amp;","&amp;Rend_j[[#This Row],[Year]]</f>
        <v>1,2022</v>
      </c>
    </row>
    <row r="273" spans="1:18" x14ac:dyDescent="0.25">
      <c r="A273" s="1">
        <v>44574</v>
      </c>
      <c r="B273" s="6">
        <f>(Indices!B277-Indices!B276)/Indices!B276</f>
        <v>-1.6780228026365949E-2</v>
      </c>
      <c r="C273" s="6">
        <f>(Indices!C277-Indices!C276)/Indices!C276</f>
        <v>-1.3448764209932979E-2</v>
      </c>
      <c r="D273" s="6">
        <f>(Indices!D277-Indices!D276)/Indices!D276</f>
        <v>-2.6712587137898342E-3</v>
      </c>
      <c r="E273" s="6">
        <f>(Indices!E277-Indices!E276)/Indices!E276</f>
        <v>-6.6651370884479276E-3</v>
      </c>
      <c r="F273" s="6">
        <f>(Indices!F277-Indices!F276)/Indices!F276</f>
        <v>-3.6751499074303908E-3</v>
      </c>
      <c r="G273" s="6">
        <f>(Indices!G277-Indices!G276)/Indices!G276</f>
        <v>-1.2669389597838532E-2</v>
      </c>
      <c r="H273" s="6">
        <f>(Indices!H277-Indices!H276)/Indices!H276</f>
        <v>1.968864910773682E-3</v>
      </c>
      <c r="I273" s="6">
        <f>(Indices!I277-Indices!I276)/Indices!I276</f>
        <v>-1.451264309830138E-2</v>
      </c>
      <c r="J273" s="6">
        <f>(Indices!J277-Indices!J276)/Indices!J276</f>
        <v>-4.9811880431340633E-3</v>
      </c>
      <c r="K273" s="6">
        <f>(Indices!K277-Indices!K276)/Indices!K276</f>
        <v>-3.0856436918399408E-4</v>
      </c>
      <c r="L273" s="6">
        <f>(Indices!L277-Indices!L276)/Indices!L276</f>
        <v>1.3284887240336165E-3</v>
      </c>
      <c r="M273" s="10">
        <f>WEEKNUM(Rend_j[[#This Row],[Date]])-1</f>
        <v>2</v>
      </c>
      <c r="N273" s="7" t="str">
        <f>TEXT(Rend_j[[#This Row],[Date]],"ddd")</f>
        <v>Thu</v>
      </c>
      <c r="O273" s="7">
        <f>MONTH(Rend_j[[#This Row],[Date]])</f>
        <v>1</v>
      </c>
      <c r="P273" s="7">
        <f>YEAR(Rend_j[[#This Row],[Date]])</f>
        <v>2022</v>
      </c>
      <c r="Q273" s="7" t="str">
        <f>Rend_j[[#This Row],[Week]]&amp;","&amp;Rend_j[[#This Row],[Year]]</f>
        <v>2,2022</v>
      </c>
      <c r="R273" s="7" t="str">
        <f>Rend_j[[#This Row],[Month]]&amp;","&amp;Rend_j[[#This Row],[Year]]</f>
        <v>1,2022</v>
      </c>
    </row>
    <row r="274" spans="1:18" x14ac:dyDescent="0.25">
      <c r="A274" s="1">
        <v>44575</v>
      </c>
      <c r="B274" s="6">
        <f>(Indices!B278-Indices!B277)/Indices!B277</f>
        <v>-1.7634039843763729E-3</v>
      </c>
      <c r="C274" s="6">
        <f>(Indices!C278-Indices!C277)/Indices!C277</f>
        <v>-4.5851821022705629E-4</v>
      </c>
      <c r="D274" s="6">
        <f>(Indices!D278-Indices!D277)/Indices!D277</f>
        <v>-2.1607002111755855E-3</v>
      </c>
      <c r="E274" s="6">
        <f>(Indices!E278-Indices!E277)/Indices!E277</f>
        <v>-2.2704962524108239E-3</v>
      </c>
      <c r="F274" s="6">
        <f>(Indices!F278-Indices!F277)/Indices!F277</f>
        <v>-9.2189926780563911E-3</v>
      </c>
      <c r="G274" s="6">
        <f>(Indices!G278-Indices!G277)/Indices!G277</f>
        <v>-6.6803369461933455E-4</v>
      </c>
      <c r="H274" s="6">
        <f>(Indices!H278-Indices!H277)/Indices!H277</f>
        <v>-2.6777888014486223E-3</v>
      </c>
      <c r="I274" s="6">
        <f>(Indices!I278-Indices!I277)/Indices!I277</f>
        <v>4.0261608646830534E-4</v>
      </c>
      <c r="J274" s="6">
        <f>(Indices!J278-Indices!J277)/Indices!J277</f>
        <v>-8.0737405319015968E-3</v>
      </c>
      <c r="K274" s="6">
        <f>(Indices!K278-Indices!K277)/Indices!K277</f>
        <v>-1.006066067426787E-2</v>
      </c>
      <c r="L274" s="6">
        <f>(Indices!L278-Indices!L277)/Indices!L277</f>
        <v>-9.253580679182416E-3</v>
      </c>
      <c r="M274" s="10">
        <f>WEEKNUM(Rend_j[[#This Row],[Date]])-1</f>
        <v>2</v>
      </c>
      <c r="N274" s="7" t="str">
        <f>TEXT(Rend_j[[#This Row],[Date]],"ddd")</f>
        <v>Fri</v>
      </c>
      <c r="O274" s="7">
        <f>MONTH(Rend_j[[#This Row],[Date]])</f>
        <v>1</v>
      </c>
      <c r="P274" s="7">
        <f>YEAR(Rend_j[[#This Row],[Date]])</f>
        <v>2022</v>
      </c>
      <c r="Q274" s="7" t="str">
        <f>Rend_j[[#This Row],[Week]]&amp;","&amp;Rend_j[[#This Row],[Year]]</f>
        <v>2,2022</v>
      </c>
      <c r="R274" s="7" t="str">
        <f>Rend_j[[#This Row],[Month]]&amp;","&amp;Rend_j[[#This Row],[Year]]</f>
        <v>1,2022</v>
      </c>
    </row>
    <row r="275" spans="1:18" x14ac:dyDescent="0.25">
      <c r="A275" s="1">
        <v>44578</v>
      </c>
      <c r="B275" s="6">
        <f>(Indices!B279-Indices!B278)/Indices!B278</f>
        <v>1.1165767330609832E-3</v>
      </c>
      <c r="C275" s="6">
        <f>(Indices!C279-Indices!C278)/Indices!C278</f>
        <v>3.6451275971093591E-3</v>
      </c>
      <c r="D275" s="6">
        <f>(Indices!D279-Indices!D278)/Indices!D278</f>
        <v>2.7576744525585266E-3</v>
      </c>
      <c r="E275" s="6">
        <f>(Indices!E279-Indices!E278)/Indices!E278</f>
        <v>2.3150184506975786E-4</v>
      </c>
      <c r="F275" s="6">
        <f>(Indices!F279-Indices!F278)/Indices!F278</f>
        <v>7.502043467064605E-4</v>
      </c>
      <c r="G275" s="6">
        <f>(Indices!G279-Indices!G278)/Indices!G278</f>
        <v>3.2530322908140268E-3</v>
      </c>
      <c r="H275" s="6">
        <f>(Indices!H279-Indices!H278)/Indices!H278</f>
        <v>9.4070833212606241E-3</v>
      </c>
      <c r="I275" s="6">
        <f>(Indices!I279-Indices!I278)/Indices!I278</f>
        <v>0</v>
      </c>
      <c r="J275" s="6">
        <f>(Indices!J279-Indices!J278)/Indices!J278</f>
        <v>8.2094549909002279E-3</v>
      </c>
      <c r="K275" s="6">
        <f>(Indices!K279-Indices!K278)/Indices!K278</f>
        <v>6.9623534212124739E-3</v>
      </c>
      <c r="L275" s="6">
        <f>(Indices!L279-Indices!L278)/Indices!L278</f>
        <v>3.1781613366683482E-3</v>
      </c>
      <c r="M275" s="10">
        <f>WEEKNUM(Rend_j[[#This Row],[Date]])-1</f>
        <v>3</v>
      </c>
      <c r="N275" s="7" t="str">
        <f>TEXT(Rend_j[[#This Row],[Date]],"ddd")</f>
        <v>Mon</v>
      </c>
      <c r="O275" s="7">
        <f>MONTH(Rend_j[[#This Row],[Date]])</f>
        <v>1</v>
      </c>
      <c r="P275" s="7">
        <f>YEAR(Rend_j[[#This Row],[Date]])</f>
        <v>2022</v>
      </c>
      <c r="Q275" s="7" t="str">
        <f>Rend_j[[#This Row],[Week]]&amp;","&amp;Rend_j[[#This Row],[Year]]</f>
        <v>3,2022</v>
      </c>
      <c r="R275" s="7" t="str">
        <f>Rend_j[[#This Row],[Month]]&amp;","&amp;Rend_j[[#This Row],[Year]]</f>
        <v>1,2022</v>
      </c>
    </row>
    <row r="276" spans="1:18" x14ac:dyDescent="0.25">
      <c r="A276" s="1">
        <v>44579</v>
      </c>
      <c r="B276" s="6">
        <f>(Indices!B280-Indices!B279)/Indices!B279</f>
        <v>5.8063362341903195E-3</v>
      </c>
      <c r="C276" s="6">
        <f>(Indices!C280-Indices!C279)/Indices!C279</f>
        <v>-1.1162872461984746E-2</v>
      </c>
      <c r="D276" s="6">
        <f>(Indices!D280-Indices!D279)/Indices!D279</f>
        <v>-7.7657046822961224E-3</v>
      </c>
      <c r="E276" s="6">
        <f>(Indices!E280-Indices!E279)/Indices!E279</f>
        <v>-4.9877100971620495E-3</v>
      </c>
      <c r="F276" s="6">
        <f>(Indices!F280-Indices!F279)/Indices!F279</f>
        <v>2.7468224131757149E-3</v>
      </c>
      <c r="G276" s="6">
        <f>(Indices!G280-Indices!G279)/Indices!G279</f>
        <v>-1.0450776592825888E-2</v>
      </c>
      <c r="H276" s="6">
        <f>(Indices!H280-Indices!H279)/Indices!H279</f>
        <v>-4.7936620324744742E-3</v>
      </c>
      <c r="I276" s="6">
        <f>(Indices!I280-Indices!I279)/Indices!I279</f>
        <v>-1.971516493823609E-2</v>
      </c>
      <c r="J276" s="6">
        <f>(Indices!J280-Indices!J279)/Indices!J279</f>
        <v>-9.4159188337683466E-3</v>
      </c>
      <c r="K276" s="6">
        <f>(Indices!K280-Indices!K279)/Indices!K279</f>
        <v>-9.7418028576953947E-3</v>
      </c>
      <c r="L276" s="6">
        <f>(Indices!L280-Indices!L279)/Indices!L279</f>
        <v>-1.011440911042065E-2</v>
      </c>
      <c r="M276" s="10">
        <f>WEEKNUM(Rend_j[[#This Row],[Date]])-1</f>
        <v>3</v>
      </c>
      <c r="N276" s="7" t="str">
        <f>TEXT(Rend_j[[#This Row],[Date]],"ddd")</f>
        <v>Tue</v>
      </c>
      <c r="O276" s="7">
        <f>MONTH(Rend_j[[#This Row],[Date]])</f>
        <v>1</v>
      </c>
      <c r="P276" s="7">
        <f>YEAR(Rend_j[[#This Row],[Date]])</f>
        <v>2022</v>
      </c>
      <c r="Q276" s="7" t="str">
        <f>Rend_j[[#This Row],[Week]]&amp;","&amp;Rend_j[[#This Row],[Year]]</f>
        <v>3,2022</v>
      </c>
      <c r="R276" s="7" t="str">
        <f>Rend_j[[#This Row],[Month]]&amp;","&amp;Rend_j[[#This Row],[Year]]</f>
        <v>1,2022</v>
      </c>
    </row>
    <row r="277" spans="1:18" x14ac:dyDescent="0.25">
      <c r="A277" s="1">
        <v>44580</v>
      </c>
      <c r="B277" s="6">
        <f>(Indices!B281-Indices!B280)/Indices!B280</f>
        <v>-4.9343430844256712E-3</v>
      </c>
      <c r="C277" s="6">
        <f>(Indices!C281-Indices!C280)/Indices!C280</f>
        <v>-8.3697777777777243E-3</v>
      </c>
      <c r="D277" s="6">
        <f>(Indices!D281-Indices!D280)/Indices!D280</f>
        <v>-1.4491086512088338E-3</v>
      </c>
      <c r="E277" s="6">
        <f>(Indices!E281-Indices!E280)/Indices!E280</f>
        <v>-1.5817374455405632E-3</v>
      </c>
      <c r="F277" s="6">
        <f>(Indices!F281-Indices!F280)/Indices!F280</f>
        <v>-2.88435252701639E-2</v>
      </c>
      <c r="G277" s="6">
        <f>(Indices!G281-Indices!G280)/Indices!G280</f>
        <v>-7.5868873237409E-3</v>
      </c>
      <c r="H277" s="6">
        <f>(Indices!H281-Indices!H280)/Indices!H280</f>
        <v>6.6338499403914711E-3</v>
      </c>
      <c r="I277" s="6">
        <f>(Indices!I281-Indices!I280)/Indices!I280</f>
        <v>-1.0195277524095783E-2</v>
      </c>
      <c r="J277" s="6">
        <f>(Indices!J281-Indices!J280)/Indices!J280</f>
        <v>5.487921855713159E-3</v>
      </c>
      <c r="K277" s="6">
        <f>(Indices!K281-Indices!K280)/Indices!K280</f>
        <v>2.3134808544960648E-3</v>
      </c>
      <c r="L277" s="6">
        <f>(Indices!L281-Indices!L280)/Indices!L280</f>
        <v>2.3560006120174237E-3</v>
      </c>
      <c r="M277" s="10">
        <f>WEEKNUM(Rend_j[[#This Row],[Date]])-1</f>
        <v>3</v>
      </c>
      <c r="N277" s="7" t="str">
        <f>TEXT(Rend_j[[#This Row],[Date]],"ddd")</f>
        <v>Wed</v>
      </c>
      <c r="O277" s="7">
        <f>MONTH(Rend_j[[#This Row],[Date]])</f>
        <v>1</v>
      </c>
      <c r="P277" s="7">
        <f>YEAR(Rend_j[[#This Row],[Date]])</f>
        <v>2022</v>
      </c>
      <c r="Q277" s="7" t="str">
        <f>Rend_j[[#This Row],[Week]]&amp;","&amp;Rend_j[[#This Row],[Year]]</f>
        <v>3,2022</v>
      </c>
      <c r="R277" s="7" t="str">
        <f>Rend_j[[#This Row],[Month]]&amp;","&amp;Rend_j[[#This Row],[Year]]</f>
        <v>1,2022</v>
      </c>
    </row>
    <row r="278" spans="1:18" x14ac:dyDescent="0.25">
      <c r="A278" s="1">
        <v>44581</v>
      </c>
      <c r="B278" s="6">
        <f>(Indices!B282-Indices!B281)/Indices!B281</f>
        <v>2.2915542476364938E-2</v>
      </c>
      <c r="C278" s="6">
        <f>(Indices!C282-Indices!C281)/Indices!C281</f>
        <v>-5.539699386151167E-3</v>
      </c>
      <c r="D278" s="6">
        <f>(Indices!D282-Indices!D281)/Indices!D281</f>
        <v>2.1027618218929485E-3</v>
      </c>
      <c r="E278" s="6">
        <f>(Indices!E282-Indices!E281)/Indices!E281</f>
        <v>1.2566777020084957E-2</v>
      </c>
      <c r="F278" s="6">
        <f>(Indices!F282-Indices!F281)/Indices!F281</f>
        <v>1.2690078300483148E-2</v>
      </c>
      <c r="G278" s="6">
        <f>(Indices!G282-Indices!G281)/Indices!G281</f>
        <v>-3.4251421397703268E-3</v>
      </c>
      <c r="H278" s="6">
        <f>(Indices!H282-Indices!H281)/Indices!H281</f>
        <v>4.2979121697772448E-4</v>
      </c>
      <c r="I278" s="6">
        <f>(Indices!I282-Indices!I281)/Indices!I281</f>
        <v>-1.1665046914090238E-2</v>
      </c>
      <c r="J278" s="6">
        <f>(Indices!J282-Indices!J281)/Indices!J281</f>
        <v>2.952772217273057E-3</v>
      </c>
      <c r="K278" s="6">
        <f>(Indices!K282-Indices!K281)/Indices!K281</f>
        <v>5.0946392816965088E-3</v>
      </c>
      <c r="L278" s="6">
        <f>(Indices!L282-Indices!L281)/Indices!L281</f>
        <v>6.490333272973145E-3</v>
      </c>
      <c r="M278" s="10">
        <f>WEEKNUM(Rend_j[[#This Row],[Date]])-1</f>
        <v>3</v>
      </c>
      <c r="N278" s="7" t="str">
        <f>TEXT(Rend_j[[#This Row],[Date]],"ddd")</f>
        <v>Thu</v>
      </c>
      <c r="O278" s="7">
        <f>MONTH(Rend_j[[#This Row],[Date]])</f>
        <v>1</v>
      </c>
      <c r="P278" s="7">
        <f>YEAR(Rend_j[[#This Row],[Date]])</f>
        <v>2022</v>
      </c>
      <c r="Q278" s="7" t="str">
        <f>Rend_j[[#This Row],[Week]]&amp;","&amp;Rend_j[[#This Row],[Year]]</f>
        <v>3,2022</v>
      </c>
      <c r="R278" s="7" t="str">
        <f>Rend_j[[#This Row],[Month]]&amp;","&amp;Rend_j[[#This Row],[Year]]</f>
        <v>1,2022</v>
      </c>
    </row>
    <row r="279" spans="1:18" x14ac:dyDescent="0.25">
      <c r="A279" s="1">
        <v>44582</v>
      </c>
      <c r="B279" s="6">
        <f>(Indices!B283-Indices!B282)/Indices!B282</f>
        <v>-6.5254475088695951E-3</v>
      </c>
      <c r="C279" s="6">
        <f>(Indices!C283-Indices!C282)/Indices!C282</f>
        <v>-1.8456756961395385E-2</v>
      </c>
      <c r="D279" s="6">
        <f>(Indices!D283-Indices!D282)/Indices!D282</f>
        <v>-1.0617343117612638E-2</v>
      </c>
      <c r="E279" s="6">
        <f>(Indices!E283-Indices!E282)/Indices!E282</f>
        <v>-9.0193524933216748E-3</v>
      </c>
      <c r="F279" s="6">
        <f>(Indices!F283-Indices!F282)/Indices!F282</f>
        <v>-4.0503284510046327E-3</v>
      </c>
      <c r="G279" s="6">
        <f>(Indices!G283-Indices!G282)/Indices!G282</f>
        <v>-1.7337483843955365E-2</v>
      </c>
      <c r="H279" s="6">
        <f>(Indices!H283-Indices!H282)/Indices!H282</f>
        <v>-1.8406255071744274E-2</v>
      </c>
      <c r="I279" s="6">
        <f>(Indices!I283-Indices!I282)/Indices!I282</f>
        <v>-1.9502151162827192E-2</v>
      </c>
      <c r="J279" s="6">
        <f>(Indices!J283-Indices!J282)/Indices!J282</f>
        <v>-1.7454478254181338E-2</v>
      </c>
      <c r="K279" s="6">
        <f>(Indices!K283-Indices!K282)/Indices!K282</f>
        <v>-1.8433855155470951E-2</v>
      </c>
      <c r="L279" s="6">
        <f>(Indices!L283-Indices!L282)/Indices!L282</f>
        <v>-1.9384351534266271E-2</v>
      </c>
      <c r="M279" s="10">
        <f>WEEKNUM(Rend_j[[#This Row],[Date]])-1</f>
        <v>3</v>
      </c>
      <c r="N279" s="7" t="str">
        <f>TEXT(Rend_j[[#This Row],[Date]],"ddd")</f>
        <v>Fri</v>
      </c>
      <c r="O279" s="7">
        <f>MONTH(Rend_j[[#This Row],[Date]])</f>
        <v>1</v>
      </c>
      <c r="P279" s="7">
        <f>YEAR(Rend_j[[#This Row],[Date]])</f>
        <v>2022</v>
      </c>
      <c r="Q279" s="7" t="str">
        <f>Rend_j[[#This Row],[Week]]&amp;","&amp;Rend_j[[#This Row],[Year]]</f>
        <v>3,2022</v>
      </c>
      <c r="R279" s="7" t="str">
        <f>Rend_j[[#This Row],[Month]]&amp;","&amp;Rend_j[[#This Row],[Year]]</f>
        <v>1,2022</v>
      </c>
    </row>
    <row r="280" spans="1:18" x14ac:dyDescent="0.25">
      <c r="A280" s="1">
        <v>44585</v>
      </c>
      <c r="B280" s="6">
        <f>(Indices!B284-Indices!B283)/Indices!B283</f>
        <v>-5.9880323248876705E-3</v>
      </c>
      <c r="C280" s="6">
        <f>(Indices!C284-Indices!C283)/Indices!C283</f>
        <v>-3.1333568426930285E-3</v>
      </c>
      <c r="D280" s="6">
        <f>(Indices!D284-Indices!D283)/Indices!D283</f>
        <v>-1.4097035765091527E-2</v>
      </c>
      <c r="E280" s="6">
        <f>(Indices!E284-Indices!E283)/Indices!E283</f>
        <v>-1.4497296268176828E-2</v>
      </c>
      <c r="F280" s="6">
        <f>(Indices!F284-Indices!F283)/Indices!F283</f>
        <v>1.1562471521004655E-3</v>
      </c>
      <c r="G280" s="6">
        <f>(Indices!G284-Indices!G283)/Indices!G283</f>
        <v>-4.4942071781344491E-3</v>
      </c>
      <c r="H280" s="6">
        <f>(Indices!H284-Indices!H283)/Indices!H283</f>
        <v>-2.8311887880644641E-2</v>
      </c>
      <c r="I280" s="6">
        <f>(Indices!I284-Indices!I283)/Indices!I283</f>
        <v>5.0266138156673072E-3</v>
      </c>
      <c r="J280" s="6">
        <f>(Indices!J284-Indices!J283)/Indices!J283</f>
        <v>-3.9725010390629714E-2</v>
      </c>
      <c r="K280" s="6">
        <f>(Indices!K284-Indices!K283)/Indices!K283</f>
        <v>-3.8108120992715107E-2</v>
      </c>
      <c r="L280" s="6">
        <f>(Indices!L284-Indices!L283)/Indices!L283</f>
        <v>-3.7987347028974952E-2</v>
      </c>
      <c r="M280" s="10">
        <f>WEEKNUM(Rend_j[[#This Row],[Date]])-1</f>
        <v>4</v>
      </c>
      <c r="N280" s="7" t="str">
        <f>TEXT(Rend_j[[#This Row],[Date]],"ddd")</f>
        <v>Mon</v>
      </c>
      <c r="O280" s="7">
        <f>MONTH(Rend_j[[#This Row],[Date]])</f>
        <v>1</v>
      </c>
      <c r="P280" s="7">
        <f>YEAR(Rend_j[[#This Row],[Date]])</f>
        <v>2022</v>
      </c>
      <c r="Q280" s="7" t="str">
        <f>Rend_j[[#This Row],[Week]]&amp;","&amp;Rend_j[[#This Row],[Year]]</f>
        <v>4,2022</v>
      </c>
      <c r="R280" s="7" t="str">
        <f>Rend_j[[#This Row],[Month]]&amp;","&amp;Rend_j[[#This Row],[Year]]</f>
        <v>1,2022</v>
      </c>
    </row>
    <row r="281" spans="1:18" x14ac:dyDescent="0.25">
      <c r="A281" s="1">
        <v>44586</v>
      </c>
      <c r="B281" s="6">
        <f>(Indices!B285-Indices!B284)/Indices!B284</f>
        <v>-1.7685126052547993E-2</v>
      </c>
      <c r="C281" s="6">
        <f>(Indices!C285-Indices!C284)/Indices!C284</f>
        <v>-6.9202112175225147E-3</v>
      </c>
      <c r="D281" s="6">
        <f>(Indices!D285-Indices!D284)/Indices!D284</f>
        <v>-1.8884590349746554E-3</v>
      </c>
      <c r="E281" s="6">
        <f>(Indices!E285-Indices!E284)/Indices!E284</f>
        <v>-6.5071373543138661E-3</v>
      </c>
      <c r="F281" s="6">
        <f>(Indices!F285-Indices!F284)/Indices!F284</f>
        <v>-1.4200294701628716E-2</v>
      </c>
      <c r="G281" s="6">
        <f>(Indices!G285-Indices!G284)/Indices!G284</f>
        <v>-6.8703710595854096E-3</v>
      </c>
      <c r="H281" s="6">
        <f>(Indices!H285-Indices!H284)/Indices!H284</f>
        <v>1.5484245505865366E-2</v>
      </c>
      <c r="I281" s="6">
        <f>(Indices!I285-Indices!I284)/Indices!I284</f>
        <v>-1.3430401216240683E-2</v>
      </c>
      <c r="J281" s="6">
        <f>(Indices!J285-Indices!J284)/Indices!J284</f>
        <v>7.3912012174422431E-3</v>
      </c>
      <c r="K281" s="6">
        <f>(Indices!K285-Indices!K284)/Indices!K284</f>
        <v>7.0777699758229028E-3</v>
      </c>
      <c r="L281" s="6">
        <f>(Indices!L285-Indices!L284)/Indices!L284</f>
        <v>7.5104433111466209E-3</v>
      </c>
      <c r="M281" s="10">
        <f>WEEKNUM(Rend_j[[#This Row],[Date]])-1</f>
        <v>4</v>
      </c>
      <c r="N281" s="7" t="str">
        <f>TEXT(Rend_j[[#This Row],[Date]],"ddd")</f>
        <v>Tue</v>
      </c>
      <c r="O281" s="7">
        <f>MONTH(Rend_j[[#This Row],[Date]])</f>
        <v>1</v>
      </c>
      <c r="P281" s="7">
        <f>YEAR(Rend_j[[#This Row],[Date]])</f>
        <v>2022</v>
      </c>
      <c r="Q281" s="7" t="str">
        <f>Rend_j[[#This Row],[Week]]&amp;","&amp;Rend_j[[#This Row],[Year]]</f>
        <v>4,2022</v>
      </c>
      <c r="R281" s="7" t="str">
        <f>Rend_j[[#This Row],[Month]]&amp;","&amp;Rend_j[[#This Row],[Year]]</f>
        <v>1,2022</v>
      </c>
    </row>
    <row r="282" spans="1:18" x14ac:dyDescent="0.25">
      <c r="A282" s="1">
        <v>44587</v>
      </c>
      <c r="B282" s="6">
        <f>(Indices!B286-Indices!B285)/Indices!B285</f>
        <v>1.2859401844493954E-3</v>
      </c>
      <c r="C282" s="6">
        <f>(Indices!C286-Indices!C285)/Indices!C285</f>
        <v>6.6047992400769301E-4</v>
      </c>
      <c r="D282" s="6">
        <f>(Indices!D286-Indices!D285)/Indices!D285</f>
        <v>1.2973866247778371E-3</v>
      </c>
      <c r="E282" s="6">
        <f>(Indices!E286-Indices!E285)/Indices!E285</f>
        <v>6.877008264265965E-5</v>
      </c>
      <c r="F282" s="6">
        <f>(Indices!F286-Indices!F285)/Indices!F285</f>
        <v>-6.5733660366470064E-3</v>
      </c>
      <c r="G282" s="6">
        <f>(Indices!G286-Indices!G285)/Indices!G285</f>
        <v>5.9210624934424405E-4</v>
      </c>
      <c r="H282" s="6">
        <f>(Indices!H286-Indices!H285)/Indices!H285</f>
        <v>1.4370903356167744E-2</v>
      </c>
      <c r="I282" s="6">
        <f>(Indices!I286-Indices!I285)/Indices!I285</f>
        <v>-3.2676328235228267E-3</v>
      </c>
      <c r="J282" s="6">
        <f>(Indices!J286-Indices!J285)/Indices!J285</f>
        <v>2.1058912427287902E-2</v>
      </c>
      <c r="K282" s="6">
        <f>(Indices!K286-Indices!K285)/Indices!K285</f>
        <v>1.6797584950043219E-2</v>
      </c>
      <c r="L282" s="6">
        <f>(Indices!L286-Indices!L285)/Indices!L285</f>
        <v>2.2184766685896373E-2</v>
      </c>
      <c r="M282" s="10">
        <f>WEEKNUM(Rend_j[[#This Row],[Date]])-1</f>
        <v>4</v>
      </c>
      <c r="N282" s="7" t="str">
        <f>TEXT(Rend_j[[#This Row],[Date]],"ddd")</f>
        <v>Wed</v>
      </c>
      <c r="O282" s="7">
        <f>MONTH(Rend_j[[#This Row],[Date]])</f>
        <v>1</v>
      </c>
      <c r="P282" s="7">
        <f>YEAR(Rend_j[[#This Row],[Date]])</f>
        <v>2022</v>
      </c>
      <c r="Q282" s="7" t="str">
        <f>Rend_j[[#This Row],[Week]]&amp;","&amp;Rend_j[[#This Row],[Year]]</f>
        <v>4,2022</v>
      </c>
      <c r="R282" s="7" t="str">
        <f>Rend_j[[#This Row],[Month]]&amp;","&amp;Rend_j[[#This Row],[Year]]</f>
        <v>1,2022</v>
      </c>
    </row>
    <row r="283" spans="1:18" x14ac:dyDescent="0.25">
      <c r="A283" s="1">
        <v>44588</v>
      </c>
      <c r="B283" s="6">
        <f>(Indices!B287-Indices!B286)/Indices!B286</f>
        <v>-1.8389068672616797E-2</v>
      </c>
      <c r="C283" s="6">
        <f>(Indices!C287-Indices!C286)/Indices!C286</f>
        <v>3.7044041249041405E-3</v>
      </c>
      <c r="D283" s="6">
        <f>(Indices!D287-Indices!D286)/Indices!D286</f>
        <v>3.7748903122695214E-3</v>
      </c>
      <c r="E283" s="6">
        <f>(Indices!E287-Indices!E286)/Indices!E286</f>
        <v>-4.220769982263217E-3</v>
      </c>
      <c r="F283" s="6">
        <f>(Indices!F287-Indices!F286)/Indices!F286</f>
        <v>-2.3783520007435947E-2</v>
      </c>
      <c r="G283" s="6">
        <f>(Indices!G287-Indices!G286)/Indices!G286</f>
        <v>2.7640242395188031E-3</v>
      </c>
      <c r="H283" s="6">
        <f>(Indices!H287-Indices!H286)/Indices!H286</f>
        <v>1.5265321193629552E-2</v>
      </c>
      <c r="I283" s="6">
        <f>(Indices!I287-Indices!I286)/Indices!I286</f>
        <v>-7.1709018746803493E-3</v>
      </c>
      <c r="J283" s="6">
        <f>(Indices!J287-Indices!J286)/Indices!J286</f>
        <v>5.9925642990951104E-3</v>
      </c>
      <c r="K283" s="6">
        <f>(Indices!K287-Indices!K286)/Indices!K286</f>
        <v>6.4624960153324383E-3</v>
      </c>
      <c r="L283" s="6">
        <f>(Indices!L287-Indices!L286)/Indices!L286</f>
        <v>4.1967944057869329E-3</v>
      </c>
      <c r="M283" s="10">
        <f>WEEKNUM(Rend_j[[#This Row],[Date]])-1</f>
        <v>4</v>
      </c>
      <c r="N283" s="7" t="str">
        <f>TEXT(Rend_j[[#This Row],[Date]],"ddd")</f>
        <v>Thu</v>
      </c>
      <c r="O283" s="7">
        <f>MONTH(Rend_j[[#This Row],[Date]])</f>
        <v>1</v>
      </c>
      <c r="P283" s="7">
        <f>YEAR(Rend_j[[#This Row],[Date]])</f>
        <v>2022</v>
      </c>
      <c r="Q283" s="7" t="str">
        <f>Rend_j[[#This Row],[Week]]&amp;","&amp;Rend_j[[#This Row],[Year]]</f>
        <v>4,2022</v>
      </c>
      <c r="R283" s="7" t="str">
        <f>Rend_j[[#This Row],[Month]]&amp;","&amp;Rend_j[[#This Row],[Year]]</f>
        <v>1,2022</v>
      </c>
    </row>
    <row r="284" spans="1:18" x14ac:dyDescent="0.25">
      <c r="A284" s="1">
        <v>44589</v>
      </c>
      <c r="B284" s="6">
        <f>(Indices!B288-Indices!B287)/Indices!B287</f>
        <v>-1.1607945809917343E-2</v>
      </c>
      <c r="C284" s="6">
        <f>(Indices!C288-Indices!C287)/Indices!C287</f>
        <v>1.5512897243218925E-2</v>
      </c>
      <c r="D284" s="6">
        <f>(Indices!D288-Indices!D287)/Indices!D287</f>
        <v>1.3619811081259159E-3</v>
      </c>
      <c r="E284" s="6">
        <f>(Indices!E288-Indices!E287)/Indices!E287</f>
        <v>-2.2526813098890002E-3</v>
      </c>
      <c r="F284" s="6">
        <f>(Indices!F288-Indices!F287)/Indices!F287</f>
        <v>1.9447519072612805E-2</v>
      </c>
      <c r="G284" s="6">
        <f>(Indices!G288-Indices!G287)/Indices!G287</f>
        <v>1.3427205497870957E-2</v>
      </c>
      <c r="H284" s="6">
        <f>(Indices!H288-Indices!H287)/Indices!H287</f>
        <v>-1.2059262662225709E-2</v>
      </c>
      <c r="I284" s="6">
        <f>(Indices!I288-Indices!I287)/Indices!I287</f>
        <v>2.4485129858073568E-2</v>
      </c>
      <c r="J284" s="6">
        <f>(Indices!J288-Indices!J287)/Indices!J287</f>
        <v>-8.2462375933278816E-3</v>
      </c>
      <c r="K284" s="6">
        <f>(Indices!K288-Indices!K287)/Indices!K287</f>
        <v>-1.0163075143239872E-2</v>
      </c>
      <c r="L284" s="6">
        <f>(Indices!L288-Indices!L287)/Indices!L287</f>
        <v>-1.3225699901900652E-2</v>
      </c>
      <c r="M284" s="10">
        <f>WEEKNUM(Rend_j[[#This Row],[Date]])-1</f>
        <v>4</v>
      </c>
      <c r="N284" s="7" t="str">
        <f>TEXT(Rend_j[[#This Row],[Date]],"ddd")</f>
        <v>Fri</v>
      </c>
      <c r="O284" s="7">
        <f>MONTH(Rend_j[[#This Row],[Date]])</f>
        <v>1</v>
      </c>
      <c r="P284" s="7">
        <f>YEAR(Rend_j[[#This Row],[Date]])</f>
        <v>2022</v>
      </c>
      <c r="Q284" s="7" t="str">
        <f>Rend_j[[#This Row],[Week]]&amp;","&amp;Rend_j[[#This Row],[Year]]</f>
        <v>4,2022</v>
      </c>
      <c r="R284" s="7" t="str">
        <f>Rend_j[[#This Row],[Month]]&amp;","&amp;Rend_j[[#This Row],[Year]]</f>
        <v>1,2022</v>
      </c>
    </row>
    <row r="285" spans="1:18" x14ac:dyDescent="0.25">
      <c r="A285" s="1">
        <v>44592</v>
      </c>
      <c r="B285" s="6">
        <f>(Indices!B289-Indices!B288)/Indices!B288</f>
        <v>1.1008712482191426E-2</v>
      </c>
      <c r="C285" s="6">
        <f>(Indices!C289-Indices!C288)/Indices!C288</f>
        <v>1.3733415309392845E-2</v>
      </c>
      <c r="D285" s="6">
        <f>(Indices!D289-Indices!D288)/Indices!D288</f>
        <v>5.32130855611099E-3</v>
      </c>
      <c r="E285" s="6">
        <f>(Indices!E289-Indices!E288)/Indices!E288</f>
        <v>1.0327018267390294E-2</v>
      </c>
      <c r="F285" s="6">
        <f>(Indices!F289-Indices!F288)/Indices!F288</f>
        <v>5.0434884128188915E-3</v>
      </c>
      <c r="G285" s="6">
        <f>(Indices!G289-Indices!G288)/Indices!G288</f>
        <v>1.3337755910590336E-2</v>
      </c>
      <c r="H285" s="6">
        <f>(Indices!H289-Indices!H288)/Indices!H288</f>
        <v>-5.2313415484771591E-3</v>
      </c>
      <c r="I285" s="6">
        <f>(Indices!I289-Indices!I288)/Indices!I288</f>
        <v>2.1674405227994901E-2</v>
      </c>
      <c r="J285" s="6">
        <f>(Indices!J289-Indices!J288)/Indices!J288</f>
        <v>4.7833601152551973E-3</v>
      </c>
      <c r="K285" s="6">
        <f>(Indices!K289-Indices!K288)/Indices!K288</f>
        <v>7.1528666863589271E-3</v>
      </c>
      <c r="L285" s="6">
        <f>(Indices!L289-Indices!L288)/Indices!L288</f>
        <v>9.9386706015925294E-3</v>
      </c>
      <c r="M285" s="10">
        <f>WEEKNUM(Rend_j[[#This Row],[Date]])-1</f>
        <v>5</v>
      </c>
      <c r="N285" s="7" t="str">
        <f>TEXT(Rend_j[[#This Row],[Date]],"ddd")</f>
        <v>Mon</v>
      </c>
      <c r="O285" s="7">
        <f>MONTH(Rend_j[[#This Row],[Date]])</f>
        <v>1</v>
      </c>
      <c r="P285" s="7">
        <f>YEAR(Rend_j[[#This Row],[Date]])</f>
        <v>2022</v>
      </c>
      <c r="Q285" s="7" t="str">
        <f>Rend_j[[#This Row],[Week]]&amp;","&amp;Rend_j[[#This Row],[Year]]</f>
        <v>5,2022</v>
      </c>
      <c r="R285" s="7" t="str">
        <f>Rend_j[[#This Row],[Month]]&amp;","&amp;Rend_j[[#This Row],[Year]]</f>
        <v>1,2022</v>
      </c>
    </row>
    <row r="286" spans="1:18" x14ac:dyDescent="0.25">
      <c r="A286" s="1">
        <v>44593</v>
      </c>
      <c r="B286" s="6">
        <f>(Indices!B290-Indices!B289)/Indices!B289</f>
        <v>-2.227850980389327E-3</v>
      </c>
      <c r="C286" s="6">
        <f>(Indices!C290-Indices!C289)/Indices!C289</f>
        <v>5.5122518410059915E-3</v>
      </c>
      <c r="D286" s="6">
        <f>(Indices!D290-Indices!D289)/Indices!D289</f>
        <v>2.4776309978122744E-3</v>
      </c>
      <c r="E286" s="6">
        <f>(Indices!E290-Indices!E289)/Indices!E289</f>
        <v>1.2945136715289715E-3</v>
      </c>
      <c r="F286" s="6">
        <f>(Indices!F290-Indices!F289)/Indices!F289</f>
        <v>7.8409051308554658E-4</v>
      </c>
      <c r="G286" s="6">
        <f>(Indices!G290-Indices!G289)/Indices!G289</f>
        <v>5.0262953075787403E-3</v>
      </c>
      <c r="H286" s="6">
        <f>(Indices!H290-Indices!H289)/Indices!H289</f>
        <v>1.2134314985781712E-2</v>
      </c>
      <c r="I286" s="6">
        <f>(Indices!I290-Indices!I289)/Indices!I289</f>
        <v>7.8016127089230473E-3</v>
      </c>
      <c r="J286" s="6">
        <f>(Indices!J290-Indices!J289)/Indices!J289</f>
        <v>1.4328785604910037E-2</v>
      </c>
      <c r="K286" s="6">
        <f>(Indices!K290-Indices!K289)/Indices!K289</f>
        <v>1.2753753489658856E-2</v>
      </c>
      <c r="L286" s="6">
        <f>(Indices!L290-Indices!L289)/Indices!L289</f>
        <v>9.5784068517192258E-3</v>
      </c>
      <c r="M286" s="10">
        <f>WEEKNUM(Rend_j[[#This Row],[Date]])-1</f>
        <v>5</v>
      </c>
      <c r="N286" s="7" t="str">
        <f>TEXT(Rend_j[[#This Row],[Date]],"ddd")</f>
        <v>Tue</v>
      </c>
      <c r="O286" s="7">
        <f>MONTH(Rend_j[[#This Row],[Date]])</f>
        <v>2</v>
      </c>
      <c r="P286" s="7">
        <f>YEAR(Rend_j[[#This Row],[Date]])</f>
        <v>2022</v>
      </c>
      <c r="Q286" s="7" t="str">
        <f>Rend_j[[#This Row],[Week]]&amp;","&amp;Rend_j[[#This Row],[Year]]</f>
        <v>5,2022</v>
      </c>
      <c r="R286" s="7" t="str">
        <f>Rend_j[[#This Row],[Month]]&amp;","&amp;Rend_j[[#This Row],[Year]]</f>
        <v>2,2022</v>
      </c>
    </row>
    <row r="287" spans="1:18" x14ac:dyDescent="0.25">
      <c r="A287" s="1">
        <v>44594</v>
      </c>
      <c r="B287" s="6">
        <f>(Indices!B291-Indices!B290)/Indices!B290</f>
        <v>-6.0314049520354494E-3</v>
      </c>
      <c r="C287" s="6">
        <f>(Indices!C291-Indices!C290)/Indices!C290</f>
        <v>4.575499307607889E-3</v>
      </c>
      <c r="D287" s="6">
        <f>(Indices!D291-Indices!D290)/Indices!D290</f>
        <v>-3.8182823631752127E-3</v>
      </c>
      <c r="E287" s="6">
        <f>(Indices!E291-Indices!E290)/Indices!E290</f>
        <v>-4.8410726797884366E-3</v>
      </c>
      <c r="F287" s="6">
        <f>(Indices!F291-Indices!F290)/Indices!F290</f>
        <v>1.9575297866042927E-2</v>
      </c>
      <c r="G287" s="6">
        <f>(Indices!G291-Indices!G290)/Indices!G290</f>
        <v>3.4921255283422172E-3</v>
      </c>
      <c r="H287" s="6">
        <f>(Indices!H291-Indices!H290)/Indices!H290</f>
        <v>6.5524872510343245E-3</v>
      </c>
      <c r="I287" s="6">
        <f>(Indices!I291-Indices!I290)/Indices!I290</f>
        <v>6.4333798382318376E-3</v>
      </c>
      <c r="J287" s="6">
        <f>(Indices!J291-Indices!J290)/Indices!J290</f>
        <v>2.2226646533619358E-3</v>
      </c>
      <c r="K287" s="6">
        <f>(Indices!K291-Indices!K290)/Indices!K290</f>
        <v>4.5277030449302393E-3</v>
      </c>
      <c r="L287" s="6">
        <f>(Indices!L291-Indices!L290)/Indices!L290</f>
        <v>-3.5981687671128609E-4</v>
      </c>
      <c r="M287" s="10">
        <f>WEEKNUM(Rend_j[[#This Row],[Date]])-1</f>
        <v>5</v>
      </c>
      <c r="N287" s="7" t="str">
        <f>TEXT(Rend_j[[#This Row],[Date]],"ddd")</f>
        <v>Wed</v>
      </c>
      <c r="O287" s="7">
        <f>MONTH(Rend_j[[#This Row],[Date]])</f>
        <v>2</v>
      </c>
      <c r="P287" s="7">
        <f>YEAR(Rend_j[[#This Row],[Date]])</f>
        <v>2022</v>
      </c>
      <c r="Q287" s="7" t="str">
        <f>Rend_j[[#This Row],[Week]]&amp;","&amp;Rend_j[[#This Row],[Year]]</f>
        <v>5,2022</v>
      </c>
      <c r="R287" s="7" t="str">
        <f>Rend_j[[#This Row],[Month]]&amp;","&amp;Rend_j[[#This Row],[Year]]</f>
        <v>2,2022</v>
      </c>
    </row>
    <row r="288" spans="1:18" x14ac:dyDescent="0.25">
      <c r="A288" s="1">
        <v>44595</v>
      </c>
      <c r="B288" s="6">
        <f>(Indices!B292-Indices!B291)/Indices!B291</f>
        <v>-1.2510157749715256E-2</v>
      </c>
      <c r="C288" s="6">
        <f>(Indices!C292-Indices!C291)/Indices!C291</f>
        <v>-3.0084911358226513E-2</v>
      </c>
      <c r="D288" s="6">
        <f>(Indices!D292-Indices!D291)/Indices!D291</f>
        <v>-1.2683049320775181E-2</v>
      </c>
      <c r="E288" s="6">
        <f>(Indices!E292-Indices!E291)/Indices!E291</f>
        <v>-1.3010257905604509E-2</v>
      </c>
      <c r="F288" s="6">
        <f>(Indices!F292-Indices!F291)/Indices!F291</f>
        <v>-2.3747452784007451E-2</v>
      </c>
      <c r="G288" s="6">
        <f>(Indices!G292-Indices!G291)/Indices!G291</f>
        <v>-2.8139097947717455E-2</v>
      </c>
      <c r="H288" s="6">
        <f>(Indices!H292-Indices!H291)/Indices!H291</f>
        <v>-1.3430709963579366E-2</v>
      </c>
      <c r="I288" s="6">
        <f>(Indices!I292-Indices!I291)/Indices!I291</f>
        <v>-2.4558221540627097E-2</v>
      </c>
      <c r="J288" s="6">
        <f>(Indices!J292-Indices!J291)/Indices!J291</f>
        <v>-1.5409132287575549E-2</v>
      </c>
      <c r="K288" s="6">
        <f>(Indices!K292-Indices!K291)/Indices!K291</f>
        <v>-1.7567775988600407E-2</v>
      </c>
      <c r="L288" s="6">
        <f>(Indices!L292-Indices!L291)/Indices!L291</f>
        <v>-1.5710479108115724E-2</v>
      </c>
      <c r="M288" s="10">
        <f>WEEKNUM(Rend_j[[#This Row],[Date]])-1</f>
        <v>5</v>
      </c>
      <c r="N288" s="7" t="str">
        <f>TEXT(Rend_j[[#This Row],[Date]],"ddd")</f>
        <v>Thu</v>
      </c>
      <c r="O288" s="7">
        <f>MONTH(Rend_j[[#This Row],[Date]])</f>
        <v>2</v>
      </c>
      <c r="P288" s="7">
        <f>YEAR(Rend_j[[#This Row],[Date]])</f>
        <v>2022</v>
      </c>
      <c r="Q288" s="7" t="str">
        <f>Rend_j[[#This Row],[Week]]&amp;","&amp;Rend_j[[#This Row],[Year]]</f>
        <v>5,2022</v>
      </c>
      <c r="R288" s="7" t="str">
        <f>Rend_j[[#This Row],[Month]]&amp;","&amp;Rend_j[[#This Row],[Year]]</f>
        <v>2,2022</v>
      </c>
    </row>
    <row r="289" spans="1:18" x14ac:dyDescent="0.25">
      <c r="A289" s="1">
        <v>44596</v>
      </c>
      <c r="B289" s="6">
        <f>(Indices!B293-Indices!B292)/Indices!B292</f>
        <v>1.2070161021084198E-2</v>
      </c>
      <c r="C289" s="6">
        <f>(Indices!C293-Indices!C292)/Indices!C292</f>
        <v>6.9962857414954496E-4</v>
      </c>
      <c r="D289" s="6">
        <f>(Indices!D293-Indices!D292)/Indices!D292</f>
        <v>-2.5933424683760863E-4</v>
      </c>
      <c r="E289" s="6">
        <f>(Indices!E293-Indices!E292)/Indices!E292</f>
        <v>6.6989645307962307E-3</v>
      </c>
      <c r="F289" s="6">
        <f>(Indices!F293-Indices!F292)/Indices!F292</f>
        <v>-8.2210949798840378E-4</v>
      </c>
      <c r="G289" s="6">
        <f>(Indices!G293-Indices!G292)/Indices!G292</f>
        <v>1.3951866062087035E-3</v>
      </c>
      <c r="H289" s="6">
        <f>(Indices!H293-Indices!H292)/Indices!H292</f>
        <v>-9.3114741391004258E-3</v>
      </c>
      <c r="I289" s="6">
        <f>(Indices!I293-Indices!I292)/Indices!I292</f>
        <v>6.6176229400356952E-3</v>
      </c>
      <c r="J289" s="6">
        <f>(Indices!J293-Indices!J292)/Indices!J292</f>
        <v>-7.7437719242982169E-3</v>
      </c>
      <c r="K289" s="6">
        <f>(Indices!K293-Indices!K292)/Indices!K292</f>
        <v>-1.3827563175345527E-2</v>
      </c>
      <c r="L289" s="6">
        <f>(Indices!L293-Indices!L292)/Indices!L292</f>
        <v>-1.7497523483100959E-2</v>
      </c>
      <c r="M289" s="10">
        <f>WEEKNUM(Rend_j[[#This Row],[Date]])-1</f>
        <v>5</v>
      </c>
      <c r="N289" s="7" t="str">
        <f>TEXT(Rend_j[[#This Row],[Date]],"ddd")</f>
        <v>Fri</v>
      </c>
      <c r="O289" s="7">
        <f>MONTH(Rend_j[[#This Row],[Date]])</f>
        <v>2</v>
      </c>
      <c r="P289" s="7">
        <f>YEAR(Rend_j[[#This Row],[Date]])</f>
        <v>2022</v>
      </c>
      <c r="Q289" s="7" t="str">
        <f>Rend_j[[#This Row],[Week]]&amp;","&amp;Rend_j[[#This Row],[Year]]</f>
        <v>5,2022</v>
      </c>
      <c r="R289" s="7" t="str">
        <f>Rend_j[[#This Row],[Month]]&amp;","&amp;Rend_j[[#This Row],[Year]]</f>
        <v>2,2022</v>
      </c>
    </row>
    <row r="290" spans="1:18" x14ac:dyDescent="0.25">
      <c r="A290" s="1">
        <v>44599</v>
      </c>
      <c r="B290" s="6">
        <f>(Indices!B294-Indices!B293)/Indices!B293</f>
        <v>5.0845444338654426E-3</v>
      </c>
      <c r="C290" s="6">
        <f>(Indices!C294-Indices!C293)/Indices!C293</f>
        <v>-8.7849981514903056E-4</v>
      </c>
      <c r="D290" s="6">
        <f>(Indices!D294-Indices!D293)/Indices!D293</f>
        <v>-1.2834301027244116E-3</v>
      </c>
      <c r="E290" s="6">
        <f>(Indices!E294-Indices!E293)/Indices!E293</f>
        <v>-1.6677721522611847E-3</v>
      </c>
      <c r="F290" s="6">
        <f>(Indices!F294-Indices!F293)/Indices!F293</f>
        <v>-4.4348744522050901E-4</v>
      </c>
      <c r="G290" s="6">
        <f>(Indices!G294-Indices!G293)/Indices!G293</f>
        <v>-9.7082342130031213E-4</v>
      </c>
      <c r="H290" s="6">
        <f>(Indices!H294-Indices!H293)/Indices!H293</f>
        <v>7.5113697491319929E-3</v>
      </c>
      <c r="I290" s="6">
        <f>(Indices!I294-Indices!I293)/Indices!I293</f>
        <v>-2.6995160153718079E-3</v>
      </c>
      <c r="J290" s="6">
        <f>(Indices!J294-Indices!J293)/Indices!J293</f>
        <v>8.3249826615755963E-3</v>
      </c>
      <c r="K290" s="6">
        <f>(Indices!K294-Indices!K293)/Indices!K293</f>
        <v>6.772703755568983E-3</v>
      </c>
      <c r="L290" s="6">
        <f>(Indices!L294-Indices!L293)/Indices!L293</f>
        <v>7.0916028711690247E-3</v>
      </c>
      <c r="M290" s="10">
        <f>WEEKNUM(Rend_j[[#This Row],[Date]])-1</f>
        <v>6</v>
      </c>
      <c r="N290" s="7" t="str">
        <f>TEXT(Rend_j[[#This Row],[Date]],"ddd")</f>
        <v>Mon</v>
      </c>
      <c r="O290" s="7">
        <f>MONTH(Rend_j[[#This Row],[Date]])</f>
        <v>2</v>
      </c>
      <c r="P290" s="7">
        <f>YEAR(Rend_j[[#This Row],[Date]])</f>
        <v>2022</v>
      </c>
      <c r="Q290" s="7" t="str">
        <f>Rend_j[[#This Row],[Week]]&amp;","&amp;Rend_j[[#This Row],[Year]]</f>
        <v>6,2022</v>
      </c>
      <c r="R290" s="7" t="str">
        <f>Rend_j[[#This Row],[Month]]&amp;","&amp;Rend_j[[#This Row],[Year]]</f>
        <v>2,2022</v>
      </c>
    </row>
    <row r="291" spans="1:18" x14ac:dyDescent="0.25">
      <c r="A291" s="1">
        <v>44600</v>
      </c>
      <c r="B291" s="6">
        <f>(Indices!B295-Indices!B294)/Indices!B294</f>
        <v>-5.8692733787601044E-3</v>
      </c>
      <c r="C291" s="6">
        <f>(Indices!C295-Indices!C294)/Indices!C294</f>
        <v>8.0306866017226686E-3</v>
      </c>
      <c r="D291" s="6">
        <f>(Indices!D295-Indices!D294)/Indices!D294</f>
        <v>7.2694757624912482E-3</v>
      </c>
      <c r="E291" s="6">
        <f>(Indices!E295-Indices!E294)/Indices!E294</f>
        <v>2.6241387304235505E-3</v>
      </c>
      <c r="F291" s="6">
        <f>(Indices!F295-Indices!F294)/Indices!F294</f>
        <v>7.9979917451384729E-4</v>
      </c>
      <c r="G291" s="6">
        <f>(Indices!G295-Indices!G294)/Indices!G294</f>
        <v>7.4032313101790002E-3</v>
      </c>
      <c r="H291" s="6">
        <f>(Indices!H295-Indices!H294)/Indices!H294</f>
        <v>2.7666411035500043E-3</v>
      </c>
      <c r="I291" s="6">
        <f>(Indices!I295-Indices!I294)/Indices!I294</f>
        <v>9.3866913596323525E-3</v>
      </c>
      <c r="J291" s="6">
        <f>(Indices!J295-Indices!J294)/Indices!J294</f>
        <v>2.7335529478902756E-3</v>
      </c>
      <c r="K291" s="6">
        <f>(Indices!K295-Indices!K294)/Indices!K294</f>
        <v>1.2894816052475501E-4</v>
      </c>
      <c r="L291" s="6">
        <f>(Indices!L295-Indices!L294)/Indices!L294</f>
        <v>2.3503042633091688E-3</v>
      </c>
      <c r="M291" s="10">
        <f>WEEKNUM(Rend_j[[#This Row],[Date]])-1</f>
        <v>6</v>
      </c>
      <c r="N291" s="7" t="str">
        <f>TEXT(Rend_j[[#This Row],[Date]],"ddd")</f>
        <v>Tue</v>
      </c>
      <c r="O291" s="7">
        <f>MONTH(Rend_j[[#This Row],[Date]])</f>
        <v>2</v>
      </c>
      <c r="P291" s="7">
        <f>YEAR(Rend_j[[#This Row],[Date]])</f>
        <v>2022</v>
      </c>
      <c r="Q291" s="7" t="str">
        <f>Rend_j[[#This Row],[Week]]&amp;","&amp;Rend_j[[#This Row],[Year]]</f>
        <v>6,2022</v>
      </c>
      <c r="R291" s="7" t="str">
        <f>Rend_j[[#This Row],[Month]]&amp;","&amp;Rend_j[[#This Row],[Year]]</f>
        <v>2,2022</v>
      </c>
    </row>
    <row r="292" spans="1:18" x14ac:dyDescent="0.25">
      <c r="A292" s="1">
        <v>44601</v>
      </c>
      <c r="B292" s="6">
        <f>(Indices!B296-Indices!B295)/Indices!B295</f>
        <v>1.994364384914879E-2</v>
      </c>
      <c r="C292" s="6">
        <f>(Indices!C296-Indices!C295)/Indices!C295</f>
        <v>1.4777662686946996E-2</v>
      </c>
      <c r="D292" s="6">
        <f>(Indices!D296-Indices!D295)/Indices!D295</f>
        <v>1.0726659493618009E-2</v>
      </c>
      <c r="E292" s="6">
        <f>(Indices!E296-Indices!E295)/Indices!E295</f>
        <v>1.5627346426042993E-2</v>
      </c>
      <c r="F292" s="6">
        <f>(Indices!F296-Indices!F295)/Indices!F295</f>
        <v>9.8115849034590679E-3</v>
      </c>
      <c r="G292" s="6">
        <f>(Indices!G296-Indices!G295)/Indices!G295</f>
        <v>1.4874377779741467E-2</v>
      </c>
      <c r="H292" s="6">
        <f>(Indices!H296-Indices!H295)/Indices!H295</f>
        <v>8.0059633293964854E-3</v>
      </c>
      <c r="I292" s="6">
        <f>(Indices!I296-Indices!I295)/Indices!I295</f>
        <v>1.5863862273778048E-2</v>
      </c>
      <c r="J292" s="6">
        <f>(Indices!J296-Indices!J295)/Indices!J295</f>
        <v>1.4579360726767422E-2</v>
      </c>
      <c r="K292" s="6">
        <f>(Indices!K296-Indices!K295)/Indices!K295</f>
        <v>1.7170221920920013E-2</v>
      </c>
      <c r="L292" s="6">
        <f>(Indices!L296-Indices!L295)/Indices!L295</f>
        <v>1.5721291024535216E-2</v>
      </c>
      <c r="M292" s="10">
        <f>WEEKNUM(Rend_j[[#This Row],[Date]])-1</f>
        <v>6</v>
      </c>
      <c r="N292" s="7" t="str">
        <f>TEXT(Rend_j[[#This Row],[Date]],"ddd")</f>
        <v>Wed</v>
      </c>
      <c r="O292" s="7">
        <f>MONTH(Rend_j[[#This Row],[Date]])</f>
        <v>2</v>
      </c>
      <c r="P292" s="7">
        <f>YEAR(Rend_j[[#This Row],[Date]])</f>
        <v>2022</v>
      </c>
      <c r="Q292" s="7" t="str">
        <f>Rend_j[[#This Row],[Week]]&amp;","&amp;Rend_j[[#This Row],[Year]]</f>
        <v>6,2022</v>
      </c>
      <c r="R292" s="7" t="str">
        <f>Rend_j[[#This Row],[Month]]&amp;","&amp;Rend_j[[#This Row],[Year]]</f>
        <v>2,2022</v>
      </c>
    </row>
    <row r="293" spans="1:18" x14ac:dyDescent="0.25">
      <c r="A293" s="1">
        <v>44602</v>
      </c>
      <c r="B293" s="6">
        <f>(Indices!B297-Indices!B296)/Indices!B296</f>
        <v>4.2761366674928282E-4</v>
      </c>
      <c r="C293" s="6">
        <f>(Indices!C297-Indices!C296)/Indices!C296</f>
        <v>-1.5185648129908955E-2</v>
      </c>
      <c r="D293" s="6">
        <f>(Indices!D297-Indices!D296)/Indices!D296</f>
        <v>6.1998113162018429E-3</v>
      </c>
      <c r="E293" s="6">
        <f>(Indices!E297-Indices!E296)/Indices!E296</f>
        <v>5.6844185440660389E-3</v>
      </c>
      <c r="F293" s="6">
        <f>(Indices!F297-Indices!F296)/Indices!F296</f>
        <v>-2.3453024631452813E-3</v>
      </c>
      <c r="G293" s="6">
        <f>(Indices!G297-Indices!G296)/Indices!G296</f>
        <v>-1.2766281634548429E-2</v>
      </c>
      <c r="H293" s="6">
        <f>(Indices!H297-Indices!H296)/Indices!H296</f>
        <v>5.7815126050420537E-3</v>
      </c>
      <c r="I293" s="6">
        <f>(Indices!I297-Indices!I296)/Indices!I296</f>
        <v>-1.7475466537940344E-2</v>
      </c>
      <c r="J293" s="6">
        <f>(Indices!J297-Indices!J296)/Indices!J296</f>
        <v>-4.1131078466098963E-3</v>
      </c>
      <c r="K293" s="6">
        <f>(Indices!K297-Indices!K296)/Indices!K296</f>
        <v>-2.0703970314900188E-3</v>
      </c>
      <c r="L293" s="6">
        <f>(Indices!L297-Indices!L296)/Indices!L296</f>
        <v>5.4454558066074573E-4</v>
      </c>
      <c r="M293" s="10">
        <f>WEEKNUM(Rend_j[[#This Row],[Date]])-1</f>
        <v>6</v>
      </c>
      <c r="N293" s="7" t="str">
        <f>TEXT(Rend_j[[#This Row],[Date]],"ddd")</f>
        <v>Thu</v>
      </c>
      <c r="O293" s="7">
        <f>MONTH(Rend_j[[#This Row],[Date]])</f>
        <v>2</v>
      </c>
      <c r="P293" s="7">
        <f>YEAR(Rend_j[[#This Row],[Date]])</f>
        <v>2022</v>
      </c>
      <c r="Q293" s="7" t="str">
        <f>Rend_j[[#This Row],[Week]]&amp;","&amp;Rend_j[[#This Row],[Year]]</f>
        <v>6,2022</v>
      </c>
      <c r="R293" s="7" t="str">
        <f>Rend_j[[#This Row],[Month]]&amp;","&amp;Rend_j[[#This Row],[Year]]</f>
        <v>2,2022</v>
      </c>
    </row>
    <row r="294" spans="1:18" x14ac:dyDescent="0.25">
      <c r="A294" s="1">
        <v>44603</v>
      </c>
      <c r="B294" s="6">
        <f>(Indices!B298-Indices!B297)/Indices!B297</f>
        <v>-3.7527350166535718E-3</v>
      </c>
      <c r="C294" s="6">
        <f>(Indices!C298-Indices!C297)/Indices!C297</f>
        <v>-1.028108418705972E-2</v>
      </c>
      <c r="D294" s="6">
        <f>(Indices!D298-Indices!D297)/Indices!D297</f>
        <v>-2.6009428213999938E-3</v>
      </c>
      <c r="E294" s="6">
        <f>(Indices!E298-Indices!E297)/Indices!E297</f>
        <v>-2.8961561170505468E-3</v>
      </c>
      <c r="F294" s="6">
        <f>(Indices!F298-Indices!F297)/Indices!F297</f>
        <v>6.259191921531489E-3</v>
      </c>
      <c r="G294" s="6">
        <f>(Indices!G298-Indices!G297)/Indices!G297</f>
        <v>-9.4109778818135346E-3</v>
      </c>
      <c r="H294" s="6">
        <f>(Indices!H298-Indices!H297)/Indices!H297</f>
        <v>3.4088630439141703E-3</v>
      </c>
      <c r="I294" s="6">
        <f>(Indices!I298-Indices!I297)/Indices!I297</f>
        <v>-1.8730967660595069E-2</v>
      </c>
      <c r="J294" s="6">
        <f>(Indices!J298-Indices!J297)/Indices!J297</f>
        <v>-1.2666208006690135E-2</v>
      </c>
      <c r="K294" s="6">
        <f>(Indices!K298-Indices!K297)/Indices!K297</f>
        <v>-5.8854640937593891E-3</v>
      </c>
      <c r="L294" s="6">
        <f>(Indices!L298-Indices!L297)/Indices!L297</f>
        <v>-4.2168142536151872E-3</v>
      </c>
      <c r="M294" s="10">
        <f>WEEKNUM(Rend_j[[#This Row],[Date]])-1</f>
        <v>6</v>
      </c>
      <c r="N294" s="7" t="str">
        <f>TEXT(Rend_j[[#This Row],[Date]],"ddd")</f>
        <v>Fri</v>
      </c>
      <c r="O294" s="7">
        <f>MONTH(Rend_j[[#This Row],[Date]])</f>
        <v>2</v>
      </c>
      <c r="P294" s="7">
        <f>YEAR(Rend_j[[#This Row],[Date]])</f>
        <v>2022</v>
      </c>
      <c r="Q294" s="7" t="str">
        <f>Rend_j[[#This Row],[Week]]&amp;","&amp;Rend_j[[#This Row],[Year]]</f>
        <v>6,2022</v>
      </c>
      <c r="R294" s="7" t="str">
        <f>Rend_j[[#This Row],[Month]]&amp;","&amp;Rend_j[[#This Row],[Year]]</f>
        <v>2,2022</v>
      </c>
    </row>
    <row r="295" spans="1:18" x14ac:dyDescent="0.25">
      <c r="A295" s="1">
        <v>44606</v>
      </c>
      <c r="B295" s="6">
        <f>(Indices!B299-Indices!B298)/Indices!B298</f>
        <v>-5.3896235084037597E-3</v>
      </c>
      <c r="C295" s="6">
        <f>(Indices!C299-Indices!C298)/Indices!C298</f>
        <v>-7.9737197954018655E-4</v>
      </c>
      <c r="D295" s="6">
        <f>(Indices!D299-Indices!D298)/Indices!D298</f>
        <v>-7.4909951655185783E-3</v>
      </c>
      <c r="E295" s="6">
        <f>(Indices!E299-Indices!E298)/Indices!E298</f>
        <v>-7.9296350214623883E-3</v>
      </c>
      <c r="F295" s="6">
        <f>(Indices!F299-Indices!F298)/Indices!F298</f>
        <v>-7.1984670890227961E-3</v>
      </c>
      <c r="G295" s="6">
        <f>(Indices!G299-Indices!G298)/Indices!G298</f>
        <v>-1.6433701329534056E-3</v>
      </c>
      <c r="H295" s="6">
        <f>(Indices!H299-Indices!H298)/Indices!H298</f>
        <v>-1.5216398309923525E-2</v>
      </c>
      <c r="I295" s="6">
        <f>(Indices!I299-Indices!I298)/Indices!I298</f>
        <v>-3.8763598108533678E-3</v>
      </c>
      <c r="J295" s="6">
        <f>(Indices!J299-Indices!J298)/Indices!J298</f>
        <v>-2.2733741338937317E-2</v>
      </c>
      <c r="K295" s="6">
        <f>(Indices!K299-Indices!K298)/Indices!K298</f>
        <v>-1.8335958156714158E-2</v>
      </c>
      <c r="L295" s="6">
        <f>(Indices!L299-Indices!L298)/Indices!L298</f>
        <v>-2.0171667227185192E-2</v>
      </c>
      <c r="M295" s="10">
        <f>WEEKNUM(Rend_j[[#This Row],[Date]])-1</f>
        <v>7</v>
      </c>
      <c r="N295" s="7" t="str">
        <f>TEXT(Rend_j[[#This Row],[Date]],"ddd")</f>
        <v>Mon</v>
      </c>
      <c r="O295" s="7">
        <f>MONTH(Rend_j[[#This Row],[Date]])</f>
        <v>2</v>
      </c>
      <c r="P295" s="7">
        <f>YEAR(Rend_j[[#This Row],[Date]])</f>
        <v>2022</v>
      </c>
      <c r="Q295" s="7" t="str">
        <f>Rend_j[[#This Row],[Week]]&amp;","&amp;Rend_j[[#This Row],[Year]]</f>
        <v>7,2022</v>
      </c>
      <c r="R295" s="7" t="str">
        <f>Rend_j[[#This Row],[Month]]&amp;","&amp;Rend_j[[#This Row],[Year]]</f>
        <v>2,2022</v>
      </c>
    </row>
    <row r="296" spans="1:18" x14ac:dyDescent="0.25">
      <c r="A296" s="1">
        <v>44607</v>
      </c>
      <c r="B296" s="6">
        <f>(Indices!B300-Indices!B299)/Indices!B299</f>
        <v>3.6467706895447209E-3</v>
      </c>
      <c r="C296" s="6">
        <f>(Indices!C300-Indices!C299)/Indices!C299</f>
        <v>9.9254579354016159E-3</v>
      </c>
      <c r="D296" s="6">
        <f>(Indices!D300-Indices!D299)/Indices!D299</f>
        <v>4.5113507004223199E-3</v>
      </c>
      <c r="E296" s="6">
        <f>(Indices!E300-Indices!E299)/Indices!E299</f>
        <v>2.8169014084507438E-3</v>
      </c>
      <c r="F296" s="6">
        <f>(Indices!F300-Indices!F299)/Indices!F299</f>
        <v>-1.5324338109148267E-2</v>
      </c>
      <c r="G296" s="6">
        <f>(Indices!G300-Indices!G299)/Indices!G299</f>
        <v>9.0849976776590548E-3</v>
      </c>
      <c r="H296" s="6">
        <f>(Indices!H300-Indices!H299)/Indices!H299</f>
        <v>6.271440305358273E-3</v>
      </c>
      <c r="I296" s="6">
        <f>(Indices!I300-Indices!I299)/Indices!I299</f>
        <v>1.7677735822379675E-2</v>
      </c>
      <c r="J296" s="6">
        <f>(Indices!J300-Indices!J299)/Indices!J299</f>
        <v>1.8646568454499149E-2</v>
      </c>
      <c r="K296" s="6">
        <f>(Indices!K300-Indices!K299)/Indices!K299</f>
        <v>1.4317960623181298E-2</v>
      </c>
      <c r="L296" s="6">
        <f>(Indices!L300-Indices!L299)/Indices!L299</f>
        <v>1.9765834875732507E-2</v>
      </c>
      <c r="M296" s="10">
        <f>WEEKNUM(Rend_j[[#This Row],[Date]])-1</f>
        <v>7</v>
      </c>
      <c r="N296" s="7" t="str">
        <f>TEXT(Rend_j[[#This Row],[Date]],"ddd")</f>
        <v>Tue</v>
      </c>
      <c r="O296" s="7">
        <f>MONTH(Rend_j[[#This Row],[Date]])</f>
        <v>2</v>
      </c>
      <c r="P296" s="7">
        <f>YEAR(Rend_j[[#This Row],[Date]])</f>
        <v>2022</v>
      </c>
      <c r="Q296" s="7" t="str">
        <f>Rend_j[[#This Row],[Week]]&amp;","&amp;Rend_j[[#This Row],[Year]]</f>
        <v>7,2022</v>
      </c>
      <c r="R296" s="7" t="str">
        <f>Rend_j[[#This Row],[Month]]&amp;","&amp;Rend_j[[#This Row],[Year]]</f>
        <v>2,2022</v>
      </c>
    </row>
    <row r="297" spans="1:18" x14ac:dyDescent="0.25">
      <c r="A297" s="1">
        <v>44608</v>
      </c>
      <c r="B297" s="6">
        <f>(Indices!B301-Indices!B300)/Indices!B300</f>
        <v>9.0442659803430456E-3</v>
      </c>
      <c r="C297" s="6">
        <f>(Indices!C301-Indices!C300)/Indices!C300</f>
        <v>1.2708192232346771E-3</v>
      </c>
      <c r="D297" s="6">
        <f>(Indices!D301-Indices!D300)/Indices!D300</f>
        <v>1.1401809594743571E-2</v>
      </c>
      <c r="E297" s="6">
        <f>(Indices!E301-Indices!E300)/Indices!E300</f>
        <v>1.1605311200195718E-2</v>
      </c>
      <c r="F297" s="6">
        <f>(Indices!F301-Indices!F300)/Indices!F300</f>
        <v>1.9559484849198359E-2</v>
      </c>
      <c r="G297" s="6">
        <f>(Indices!G301-Indices!G300)/Indices!G300</f>
        <v>2.485547004455615E-3</v>
      </c>
      <c r="H297" s="6">
        <f>(Indices!H301-Indices!H300)/Indices!H300</f>
        <v>3.0249486238884296E-3</v>
      </c>
      <c r="I297" s="6">
        <f>(Indices!I301-Indices!I300)/Indices!I300</f>
        <v>4.3502416525672888E-4</v>
      </c>
      <c r="J297" s="6">
        <f>(Indices!J301-Indices!J300)/Indices!J300</f>
        <v>-2.147607301788495E-3</v>
      </c>
      <c r="K297" s="6">
        <f>(Indices!K301-Indices!K300)/Indices!K300</f>
        <v>4.4912097035299041E-4</v>
      </c>
      <c r="L297" s="6">
        <f>(Indices!L301-Indices!L300)/Indices!L300</f>
        <v>-1.0796057308017353E-3</v>
      </c>
      <c r="M297" s="10">
        <f>WEEKNUM(Rend_j[[#This Row],[Date]])-1</f>
        <v>7</v>
      </c>
      <c r="N297" s="7" t="str">
        <f>TEXT(Rend_j[[#This Row],[Date]],"ddd")</f>
        <v>Wed</v>
      </c>
      <c r="O297" s="7">
        <f>MONTH(Rend_j[[#This Row],[Date]])</f>
        <v>2</v>
      </c>
      <c r="P297" s="7">
        <f>YEAR(Rend_j[[#This Row],[Date]])</f>
        <v>2022</v>
      </c>
      <c r="Q297" s="7" t="str">
        <f>Rend_j[[#This Row],[Week]]&amp;","&amp;Rend_j[[#This Row],[Year]]</f>
        <v>7,2022</v>
      </c>
      <c r="R297" s="7" t="str">
        <f>Rend_j[[#This Row],[Month]]&amp;","&amp;Rend_j[[#This Row],[Year]]</f>
        <v>2,2022</v>
      </c>
    </row>
    <row r="298" spans="1:18" x14ac:dyDescent="0.25">
      <c r="A298" s="1">
        <v>44609</v>
      </c>
      <c r="B298" s="6">
        <f>(Indices!B302-Indices!B301)/Indices!B301</f>
        <v>2.8716317007435664E-3</v>
      </c>
      <c r="C298" s="6">
        <f>(Indices!C302-Indices!C301)/Indices!C301</f>
        <v>-1.7077916174197749E-2</v>
      </c>
      <c r="D298" s="6">
        <f>(Indices!D302-Indices!D301)/Indices!D301</f>
        <v>-3.3456824791755612E-3</v>
      </c>
      <c r="E298" s="6">
        <f>(Indices!E302-Indices!E301)/Indices!E301</f>
        <v>-1.3721025960646976E-3</v>
      </c>
      <c r="F298" s="6">
        <f>(Indices!F302-Indices!F301)/Indices!F301</f>
        <v>-4.2432814710043221E-3</v>
      </c>
      <c r="G298" s="6">
        <f>(Indices!G302-Indices!G301)/Indices!G301</f>
        <v>-1.5217910338114673E-2</v>
      </c>
      <c r="H298" s="6">
        <f>(Indices!H302-Indices!H301)/Indices!H301</f>
        <v>-5.8401708010607997E-3</v>
      </c>
      <c r="I298" s="6">
        <f>(Indices!I302-Indices!I301)/Indices!I301</f>
        <v>-2.2428415179711517E-2</v>
      </c>
      <c r="J298" s="6">
        <f>(Indices!J302-Indices!J301)/Indices!J301</f>
        <v>-2.6073522181179211E-3</v>
      </c>
      <c r="K298" s="6">
        <f>(Indices!K302-Indices!K301)/Indices!K301</f>
        <v>-6.883727207219411E-3</v>
      </c>
      <c r="L298" s="6">
        <f>(Indices!L302-Indices!L301)/Indices!L301</f>
        <v>-8.3424164357429956E-3</v>
      </c>
      <c r="M298" s="10">
        <f>WEEKNUM(Rend_j[[#This Row],[Date]])-1</f>
        <v>7</v>
      </c>
      <c r="N298" s="7" t="str">
        <f>TEXT(Rend_j[[#This Row],[Date]],"ddd")</f>
        <v>Thu</v>
      </c>
      <c r="O298" s="7">
        <f>MONTH(Rend_j[[#This Row],[Date]])</f>
        <v>2</v>
      </c>
      <c r="P298" s="7">
        <f>YEAR(Rend_j[[#This Row],[Date]])</f>
        <v>2022</v>
      </c>
      <c r="Q298" s="7" t="str">
        <f>Rend_j[[#This Row],[Week]]&amp;","&amp;Rend_j[[#This Row],[Year]]</f>
        <v>7,2022</v>
      </c>
      <c r="R298" s="7" t="str">
        <f>Rend_j[[#This Row],[Month]]&amp;","&amp;Rend_j[[#This Row],[Year]]</f>
        <v>2,2022</v>
      </c>
    </row>
    <row r="299" spans="1:18" x14ac:dyDescent="0.25">
      <c r="A299" s="1">
        <v>44610</v>
      </c>
      <c r="B299" s="6">
        <f>(Indices!B303-Indices!B302)/Indices!B302</f>
        <v>-5.7468895506896179E-3</v>
      </c>
      <c r="C299" s="6">
        <f>(Indices!C303-Indices!C302)/Indices!C302</f>
        <v>-6.1122025758567509E-3</v>
      </c>
      <c r="D299" s="6">
        <f>(Indices!D303-Indices!D302)/Indices!D302</f>
        <v>-2.3968995237095181E-3</v>
      </c>
      <c r="E299" s="6">
        <f>(Indices!E303-Indices!E302)/Indices!E302</f>
        <v>-6.6091144298997583E-3</v>
      </c>
      <c r="F299" s="6">
        <f>(Indices!F303-Indices!F302)/Indices!F302</f>
        <v>-2.7307513914656984E-3</v>
      </c>
      <c r="G299" s="6">
        <f>(Indices!G303-Indices!G302)/Indices!G302</f>
        <v>-6.1730236999349986E-3</v>
      </c>
      <c r="H299" s="6">
        <f>(Indices!H303-Indices!H302)/Indices!H302</f>
        <v>-2.3112703319561521E-3</v>
      </c>
      <c r="I299" s="6">
        <f>(Indices!I303-Indices!I302)/Indices!I302</f>
        <v>-8.0299292761806217E-3</v>
      </c>
      <c r="J299" s="6">
        <f>(Indices!J303-Indices!J302)/Indices!J302</f>
        <v>-2.4745050880134278E-3</v>
      </c>
      <c r="K299" s="6">
        <f>(Indices!K303-Indices!K302)/Indices!K302</f>
        <v>-8.050780533009028E-3</v>
      </c>
      <c r="L299" s="6">
        <f>(Indices!L303-Indices!L302)/Indices!L302</f>
        <v>-1.4744928438100166E-2</v>
      </c>
      <c r="M299" s="10">
        <f>WEEKNUM(Rend_j[[#This Row],[Date]])-1</f>
        <v>7</v>
      </c>
      <c r="N299" s="7" t="str">
        <f>TEXT(Rend_j[[#This Row],[Date]],"ddd")</f>
        <v>Fri</v>
      </c>
      <c r="O299" s="7">
        <f>MONTH(Rend_j[[#This Row],[Date]])</f>
        <v>2</v>
      </c>
      <c r="P299" s="7">
        <f>YEAR(Rend_j[[#This Row],[Date]])</f>
        <v>2022</v>
      </c>
      <c r="Q299" s="7" t="str">
        <f>Rend_j[[#This Row],[Week]]&amp;","&amp;Rend_j[[#This Row],[Year]]</f>
        <v>7,2022</v>
      </c>
      <c r="R299" s="7" t="str">
        <f>Rend_j[[#This Row],[Month]]&amp;","&amp;Rend_j[[#This Row],[Year]]</f>
        <v>2,2022</v>
      </c>
    </row>
    <row r="300" spans="1:18" x14ac:dyDescent="0.25">
      <c r="A300" s="1">
        <v>44613</v>
      </c>
      <c r="B300" s="6">
        <f>(Indices!B304-Indices!B303)/Indices!B303</f>
        <v>-9.5162323535316323E-3</v>
      </c>
      <c r="C300" s="6">
        <f>(Indices!C304-Indices!C303)/Indices!C303</f>
        <v>-2.0921203006399646E-3</v>
      </c>
      <c r="D300" s="6">
        <f>(Indices!D304-Indices!D303)/Indices!D303</f>
        <v>-7.6031019650156838E-3</v>
      </c>
      <c r="E300" s="6">
        <f>(Indices!E304-Indices!E303)/Indices!E303</f>
        <v>-9.515459398127913E-3</v>
      </c>
      <c r="F300" s="6">
        <f>(Indices!F304-Indices!F303)/Indices!F303</f>
        <v>-3.8777040736238987E-3</v>
      </c>
      <c r="G300" s="6">
        <f>(Indices!G304-Indices!G303)/Indices!G303</f>
        <v>-2.9799547377151281E-3</v>
      </c>
      <c r="H300" s="6">
        <f>(Indices!H304-Indices!H303)/Indices!H303</f>
        <v>-6.5637699205588695E-4</v>
      </c>
      <c r="I300" s="6">
        <f>(Indices!I304-Indices!I303)/Indices!I303</f>
        <v>0</v>
      </c>
      <c r="J300" s="6">
        <f>(Indices!J304-Indices!J303)/Indices!J303</f>
        <v>-2.0389261964281379E-2</v>
      </c>
      <c r="K300" s="6">
        <f>(Indices!K304-Indices!K303)/Indices!K303</f>
        <v>-1.3020550825809121E-2</v>
      </c>
      <c r="L300" s="6">
        <f>(Indices!L304-Indices!L303)/Indices!L303</f>
        <v>-2.0700644690357477E-2</v>
      </c>
      <c r="M300" s="10">
        <f>WEEKNUM(Rend_j[[#This Row],[Date]])-1</f>
        <v>8</v>
      </c>
      <c r="N300" s="7" t="str">
        <f>TEXT(Rend_j[[#This Row],[Date]],"ddd")</f>
        <v>Mon</v>
      </c>
      <c r="O300" s="7">
        <f>MONTH(Rend_j[[#This Row],[Date]])</f>
        <v>2</v>
      </c>
      <c r="P300" s="7">
        <f>YEAR(Rend_j[[#This Row],[Date]])</f>
        <v>2022</v>
      </c>
      <c r="Q300" s="7" t="str">
        <f>Rend_j[[#This Row],[Week]]&amp;","&amp;Rend_j[[#This Row],[Year]]</f>
        <v>8,2022</v>
      </c>
      <c r="R300" s="7" t="str">
        <f>Rend_j[[#This Row],[Month]]&amp;","&amp;Rend_j[[#This Row],[Year]]</f>
        <v>2,2022</v>
      </c>
    </row>
    <row r="301" spans="1:18" x14ac:dyDescent="0.25">
      <c r="A301" s="1">
        <v>44614</v>
      </c>
      <c r="B301" s="6">
        <f>(Indices!B305-Indices!B304)/Indices!B304</f>
        <v>-1.6833242405460257E-2</v>
      </c>
      <c r="C301" s="6">
        <f>(Indices!C305-Indices!C304)/Indices!C304</f>
        <v>-8.6956521739131078E-3</v>
      </c>
      <c r="D301" s="6">
        <f>(Indices!D305-Indices!D304)/Indices!D304</f>
        <v>-5.7477736703257388E-3</v>
      </c>
      <c r="E301" s="6">
        <f>(Indices!E305-Indices!E304)/Indices!E304</f>
        <v>-1.0390286620434987E-2</v>
      </c>
      <c r="F301" s="6">
        <f>(Indices!F305-Indices!F304)/Indices!F304</f>
        <v>-1.7882363927116649E-2</v>
      </c>
      <c r="G301" s="6">
        <f>(Indices!G305-Indices!G304)/Indices!G304</f>
        <v>-8.8988266648599209E-3</v>
      </c>
      <c r="H301" s="6">
        <f>(Indices!H305-Indices!H304)/Indices!H304</f>
        <v>3.5738088108867806E-4</v>
      </c>
      <c r="I301" s="6">
        <f>(Indices!I305-Indices!I304)/Indices!I304</f>
        <v>-1.102252677909661E-2</v>
      </c>
      <c r="J301" s="6">
        <f>(Indices!J305-Indices!J304)/Indices!J304</f>
        <v>-1.0897303567587793E-4</v>
      </c>
      <c r="K301" s="6">
        <f>(Indices!K305-Indices!K304)/Indices!K304</f>
        <v>6.8159671371166705E-4</v>
      </c>
      <c r="L301" s="6">
        <f>(Indices!L305-Indices!L304)/Indices!L304</f>
        <v>-2.5877271849983115E-3</v>
      </c>
      <c r="M301" s="10">
        <f>WEEKNUM(Rend_j[[#This Row],[Date]])-1</f>
        <v>8</v>
      </c>
      <c r="N301" s="7" t="str">
        <f>TEXT(Rend_j[[#This Row],[Date]],"ddd")</f>
        <v>Tue</v>
      </c>
      <c r="O301" s="7">
        <f>MONTH(Rend_j[[#This Row],[Date]])</f>
        <v>2</v>
      </c>
      <c r="P301" s="7">
        <f>YEAR(Rend_j[[#This Row],[Date]])</f>
        <v>2022</v>
      </c>
      <c r="Q301" s="7" t="str">
        <f>Rend_j[[#This Row],[Week]]&amp;","&amp;Rend_j[[#This Row],[Year]]</f>
        <v>8,2022</v>
      </c>
      <c r="R301" s="7" t="str">
        <f>Rend_j[[#This Row],[Month]]&amp;","&amp;Rend_j[[#This Row],[Year]]</f>
        <v>2,2022</v>
      </c>
    </row>
    <row r="302" spans="1:18" x14ac:dyDescent="0.25">
      <c r="A302" s="1">
        <v>44615</v>
      </c>
      <c r="B302" s="6">
        <f>(Indices!B306-Indices!B305)/Indices!B305</f>
        <v>9.1073049455308464E-3</v>
      </c>
      <c r="C302" s="6">
        <f>(Indices!C306-Indices!C305)/Indices!C305</f>
        <v>-1.2794749636854815E-2</v>
      </c>
      <c r="D302" s="6">
        <f>(Indices!D306-Indices!D305)/Indices!D305</f>
        <v>-1.0925805052482519E-4</v>
      </c>
      <c r="E302" s="6">
        <f>(Indices!E306-Indices!E305)/Indices!E305</f>
        <v>1.0714627379699107E-3</v>
      </c>
      <c r="F302" s="6">
        <f>(Indices!F306-Indices!F305)/Indices!F305</f>
        <v>1.1409691106383918E-3</v>
      </c>
      <c r="G302" s="6">
        <f>(Indices!G306-Indices!G305)/Indices!G305</f>
        <v>-1.114364823444948E-2</v>
      </c>
      <c r="H302" s="6">
        <f>(Indices!H306-Indices!H305)/Indices!H305</f>
        <v>-4.3449714197437149E-4</v>
      </c>
      <c r="I302" s="6">
        <f>(Indices!I306-Indices!I305)/Indices!I305</f>
        <v>-1.8879464833730927E-2</v>
      </c>
      <c r="J302" s="6">
        <f>(Indices!J306-Indices!J305)/Indices!J305</f>
        <v>-1.0210053479788618E-3</v>
      </c>
      <c r="K302" s="6">
        <f>(Indices!K306-Indices!K305)/Indices!K305</f>
        <v>-2.7685226178648169E-3</v>
      </c>
      <c r="L302" s="6">
        <f>(Indices!L306-Indices!L305)/Indices!L305</f>
        <v>-4.1951711699448144E-3</v>
      </c>
      <c r="M302" s="10">
        <f>WEEKNUM(Rend_j[[#This Row],[Date]])-1</f>
        <v>8</v>
      </c>
      <c r="N302" s="7" t="str">
        <f>TEXT(Rend_j[[#This Row],[Date]],"ddd")</f>
        <v>Wed</v>
      </c>
      <c r="O302" s="7">
        <f>MONTH(Rend_j[[#This Row],[Date]])</f>
        <v>2</v>
      </c>
      <c r="P302" s="7">
        <f>YEAR(Rend_j[[#This Row],[Date]])</f>
        <v>2022</v>
      </c>
      <c r="Q302" s="7" t="str">
        <f>Rend_j[[#This Row],[Week]]&amp;","&amp;Rend_j[[#This Row],[Year]]</f>
        <v>8,2022</v>
      </c>
      <c r="R302" s="7" t="str">
        <f>Rend_j[[#This Row],[Month]]&amp;","&amp;Rend_j[[#This Row],[Year]]</f>
        <v>2,2022</v>
      </c>
    </row>
    <row r="303" spans="1:18" x14ac:dyDescent="0.25">
      <c r="A303" s="1">
        <v>44616</v>
      </c>
      <c r="B303" s="6">
        <f>(Indices!B307-Indices!B306)/Indices!B306</f>
        <v>-6.7033511252956529E-3</v>
      </c>
      <c r="C303" s="6">
        <f>(Indices!C307-Indices!C306)/Indices!C306</f>
        <v>1.7755990454916312E-2</v>
      </c>
      <c r="D303" s="6">
        <f>(Indices!D307-Indices!D306)/Indices!D306</f>
        <v>-3.1578082847420127E-2</v>
      </c>
      <c r="E303" s="6">
        <f>(Indices!E307-Indices!E306)/Indices!E306</f>
        <v>-2.4958907513235609E-2</v>
      </c>
      <c r="F303" s="6">
        <f>(Indices!F307-Indices!F306)/Indices!F306</f>
        <v>4.9860509289489637E-4</v>
      </c>
      <c r="G303" s="6">
        <f>(Indices!G307-Indices!G306)/Indices!G306</f>
        <v>1.2602024159320949E-2</v>
      </c>
      <c r="H303" s="6">
        <f>(Indices!H307-Indices!H306)/Indices!H306</f>
        <v>-4.0242265003912148E-2</v>
      </c>
      <c r="I303" s="6">
        <f>(Indices!I307-Indices!I306)/Indices!I306</f>
        <v>1.725308906210209E-2</v>
      </c>
      <c r="J303" s="6">
        <f>(Indices!J307-Indices!J306)/Indices!J306</f>
        <v>-3.8288269446306249E-2</v>
      </c>
      <c r="K303" s="6">
        <f>(Indices!K307-Indices!K306)/Indices!K306</f>
        <v>-3.2829494761473614E-2</v>
      </c>
      <c r="L303" s="6">
        <f>(Indices!L307-Indices!L306)/Indices!L306</f>
        <v>-3.9590354289920929E-2</v>
      </c>
      <c r="M303" s="10">
        <f>WEEKNUM(Rend_j[[#This Row],[Date]])-1</f>
        <v>8</v>
      </c>
      <c r="N303" s="7" t="str">
        <f>TEXT(Rend_j[[#This Row],[Date]],"ddd")</f>
        <v>Thu</v>
      </c>
      <c r="O303" s="7">
        <f>MONTH(Rend_j[[#This Row],[Date]])</f>
        <v>2</v>
      </c>
      <c r="P303" s="7">
        <f>YEAR(Rend_j[[#This Row],[Date]])</f>
        <v>2022</v>
      </c>
      <c r="Q303" s="7" t="str">
        <f>Rend_j[[#This Row],[Week]]&amp;","&amp;Rend_j[[#This Row],[Year]]</f>
        <v>8,2022</v>
      </c>
      <c r="R303" s="7" t="str">
        <f>Rend_j[[#This Row],[Month]]&amp;","&amp;Rend_j[[#This Row],[Year]]</f>
        <v>2,2022</v>
      </c>
    </row>
    <row r="304" spans="1:18" x14ac:dyDescent="0.25">
      <c r="A304" s="1">
        <v>44617</v>
      </c>
      <c r="B304" s="6">
        <f>(Indices!B308-Indices!B307)/Indices!B307</f>
        <v>-5.7237255403802031E-3</v>
      </c>
      <c r="C304" s="6">
        <f>(Indices!C308-Indices!C307)/Indices!C307</f>
        <v>1.3562204110984527E-2</v>
      </c>
      <c r="D304" s="6">
        <f>(Indices!D308-Indices!D307)/Indices!D307</f>
        <v>9.101459079867211E-3</v>
      </c>
      <c r="E304" s="6">
        <f>(Indices!E308-Indices!E307)/Indices!E307</f>
        <v>2.9623567520416817E-3</v>
      </c>
      <c r="F304" s="6">
        <f>(Indices!F308-Indices!F307)/Indices!F307</f>
        <v>-4.508940754891216E-4</v>
      </c>
      <c r="G304" s="6">
        <f>(Indices!G308-Indices!G307)/Indices!G307</f>
        <v>1.2331396319167246E-2</v>
      </c>
      <c r="H304" s="6">
        <f>(Indices!H308-Indices!H307)/Indices!H307</f>
        <v>3.7652103022434248E-2</v>
      </c>
      <c r="I304" s="6">
        <f>(Indices!I308-Indices!I307)/Indices!I307</f>
        <v>2.2643680815529362E-2</v>
      </c>
      <c r="J304" s="6">
        <f>(Indices!J308-Indices!J307)/Indices!J307</f>
        <v>3.5482073886721407E-2</v>
      </c>
      <c r="K304" s="6">
        <f>(Indices!K308-Indices!K307)/Indices!K307</f>
        <v>3.3192109300913424E-2</v>
      </c>
      <c r="L304" s="6">
        <f>(Indices!L308-Indices!L307)/Indices!L307</f>
        <v>3.6658639939715111E-2</v>
      </c>
      <c r="M304" s="10">
        <f>WEEKNUM(Rend_j[[#This Row],[Date]])-1</f>
        <v>8</v>
      </c>
      <c r="N304" s="7" t="str">
        <f>TEXT(Rend_j[[#This Row],[Date]],"ddd")</f>
        <v>Fri</v>
      </c>
      <c r="O304" s="7">
        <f>MONTH(Rend_j[[#This Row],[Date]])</f>
        <v>2</v>
      </c>
      <c r="P304" s="7">
        <f>YEAR(Rend_j[[#This Row],[Date]])</f>
        <v>2022</v>
      </c>
      <c r="Q304" s="7" t="str">
        <f>Rend_j[[#This Row],[Week]]&amp;","&amp;Rend_j[[#This Row],[Year]]</f>
        <v>8,2022</v>
      </c>
      <c r="R304" s="7" t="str">
        <f>Rend_j[[#This Row],[Month]]&amp;","&amp;Rend_j[[#This Row],[Year]]</f>
        <v>2,2022</v>
      </c>
    </row>
    <row r="305" spans="1:18" x14ac:dyDescent="0.25">
      <c r="A305" s="1">
        <v>44620</v>
      </c>
      <c r="B305" s="6">
        <f>(Indices!B309-Indices!B308)/Indices!B308</f>
        <v>4.5424171275386272E-3</v>
      </c>
      <c r="C305" s="6">
        <f>(Indices!C309-Indices!C308)/Indices!C308</f>
        <v>4.434376766822161E-4</v>
      </c>
      <c r="D305" s="6">
        <f>(Indices!D309-Indices!D308)/Indices!D308</f>
        <v>-7.6580237178975241E-4</v>
      </c>
      <c r="E305" s="6">
        <f>(Indices!E309-Indices!E308)/Indices!E308</f>
        <v>6.2296924242052985E-4</v>
      </c>
      <c r="F305" s="6">
        <f>(Indices!F309-Indices!F308)/Indices!F308</f>
        <v>8.1494319733139663E-3</v>
      </c>
      <c r="G305" s="6">
        <f>(Indices!G309-Indices!G308)/Indices!G308</f>
        <v>4.6461611093842582E-4</v>
      </c>
      <c r="H305" s="6">
        <f>(Indices!H309-Indices!H308)/Indices!H308</f>
        <v>-2.4830743564375666E-3</v>
      </c>
      <c r="I305" s="6">
        <f>(Indices!I309-Indices!I308)/Indices!I308</f>
        <v>-1.2138776815587096E-3</v>
      </c>
      <c r="J305" s="6">
        <f>(Indices!J309-Indices!J308)/Indices!J308</f>
        <v>-1.3861690615132974E-2</v>
      </c>
      <c r="K305" s="6">
        <f>(Indices!K309-Indices!K308)/Indices!K308</f>
        <v>-9.2609970878680637E-4</v>
      </c>
      <c r="L305" s="6">
        <f>(Indices!L309-Indices!L308)/Indices!L308</f>
        <v>-7.2910866769584958E-3</v>
      </c>
      <c r="M305" s="10">
        <f>WEEKNUM(Rend_j[[#This Row],[Date]])-1</f>
        <v>9</v>
      </c>
      <c r="N305" s="7" t="str">
        <f>TEXT(Rend_j[[#This Row],[Date]],"ddd")</f>
        <v>Mon</v>
      </c>
      <c r="O305" s="7">
        <f>MONTH(Rend_j[[#This Row],[Date]])</f>
        <v>2</v>
      </c>
      <c r="P305" s="7">
        <f>YEAR(Rend_j[[#This Row],[Date]])</f>
        <v>2022</v>
      </c>
      <c r="Q305" s="7" t="str">
        <f>Rend_j[[#This Row],[Week]]&amp;","&amp;Rend_j[[#This Row],[Year]]</f>
        <v>9,2022</v>
      </c>
      <c r="R305" s="7" t="str">
        <f>Rend_j[[#This Row],[Month]]&amp;","&amp;Rend_j[[#This Row],[Year]]</f>
        <v>2,2022</v>
      </c>
    </row>
    <row r="306" spans="1:18" x14ac:dyDescent="0.25">
      <c r="A306" s="1">
        <v>44621</v>
      </c>
      <c r="B306" s="6">
        <f>(Indices!B310-Indices!B309)/Indices!B309</f>
        <v>1.4434952122608723E-2</v>
      </c>
      <c r="C306" s="6">
        <f>(Indices!C310-Indices!C309)/Indices!C309</f>
        <v>-7.8490616215976632E-3</v>
      </c>
      <c r="D306" s="6">
        <f>(Indices!D310-Indices!D309)/Indices!D309</f>
        <v>1.1397955908568831E-2</v>
      </c>
      <c r="E306" s="6">
        <f>(Indices!E310-Indices!E309)/Indices!E309</f>
        <v>1.2529755728359206E-2</v>
      </c>
      <c r="F306" s="6">
        <f>(Indices!F310-Indices!F309)/Indices!F309</f>
        <v>1.7268076137320315E-2</v>
      </c>
      <c r="G306" s="6">
        <f>(Indices!G310-Indices!G309)/Indices!G309</f>
        <v>-5.4941556714893439E-3</v>
      </c>
      <c r="H306" s="6">
        <f>(Indices!H310-Indices!H309)/Indices!H309</f>
        <v>-1.1901752202407613E-2</v>
      </c>
      <c r="I306" s="6">
        <f>(Indices!I310-Indices!I309)/Indices!I309</f>
        <v>-1.5823285839965836E-2</v>
      </c>
      <c r="J306" s="6">
        <f>(Indices!J310-Indices!J309)/Indices!J309</f>
        <v>-3.9397287650685127E-2</v>
      </c>
      <c r="K306" s="6">
        <f>(Indices!K310-Indices!K309)/Indices!K309</f>
        <v>-2.3702832326681078E-2</v>
      </c>
      <c r="L306" s="6">
        <f>(Indices!L310-Indices!L309)/Indices!L309</f>
        <v>-3.8459938377526023E-2</v>
      </c>
      <c r="M306" s="10">
        <f>WEEKNUM(Rend_j[[#This Row],[Date]])-1</f>
        <v>9</v>
      </c>
      <c r="N306" s="7" t="str">
        <f>TEXT(Rend_j[[#This Row],[Date]],"ddd")</f>
        <v>Tue</v>
      </c>
      <c r="O306" s="7">
        <f>MONTH(Rend_j[[#This Row],[Date]])</f>
        <v>3</v>
      </c>
      <c r="P306" s="7">
        <f>YEAR(Rend_j[[#This Row],[Date]])</f>
        <v>2022</v>
      </c>
      <c r="Q306" s="7" t="str">
        <f>Rend_j[[#This Row],[Week]]&amp;","&amp;Rend_j[[#This Row],[Year]]</f>
        <v>9,2022</v>
      </c>
      <c r="R306" s="7" t="str">
        <f>Rend_j[[#This Row],[Month]]&amp;","&amp;Rend_j[[#This Row],[Year]]</f>
        <v>3,2022</v>
      </c>
    </row>
    <row r="307" spans="1:18" x14ac:dyDescent="0.25">
      <c r="A307" s="1">
        <v>44622</v>
      </c>
      <c r="B307" s="6">
        <f>(Indices!B311-Indices!B310)/Indices!B310</f>
        <v>-4.0303326546247999E-3</v>
      </c>
      <c r="C307" s="6">
        <f>(Indices!C311-Indices!C310)/Indices!C310</f>
        <v>1.8182630450321712E-2</v>
      </c>
      <c r="D307" s="6">
        <f>(Indices!D311-Indices!D310)/Indices!D310</f>
        <v>2.9951652956550175E-3</v>
      </c>
      <c r="E307" s="6">
        <f>(Indices!E311-Indices!E310)/Indices!E310</f>
        <v>-1.8084621561206468E-4</v>
      </c>
      <c r="F307" s="6">
        <f>(Indices!F311-Indices!F310)/Indices!F310</f>
        <v>-1.9579359199925813E-2</v>
      </c>
      <c r="G307" s="6">
        <f>(Indices!G311-Indices!G310)/Indices!G310</f>
        <v>1.6023709818335174E-2</v>
      </c>
      <c r="H307" s="6">
        <f>(Indices!H311-Indices!H310)/Indices!H310</f>
        <v>1.7801964218937705E-2</v>
      </c>
      <c r="I307" s="6">
        <f>(Indices!I311-Indices!I310)/Indices!I310</f>
        <v>1.9015990111493769E-2</v>
      </c>
      <c r="J307" s="6">
        <f>(Indices!J311-Indices!J310)/Indices!J310</f>
        <v>1.5872733684533295E-2</v>
      </c>
      <c r="K307" s="6">
        <f>(Indices!K311-Indices!K310)/Indices!K310</f>
        <v>8.9517644613306101E-3</v>
      </c>
      <c r="L307" s="6">
        <f>(Indices!L311-Indices!L310)/Indices!L310</f>
        <v>6.8509004176134734E-3</v>
      </c>
      <c r="M307" s="10">
        <f>WEEKNUM(Rend_j[[#This Row],[Date]])-1</f>
        <v>9</v>
      </c>
      <c r="N307" s="7" t="str">
        <f>TEXT(Rend_j[[#This Row],[Date]],"ddd")</f>
        <v>Wed</v>
      </c>
      <c r="O307" s="7">
        <f>MONTH(Rend_j[[#This Row],[Date]])</f>
        <v>3</v>
      </c>
      <c r="P307" s="7">
        <f>YEAR(Rend_j[[#This Row],[Date]])</f>
        <v>2022</v>
      </c>
      <c r="Q307" s="7" t="str">
        <f>Rend_j[[#This Row],[Week]]&amp;","&amp;Rend_j[[#This Row],[Year]]</f>
        <v>9,2022</v>
      </c>
      <c r="R307" s="7" t="str">
        <f>Rend_j[[#This Row],[Month]]&amp;","&amp;Rend_j[[#This Row],[Year]]</f>
        <v>3,2022</v>
      </c>
    </row>
    <row r="308" spans="1:18" x14ac:dyDescent="0.25">
      <c r="A308" s="1">
        <v>44623</v>
      </c>
      <c r="B308" s="6">
        <f>(Indices!B312-Indices!B311)/Indices!B311</f>
        <v>-8.4530423742740172E-3</v>
      </c>
      <c r="C308" s="6">
        <f>(Indices!C312-Indices!C311)/Indices!C311</f>
        <v>-6.9033097860267704E-3</v>
      </c>
      <c r="D308" s="6">
        <f>(Indices!D312-Indices!D311)/Indices!D311</f>
        <v>9.9688417112232357E-3</v>
      </c>
      <c r="E308" s="6">
        <f>(Indices!E312-Indices!E311)/Indices!E311</f>
        <v>4.0082770196940435E-3</v>
      </c>
      <c r="F308" s="6">
        <f>(Indices!F312-Indices!F311)/Indices!F311</f>
        <v>1.1629211161681446E-2</v>
      </c>
      <c r="G308" s="6">
        <f>(Indices!G312-Indices!G311)/Indices!G311</f>
        <v>-5.6412366243017631E-3</v>
      </c>
      <c r="H308" s="6">
        <f>(Indices!H312-Indices!H311)/Indices!H311</f>
        <v>-2.2702002378489301E-2</v>
      </c>
      <c r="I308" s="6">
        <f>(Indices!I312-Indices!I311)/Indices!I311</f>
        <v>-7.5711329287996261E-3</v>
      </c>
      <c r="J308" s="6">
        <f>(Indices!J312-Indices!J311)/Indices!J311</f>
        <v>-1.8413286298246821E-2</v>
      </c>
      <c r="K308" s="6">
        <f>(Indices!K312-Indices!K311)/Indices!K311</f>
        <v>-2.0097242536383786E-2</v>
      </c>
      <c r="L308" s="6">
        <f>(Indices!L312-Indices!L311)/Indices!L311</f>
        <v>-2.1550541564124181E-2</v>
      </c>
      <c r="M308" s="10">
        <f>WEEKNUM(Rend_j[[#This Row],[Date]])-1</f>
        <v>9</v>
      </c>
      <c r="N308" s="7" t="str">
        <f>TEXT(Rend_j[[#This Row],[Date]],"ddd")</f>
        <v>Thu</v>
      </c>
      <c r="O308" s="7">
        <f>MONTH(Rend_j[[#This Row],[Date]])</f>
        <v>3</v>
      </c>
      <c r="P308" s="7">
        <f>YEAR(Rend_j[[#This Row],[Date]])</f>
        <v>2022</v>
      </c>
      <c r="Q308" s="7" t="str">
        <f>Rend_j[[#This Row],[Week]]&amp;","&amp;Rend_j[[#This Row],[Year]]</f>
        <v>9,2022</v>
      </c>
      <c r="R308" s="7" t="str">
        <f>Rend_j[[#This Row],[Month]]&amp;","&amp;Rend_j[[#This Row],[Year]]</f>
        <v>3,2022</v>
      </c>
    </row>
    <row r="309" spans="1:18" x14ac:dyDescent="0.25">
      <c r="A309" s="1">
        <v>44624</v>
      </c>
      <c r="B309" s="6">
        <f>(Indices!B313-Indices!B312)/Indices!B312</f>
        <v>-9.3969199333256929E-3</v>
      </c>
      <c r="C309" s="6">
        <f>(Indices!C313-Indices!C312)/Indices!C312</f>
        <v>-2.7171912048423426E-3</v>
      </c>
      <c r="D309" s="6">
        <f>(Indices!D313-Indices!D312)/Indices!D312</f>
        <v>-7.638141878503063E-3</v>
      </c>
      <c r="E309" s="6">
        <f>(Indices!E313-Indices!E312)/Indices!E312</f>
        <v>-1.0794995964487422E-2</v>
      </c>
      <c r="F309" s="6">
        <f>(Indices!F313-Indices!F312)/Indices!F312</f>
        <v>7.0023516230870189E-5</v>
      </c>
      <c r="G309" s="6">
        <f>(Indices!G313-Indices!G312)/Indices!G312</f>
        <v>-3.6603957849535031E-3</v>
      </c>
      <c r="H309" s="6">
        <f>(Indices!H313-Indices!H312)/Indices!H312</f>
        <v>-3.0006232748642024E-2</v>
      </c>
      <c r="I309" s="6">
        <f>(Indices!I313-Indices!I312)/Indices!I312</f>
        <v>-9.8964397075201292E-3</v>
      </c>
      <c r="J309" s="6">
        <f>(Indices!J313-Indices!J312)/Indices!J312</f>
        <v>-4.9653744638600825E-2</v>
      </c>
      <c r="K309" s="6">
        <f>(Indices!K313-Indices!K312)/Indices!K312</f>
        <v>-3.5622797087849774E-2</v>
      </c>
      <c r="L309" s="6">
        <f>(Indices!L313-Indices!L312)/Indices!L312</f>
        <v>-4.4082544881724021E-2</v>
      </c>
      <c r="M309" s="10">
        <f>WEEKNUM(Rend_j[[#This Row],[Date]])-1</f>
        <v>9</v>
      </c>
      <c r="N309" s="7" t="str">
        <f>TEXT(Rend_j[[#This Row],[Date]],"ddd")</f>
        <v>Fri</v>
      </c>
      <c r="O309" s="7">
        <f>MONTH(Rend_j[[#This Row],[Date]])</f>
        <v>3</v>
      </c>
      <c r="P309" s="7">
        <f>YEAR(Rend_j[[#This Row],[Date]])</f>
        <v>2022</v>
      </c>
      <c r="Q309" s="7" t="str">
        <f>Rend_j[[#This Row],[Week]]&amp;","&amp;Rend_j[[#This Row],[Year]]</f>
        <v>9,2022</v>
      </c>
      <c r="R309" s="7" t="str">
        <f>Rend_j[[#This Row],[Month]]&amp;","&amp;Rend_j[[#This Row],[Year]]</f>
        <v>3,2022</v>
      </c>
    </row>
    <row r="310" spans="1:18" x14ac:dyDescent="0.25">
      <c r="A310" s="1">
        <v>44627</v>
      </c>
      <c r="B310" s="6">
        <f>(Indices!B314-Indices!B313)/Indices!B313</f>
        <v>-3.0950509960940287E-2</v>
      </c>
      <c r="C310" s="6">
        <f>(Indices!C314-Indices!C313)/Indices!C313</f>
        <v>-2.26385002178199E-2</v>
      </c>
      <c r="D310" s="6">
        <f>(Indices!D314-Indices!D313)/Indices!D313</f>
        <v>-2.6472749332559345E-2</v>
      </c>
      <c r="E310" s="6">
        <f>(Indices!E314-Indices!E313)/Indices!E313</f>
        <v>-2.8935674218693079E-2</v>
      </c>
      <c r="F310" s="6">
        <f>(Indices!F314-Indices!F313)/Indices!F313</f>
        <v>-2.9133578009487657E-2</v>
      </c>
      <c r="G310" s="6">
        <f>(Indices!G314-Indices!G313)/Indices!G313</f>
        <v>-2.3371181653229628E-2</v>
      </c>
      <c r="H310" s="6">
        <f>(Indices!H314-Indices!H313)/Indices!H313</f>
        <v>-5.3036329885972934E-3</v>
      </c>
      <c r="I310" s="6">
        <f>(Indices!I314-Indices!I313)/Indices!I313</f>
        <v>-3.0754880959745077E-2</v>
      </c>
      <c r="J310" s="6">
        <f>(Indices!J314-Indices!J313)/Indices!J313</f>
        <v>-1.309709451814408E-2</v>
      </c>
      <c r="K310" s="6">
        <f>(Indices!K314-Indices!K313)/Indices!K313</f>
        <v>-1.1024690623132162E-2</v>
      </c>
      <c r="L310" s="6">
        <f>(Indices!L314-Indices!L313)/Indices!L313</f>
        <v>-1.9847176701595633E-2</v>
      </c>
      <c r="M310" s="10">
        <f>WEEKNUM(Rend_j[[#This Row],[Date]])-1</f>
        <v>10</v>
      </c>
      <c r="N310" s="7" t="str">
        <f>TEXT(Rend_j[[#This Row],[Date]],"ddd")</f>
        <v>Mon</v>
      </c>
      <c r="O310" s="7">
        <f>MONTH(Rend_j[[#This Row],[Date]])</f>
        <v>3</v>
      </c>
      <c r="P310" s="7">
        <f>YEAR(Rend_j[[#This Row],[Date]])</f>
        <v>2022</v>
      </c>
      <c r="Q310" s="7" t="str">
        <f>Rend_j[[#This Row],[Week]]&amp;","&amp;Rend_j[[#This Row],[Year]]</f>
        <v>10,2022</v>
      </c>
      <c r="R310" s="7" t="str">
        <f>Rend_j[[#This Row],[Month]]&amp;","&amp;Rend_j[[#This Row],[Year]]</f>
        <v>3,2022</v>
      </c>
    </row>
    <row r="311" spans="1:18" x14ac:dyDescent="0.25">
      <c r="A311" s="1">
        <v>44628</v>
      </c>
      <c r="B311" s="6">
        <f>(Indices!B315-Indices!B314)/Indices!B314</f>
        <v>-2.1171446730906651E-2</v>
      </c>
      <c r="C311" s="6">
        <f>(Indices!C315-Indices!C314)/Indices!C314</f>
        <v>-7.9287133500041164E-3</v>
      </c>
      <c r="D311" s="6">
        <f>(Indices!D315-Indices!D314)/Indices!D314</f>
        <v>-5.6707843990919911E-3</v>
      </c>
      <c r="E311" s="6">
        <f>(Indices!E315-Indices!E314)/Indices!E314</f>
        <v>-1.0342740826319035E-2</v>
      </c>
      <c r="F311" s="6">
        <f>(Indices!F315-Indices!F314)/Indices!F314</f>
        <v>-1.9868982510968108E-2</v>
      </c>
      <c r="G311" s="6">
        <f>(Indices!G315-Indices!G314)/Indices!G314</f>
        <v>-8.2092182280654475E-3</v>
      </c>
      <c r="H311" s="6">
        <f>(Indices!H315-Indices!H314)/Indices!H314</f>
        <v>-7.075036400549865E-4</v>
      </c>
      <c r="I311" s="6">
        <f>(Indices!I315-Indices!I314)/Indices!I314</f>
        <v>-5.406216154249981E-3</v>
      </c>
      <c r="J311" s="6">
        <f>(Indices!J315-Indices!J314)/Indices!J314</f>
        <v>-3.2278815458751837E-3</v>
      </c>
      <c r="K311" s="6">
        <f>(Indices!K315-Indices!K314)/Indices!K314</f>
        <v>-5.0823363809562446E-3</v>
      </c>
      <c r="L311" s="6">
        <f>(Indices!L315-Indices!L314)/Indices!L314</f>
        <v>-2.4469852349442344E-4</v>
      </c>
      <c r="M311" s="10">
        <f>WEEKNUM(Rend_j[[#This Row],[Date]])-1</f>
        <v>10</v>
      </c>
      <c r="N311" s="7" t="str">
        <f>TEXT(Rend_j[[#This Row],[Date]],"ddd")</f>
        <v>Tue</v>
      </c>
      <c r="O311" s="7">
        <f>MONTH(Rend_j[[#This Row],[Date]])</f>
        <v>3</v>
      </c>
      <c r="P311" s="7">
        <f>YEAR(Rend_j[[#This Row],[Date]])</f>
        <v>2022</v>
      </c>
      <c r="Q311" s="7" t="str">
        <f>Rend_j[[#This Row],[Week]]&amp;","&amp;Rend_j[[#This Row],[Year]]</f>
        <v>10,2022</v>
      </c>
      <c r="R311" s="7" t="str">
        <f>Rend_j[[#This Row],[Month]]&amp;","&amp;Rend_j[[#This Row],[Year]]</f>
        <v>3,2022</v>
      </c>
    </row>
    <row r="312" spans="1:18" x14ac:dyDescent="0.25">
      <c r="A312" s="1">
        <v>44629</v>
      </c>
      <c r="B312" s="6">
        <f>(Indices!B316-Indices!B315)/Indices!B315</f>
        <v>-1.9080765446114169E-2</v>
      </c>
      <c r="C312" s="6">
        <f>(Indices!C316-Indices!C315)/Indices!C315</f>
        <v>1.4384982961143869E-2</v>
      </c>
      <c r="D312" s="6">
        <f>(Indices!D316-Indices!D315)/Indices!D315</f>
        <v>-2.2655091790509754E-2</v>
      </c>
      <c r="E312" s="6">
        <f>(Indices!E316-Indices!E315)/Indices!E315</f>
        <v>-2.0040024459391809E-2</v>
      </c>
      <c r="F312" s="6">
        <f>(Indices!F316-Indices!F315)/Indices!F315</f>
        <v>-1.7555370238650017E-2</v>
      </c>
      <c r="G312" s="6">
        <f>(Indices!G316-Indices!G315)/Indices!G315</f>
        <v>1.0420810722079668E-2</v>
      </c>
      <c r="H312" s="6">
        <f>(Indices!H316-Indices!H315)/Indices!H315</f>
        <v>1.8326030967503633E-2</v>
      </c>
      <c r="I312" s="6">
        <f>(Indices!I316-Indices!I315)/Indices!I315</f>
        <v>2.6839400998125772E-2</v>
      </c>
      <c r="J312" s="6">
        <f>(Indices!J316-Indices!J315)/Indices!J315</f>
        <v>7.125154617485456E-2</v>
      </c>
      <c r="K312" s="6">
        <f>(Indices!K316-Indices!K315)/Indices!K315</f>
        <v>4.6842248455645663E-2</v>
      </c>
      <c r="L312" s="6">
        <f>(Indices!L316-Indices!L315)/Indices!L315</f>
        <v>7.9212808018615591E-2</v>
      </c>
      <c r="M312" s="10">
        <f>WEEKNUM(Rend_j[[#This Row],[Date]])-1</f>
        <v>10</v>
      </c>
      <c r="N312" s="7" t="str">
        <f>TEXT(Rend_j[[#This Row],[Date]],"ddd")</f>
        <v>Wed</v>
      </c>
      <c r="O312" s="7">
        <f>MONTH(Rend_j[[#This Row],[Date]])</f>
        <v>3</v>
      </c>
      <c r="P312" s="7">
        <f>YEAR(Rend_j[[#This Row],[Date]])</f>
        <v>2022</v>
      </c>
      <c r="Q312" s="7" t="str">
        <f>Rend_j[[#This Row],[Week]]&amp;","&amp;Rend_j[[#This Row],[Year]]</f>
        <v>10,2022</v>
      </c>
      <c r="R312" s="7" t="str">
        <f>Rend_j[[#This Row],[Month]]&amp;","&amp;Rend_j[[#This Row],[Year]]</f>
        <v>3,2022</v>
      </c>
    </row>
    <row r="313" spans="1:18" x14ac:dyDescent="0.25">
      <c r="A313" s="1">
        <v>44630</v>
      </c>
      <c r="B313" s="6">
        <f>(Indices!B317-Indices!B316)/Indices!B316</f>
        <v>8.7848815300440204E-3</v>
      </c>
      <c r="C313" s="6">
        <f>(Indices!C317-Indices!C316)/Indices!C316</f>
        <v>-1.1148104634534555E-3</v>
      </c>
      <c r="D313" s="6">
        <f>(Indices!D317-Indices!D316)/Indices!D316</f>
        <v>1.9085413746784487E-2</v>
      </c>
      <c r="E313" s="6">
        <f>(Indices!E317-Indices!E316)/Indices!E316</f>
        <v>1.3542120584693715E-2</v>
      </c>
      <c r="F313" s="6">
        <f>(Indices!F317-Indices!F316)/Indices!F316</f>
        <v>4.1786033041860883E-2</v>
      </c>
      <c r="G313" s="6">
        <f>(Indices!G317-Indices!G316)/Indices!G316</f>
        <v>5.2369430014181971E-4</v>
      </c>
      <c r="H313" s="6">
        <f>(Indices!H317-Indices!H316)/Indices!H316</f>
        <v>-1.2565117942827201E-2</v>
      </c>
      <c r="I313" s="6">
        <f>(Indices!I317-Indices!I316)/Indices!I316</f>
        <v>-4.3417647328754987E-3</v>
      </c>
      <c r="J313" s="6">
        <f>(Indices!J317-Indices!J316)/Indices!J316</f>
        <v>-2.8277189717694242E-2</v>
      </c>
      <c r="K313" s="6">
        <f>(Indices!K317-Indices!K316)/Indices!K316</f>
        <v>-1.6871945672773968E-2</v>
      </c>
      <c r="L313" s="6">
        <f>(Indices!L317-Indices!L316)/Indices!L316</f>
        <v>-2.9306191545228847E-2</v>
      </c>
      <c r="M313" s="10">
        <f>WEEKNUM(Rend_j[[#This Row],[Date]])-1</f>
        <v>10</v>
      </c>
      <c r="N313" s="7" t="str">
        <f>TEXT(Rend_j[[#This Row],[Date]],"ddd")</f>
        <v>Thu</v>
      </c>
      <c r="O313" s="7">
        <f>MONTH(Rend_j[[#This Row],[Date]])</f>
        <v>3</v>
      </c>
      <c r="P313" s="7">
        <f>YEAR(Rend_j[[#This Row],[Date]])</f>
        <v>2022</v>
      </c>
      <c r="Q313" s="7" t="str">
        <f>Rend_j[[#This Row],[Week]]&amp;","&amp;Rend_j[[#This Row],[Year]]</f>
        <v>10,2022</v>
      </c>
      <c r="R313" s="7" t="str">
        <f>Rend_j[[#This Row],[Month]]&amp;","&amp;Rend_j[[#This Row],[Year]]</f>
        <v>3,2022</v>
      </c>
    </row>
    <row r="314" spans="1:18" x14ac:dyDescent="0.25">
      <c r="A314" s="1">
        <v>44631</v>
      </c>
      <c r="B314" s="6">
        <f>(Indices!B318-Indices!B317)/Indices!B317</f>
        <v>-1.3778508559514981E-2</v>
      </c>
      <c r="C314" s="6">
        <f>(Indices!C318-Indices!C317)/Indices!C317</f>
        <v>-6.2717010626943993E-3</v>
      </c>
      <c r="D314" s="6">
        <f>(Indices!D318-Indices!D317)/Indices!D317</f>
        <v>-1.8674233010245109E-3</v>
      </c>
      <c r="E314" s="6">
        <f>(Indices!E318-Indices!E317)/Indices!E317</f>
        <v>-1.0817163979759818E-2</v>
      </c>
      <c r="F314" s="6">
        <f>(Indices!F318-Indices!F317)/Indices!F317</f>
        <v>-2.2304632270123803E-2</v>
      </c>
      <c r="G314" s="6">
        <f>(Indices!G318-Indices!G317)/Indices!G317</f>
        <v>-6.7891801023916357E-3</v>
      </c>
      <c r="H314" s="6">
        <f>(Indices!H318-Indices!H317)/Indices!H317</f>
        <v>8.6432099269358794E-3</v>
      </c>
      <c r="I314" s="6">
        <f>(Indices!I318-Indices!I317)/Indices!I317</f>
        <v>-1.4040719884473918E-2</v>
      </c>
      <c r="J314" s="6">
        <f>(Indices!J318-Indices!J317)/Indices!J317</f>
        <v>8.5464949306342849E-3</v>
      </c>
      <c r="K314" s="6">
        <f>(Indices!K318-Indices!K317)/Indices!K317</f>
        <v>9.4821550089219438E-3</v>
      </c>
      <c r="L314" s="6">
        <f>(Indices!L318-Indices!L317)/Indices!L317</f>
        <v>1.3837923047499388E-2</v>
      </c>
      <c r="M314" s="10">
        <f>WEEKNUM(Rend_j[[#This Row],[Date]])-1</f>
        <v>10</v>
      </c>
      <c r="N314" s="7" t="str">
        <f>TEXT(Rend_j[[#This Row],[Date]],"ddd")</f>
        <v>Fri</v>
      </c>
      <c r="O314" s="7">
        <f>MONTH(Rend_j[[#This Row],[Date]])</f>
        <v>3</v>
      </c>
      <c r="P314" s="7">
        <f>YEAR(Rend_j[[#This Row],[Date]])</f>
        <v>2022</v>
      </c>
      <c r="Q314" s="7" t="str">
        <f>Rend_j[[#This Row],[Week]]&amp;","&amp;Rend_j[[#This Row],[Year]]</f>
        <v>10,2022</v>
      </c>
      <c r="R314" s="7" t="str">
        <f>Rend_j[[#This Row],[Month]]&amp;","&amp;Rend_j[[#This Row],[Year]]</f>
        <v>3,2022</v>
      </c>
    </row>
    <row r="315" spans="1:18" x14ac:dyDescent="0.25">
      <c r="A315" s="1">
        <v>44634</v>
      </c>
      <c r="B315" s="6">
        <f>(Indices!B319-Indices!B318)/Indices!B318</f>
        <v>-5.9472483646687037E-2</v>
      </c>
      <c r="C315" s="6">
        <f>(Indices!C319-Indices!C318)/Indices!C318</f>
        <v>-5.997421033326197E-3</v>
      </c>
      <c r="D315" s="6">
        <f>(Indices!D319-Indices!D318)/Indices!D318</f>
        <v>-8.9729421023536093E-3</v>
      </c>
      <c r="E315" s="6">
        <f>(Indices!E319-Indices!E318)/Indices!E318</f>
        <v>-2.9429540644039597E-2</v>
      </c>
      <c r="F315" s="6">
        <f>(Indices!F319-Indices!F318)/Indices!F318</f>
        <v>-3.2231774647197516E-3</v>
      </c>
      <c r="G315" s="6">
        <f>(Indices!G319-Indices!G318)/Indices!G318</f>
        <v>-8.6358443316933726E-3</v>
      </c>
      <c r="H315" s="6">
        <f>(Indices!H319-Indices!H318)/Indices!H318</f>
        <v>1.0724077577571962E-3</v>
      </c>
      <c r="I315" s="6">
        <f>(Indices!I319-Indices!I318)/Indices!I318</f>
        <v>-9.6154933852257117E-3</v>
      </c>
      <c r="J315" s="6">
        <f>(Indices!J319-Indices!J318)/Indices!J318</f>
        <v>1.7521655045724952E-2</v>
      </c>
      <c r="K315" s="6">
        <f>(Indices!K319-Indices!K318)/Indices!K318</f>
        <v>1.2013806256976468E-2</v>
      </c>
      <c r="L315" s="6">
        <f>(Indices!L319-Indices!L318)/Indices!L318</f>
        <v>2.2086701110400092E-2</v>
      </c>
      <c r="M315" s="10">
        <f>WEEKNUM(Rend_j[[#This Row],[Date]])-1</f>
        <v>11</v>
      </c>
      <c r="N315" s="7" t="str">
        <f>TEXT(Rend_j[[#This Row],[Date]],"ddd")</f>
        <v>Mon</v>
      </c>
      <c r="O315" s="7">
        <f>MONTH(Rend_j[[#This Row],[Date]])</f>
        <v>3</v>
      </c>
      <c r="P315" s="7">
        <f>YEAR(Rend_j[[#This Row],[Date]])</f>
        <v>2022</v>
      </c>
      <c r="Q315" s="7" t="str">
        <f>Rend_j[[#This Row],[Week]]&amp;","&amp;Rend_j[[#This Row],[Year]]</f>
        <v>11,2022</v>
      </c>
      <c r="R315" s="7" t="str">
        <f>Rend_j[[#This Row],[Month]]&amp;","&amp;Rend_j[[#This Row],[Year]]</f>
        <v>3,2022</v>
      </c>
    </row>
    <row r="316" spans="1:18" x14ac:dyDescent="0.25">
      <c r="A316" s="1">
        <v>44635</v>
      </c>
      <c r="B316" s="6">
        <f>(Indices!B320-Indices!B319)/Indices!B319</f>
        <v>-5.5433774086196756E-2</v>
      </c>
      <c r="C316" s="6">
        <f>(Indices!C320-Indices!C319)/Indices!C319</f>
        <v>1.4540004032549533E-2</v>
      </c>
      <c r="D316" s="6">
        <f>(Indices!D320-Indices!D319)/Indices!D319</f>
        <v>-1.2757115791619911E-2</v>
      </c>
      <c r="E316" s="6">
        <f>(Indices!E320-Indices!E319)/Indices!E319</f>
        <v>-2.6190829499925843E-2</v>
      </c>
      <c r="F316" s="6">
        <f>(Indices!F320-Indices!F319)/Indices!F319</f>
        <v>5.7417915127222947E-3</v>
      </c>
      <c r="G316" s="6">
        <f>(Indices!G320-Indices!G319)/Indices!G319</f>
        <v>1.0045864083998783E-2</v>
      </c>
      <c r="H316" s="6">
        <f>(Indices!H320-Indices!H319)/Indices!H319</f>
        <v>-3.1329270634358812E-4</v>
      </c>
      <c r="I316" s="6">
        <f>(Indices!I320-Indices!I319)/Indices!I319</f>
        <v>2.0852740738540747E-2</v>
      </c>
      <c r="J316" s="6">
        <f>(Indices!J320-Indices!J319)/Indices!J319</f>
        <v>-2.3453817678623597E-3</v>
      </c>
      <c r="K316" s="6">
        <f>(Indices!K320-Indices!K319)/Indices!K319</f>
        <v>-2.8188632590507869E-3</v>
      </c>
      <c r="L316" s="6">
        <f>(Indices!L320-Indices!L319)/Indices!L319</f>
        <v>-8.5007726283116555E-4</v>
      </c>
      <c r="M316" s="10">
        <f>WEEKNUM(Rend_j[[#This Row],[Date]])-1</f>
        <v>11</v>
      </c>
      <c r="N316" s="7" t="str">
        <f>TEXT(Rend_j[[#This Row],[Date]],"ddd")</f>
        <v>Tue</v>
      </c>
      <c r="O316" s="7">
        <f>MONTH(Rend_j[[#This Row],[Date]])</f>
        <v>3</v>
      </c>
      <c r="P316" s="7">
        <f>YEAR(Rend_j[[#This Row],[Date]])</f>
        <v>2022</v>
      </c>
      <c r="Q316" s="7" t="str">
        <f>Rend_j[[#This Row],[Week]]&amp;","&amp;Rend_j[[#This Row],[Year]]</f>
        <v>11,2022</v>
      </c>
      <c r="R316" s="7" t="str">
        <f>Rend_j[[#This Row],[Month]]&amp;","&amp;Rend_j[[#This Row],[Year]]</f>
        <v>3,2022</v>
      </c>
    </row>
    <row r="317" spans="1:18" x14ac:dyDescent="0.25">
      <c r="A317" s="1">
        <v>44636</v>
      </c>
      <c r="B317" s="6">
        <f>(Indices!B321-Indices!B320)/Indices!B320</f>
        <v>9.8946980196920734E-2</v>
      </c>
      <c r="C317" s="6">
        <f>(Indices!C321-Indices!C320)/Indices!C320</f>
        <v>2.2712358868019394E-2</v>
      </c>
      <c r="D317" s="6">
        <f>(Indices!D321-Indices!D320)/Indices!D320</f>
        <v>1.6201875592055704E-2</v>
      </c>
      <c r="E317" s="6">
        <f>(Indices!E321-Indices!E320)/Indices!E320</f>
        <v>5.0900680272108888E-2</v>
      </c>
      <c r="F317" s="6">
        <f>(Indices!F321-Indices!F320)/Indices!F320</f>
        <v>1.2530485754977118E-2</v>
      </c>
      <c r="G317" s="6">
        <f>(Indices!G321-Indices!G320)/Indices!G320</f>
        <v>2.5711947815463983E-2</v>
      </c>
      <c r="H317" s="6">
        <f>(Indices!H321-Indices!H320)/Indices!H320</f>
        <v>1.5295497280575738E-2</v>
      </c>
      <c r="I317" s="6">
        <f>(Indices!I321-Indices!I320)/Indices!I320</f>
        <v>2.4694184438269949E-2</v>
      </c>
      <c r="J317" s="6">
        <f>(Indices!J321-Indices!J320)/Indices!J320</f>
        <v>3.6764773721479203E-2</v>
      </c>
      <c r="K317" s="6">
        <f>(Indices!K321-Indices!K320)/Indices!K320</f>
        <v>3.0635266485512801E-2</v>
      </c>
      <c r="L317" s="6">
        <f>(Indices!L321-Indices!L320)/Indices!L320</f>
        <v>3.7613031699329308E-2</v>
      </c>
      <c r="M317" s="10">
        <f>WEEKNUM(Rend_j[[#This Row],[Date]])-1</f>
        <v>11</v>
      </c>
      <c r="N317" s="7" t="str">
        <f>TEXT(Rend_j[[#This Row],[Date]],"ddd")</f>
        <v>Wed</v>
      </c>
      <c r="O317" s="7">
        <f>MONTH(Rend_j[[#This Row],[Date]])</f>
        <v>3</v>
      </c>
      <c r="P317" s="7">
        <f>YEAR(Rend_j[[#This Row],[Date]])</f>
        <v>2022</v>
      </c>
      <c r="Q317" s="7" t="str">
        <f>Rend_j[[#This Row],[Week]]&amp;","&amp;Rend_j[[#This Row],[Year]]</f>
        <v>11,2022</v>
      </c>
      <c r="R317" s="7" t="str">
        <f>Rend_j[[#This Row],[Month]]&amp;","&amp;Rend_j[[#This Row],[Year]]</f>
        <v>3,2022</v>
      </c>
    </row>
    <row r="318" spans="1:18" x14ac:dyDescent="0.25">
      <c r="A318" s="1">
        <v>44637</v>
      </c>
      <c r="B318" s="6">
        <f>(Indices!B322-Indices!B321)/Indices!B321</f>
        <v>3.0933862166636086E-2</v>
      </c>
      <c r="C318" s="6">
        <f>(Indices!C322-Indices!C321)/Indices!C321</f>
        <v>4.7187797902763723E-3</v>
      </c>
      <c r="D318" s="6">
        <f>(Indices!D322-Indices!D321)/Indices!D321</f>
        <v>1.6328658159061982E-2</v>
      </c>
      <c r="E318" s="6">
        <f>(Indices!E322-Indices!E321)/Indices!E321</f>
        <v>2.6113007048052021E-2</v>
      </c>
      <c r="F318" s="6">
        <f>(Indices!F322-Indices!F321)/Indices!F321</f>
        <v>1.5816385050497588E-2</v>
      </c>
      <c r="G318" s="6">
        <f>(Indices!G322-Indices!G321)/Indices!G321</f>
        <v>7.0524344569287689E-3</v>
      </c>
      <c r="H318" s="6">
        <f>(Indices!H322-Indices!H321)/Indices!H321</f>
        <v>6.7708177753881453E-3</v>
      </c>
      <c r="I318" s="6">
        <f>(Indices!I322-Indices!I321)/Indices!I321</f>
        <v>1.3409148074730558E-2</v>
      </c>
      <c r="J318" s="6">
        <f>(Indices!J322-Indices!J321)/Indices!J321</f>
        <v>3.6244023809855266E-3</v>
      </c>
      <c r="K318" s="6">
        <f>(Indices!K322-Indices!K321)/Indices!K321</f>
        <v>4.5489529388170963E-3</v>
      </c>
      <c r="L318" s="6">
        <f>(Indices!L322-Indices!L321)/Indices!L321</f>
        <v>-3.6480581439002862E-3</v>
      </c>
      <c r="M318" s="10">
        <f>WEEKNUM(Rend_j[[#This Row],[Date]])-1</f>
        <v>11</v>
      </c>
      <c r="N318" s="7" t="str">
        <f>TEXT(Rend_j[[#This Row],[Date]],"ddd")</f>
        <v>Thu</v>
      </c>
      <c r="O318" s="7">
        <f>MONTH(Rend_j[[#This Row],[Date]])</f>
        <v>3</v>
      </c>
      <c r="P318" s="7">
        <f>YEAR(Rend_j[[#This Row],[Date]])</f>
        <v>2022</v>
      </c>
      <c r="Q318" s="7" t="str">
        <f>Rend_j[[#This Row],[Week]]&amp;","&amp;Rend_j[[#This Row],[Year]]</f>
        <v>11,2022</v>
      </c>
      <c r="R318" s="7" t="str">
        <f>Rend_j[[#This Row],[Month]]&amp;","&amp;Rend_j[[#This Row],[Year]]</f>
        <v>3,2022</v>
      </c>
    </row>
    <row r="319" spans="1:18" x14ac:dyDescent="0.25">
      <c r="A319" s="1">
        <v>44638</v>
      </c>
      <c r="B319" s="6">
        <f>(Indices!B323-Indices!B322)/Indices!B322</f>
        <v>5.8236492469087697E-3</v>
      </c>
      <c r="C319" s="6">
        <f>(Indices!C323-Indices!C322)/Indices!C322</f>
        <v>1.5396293066011722E-2</v>
      </c>
      <c r="D319" s="6">
        <f>(Indices!D323-Indices!D322)/Indices!D322</f>
        <v>9.0926425255519784E-3</v>
      </c>
      <c r="E319" s="6">
        <f>(Indices!E323-Indices!E322)/Indices!E322</f>
        <v>7.3582291800722115E-3</v>
      </c>
      <c r="F319" s="6">
        <f>(Indices!F323-Indices!F322)/Indices!F322</f>
        <v>5.5267990325130701E-3</v>
      </c>
      <c r="G319" s="6">
        <f>(Indices!G323-Indices!G322)/Indices!G322</f>
        <v>1.450073080112912E-2</v>
      </c>
      <c r="H319" s="6">
        <f>(Indices!H323-Indices!H322)/Indices!H322</f>
        <v>9.0197901316374264E-3</v>
      </c>
      <c r="I319" s="6">
        <f>(Indices!I323-Indices!I322)/Indices!I322</f>
        <v>1.2493923907083052E-2</v>
      </c>
      <c r="J319" s="6">
        <f>(Indices!J323-Indices!J322)/Indices!J322</f>
        <v>1.1675146504887166E-3</v>
      </c>
      <c r="K319" s="6">
        <f>(Indices!K323-Indices!K322)/Indices!K322</f>
        <v>9.1234346849749758E-3</v>
      </c>
      <c r="L319" s="6">
        <f>(Indices!L323-Indices!L322)/Indices!L322</f>
        <v>1.7396557109195449E-3</v>
      </c>
      <c r="M319" s="10">
        <f>WEEKNUM(Rend_j[[#This Row],[Date]])-1</f>
        <v>11</v>
      </c>
      <c r="N319" s="7" t="str">
        <f>TEXT(Rend_j[[#This Row],[Date]],"ddd")</f>
        <v>Fri</v>
      </c>
      <c r="O319" s="7">
        <f>MONTH(Rend_j[[#This Row],[Date]])</f>
        <v>3</v>
      </c>
      <c r="P319" s="7">
        <f>YEAR(Rend_j[[#This Row],[Date]])</f>
        <v>2022</v>
      </c>
      <c r="Q319" s="7" t="str">
        <f>Rend_j[[#This Row],[Week]]&amp;","&amp;Rend_j[[#This Row],[Year]]</f>
        <v>11,2022</v>
      </c>
      <c r="R319" s="7" t="str">
        <f>Rend_j[[#This Row],[Month]]&amp;","&amp;Rend_j[[#This Row],[Year]]</f>
        <v>3,2022</v>
      </c>
    </row>
    <row r="320" spans="1:18" x14ac:dyDescent="0.25">
      <c r="A320" s="1">
        <v>44641</v>
      </c>
      <c r="B320" s="6">
        <f>(Indices!B324-Indices!B323)/Indices!B323</f>
        <v>-8.3302320107385367E-3</v>
      </c>
      <c r="C320" s="6">
        <f>(Indices!C324-Indices!C323)/Indices!C323</f>
        <v>-2.5876382769205212E-4</v>
      </c>
      <c r="D320" s="6">
        <f>(Indices!D324-Indices!D323)/Indices!D323</f>
        <v>-3.4097529836852269E-3</v>
      </c>
      <c r="E320" s="6">
        <f>(Indices!E324-Indices!E323)/Indices!E323</f>
        <v>-6.9613007787939496E-3</v>
      </c>
      <c r="F320" s="6">
        <f>(Indices!F324-Indices!F323)/Indices!F323</f>
        <v>1.1820261109573958E-4</v>
      </c>
      <c r="G320" s="6">
        <f>(Indices!G324-Indices!G323)/Indices!G323</f>
        <v>-9.9713324192942125E-4</v>
      </c>
      <c r="H320" s="6">
        <f>(Indices!H324-Indices!H323)/Indices!H323</f>
        <v>8.7627299726532795E-3</v>
      </c>
      <c r="I320" s="6">
        <f>(Indices!I324-Indices!I323)/Indices!I323</f>
        <v>-1.7158105820446886E-3</v>
      </c>
      <c r="J320" s="6">
        <f>(Indices!J324-Indices!J323)/Indices!J323</f>
        <v>-5.7264018615672367E-3</v>
      </c>
      <c r="K320" s="6">
        <f>(Indices!K324-Indices!K323)/Indices!K323</f>
        <v>4.1795643971018811E-4</v>
      </c>
      <c r="L320" s="6">
        <f>(Indices!L324-Indices!L323)/Indices!L323</f>
        <v>-5.9751317001434743E-3</v>
      </c>
      <c r="M320" s="10">
        <f>WEEKNUM(Rend_j[[#This Row],[Date]])-1</f>
        <v>12</v>
      </c>
      <c r="N320" s="7" t="str">
        <f>TEXT(Rend_j[[#This Row],[Date]],"ddd")</f>
        <v>Mon</v>
      </c>
      <c r="O320" s="7">
        <f>MONTH(Rend_j[[#This Row],[Date]])</f>
        <v>3</v>
      </c>
      <c r="P320" s="7">
        <f>YEAR(Rend_j[[#This Row],[Date]])</f>
        <v>2022</v>
      </c>
      <c r="Q320" s="7" t="str">
        <f>Rend_j[[#This Row],[Week]]&amp;","&amp;Rend_j[[#This Row],[Year]]</f>
        <v>12,2022</v>
      </c>
      <c r="R320" s="7" t="str">
        <f>Rend_j[[#This Row],[Month]]&amp;","&amp;Rend_j[[#This Row],[Year]]</f>
        <v>3,2022</v>
      </c>
    </row>
    <row r="321" spans="1:18" x14ac:dyDescent="0.25">
      <c r="A321" s="1">
        <v>44642</v>
      </c>
      <c r="B321" s="6">
        <f>(Indices!B325-Indices!B324)/Indices!B324</f>
        <v>2.4166183861545579E-2</v>
      </c>
      <c r="C321" s="6">
        <f>(Indices!C325-Indices!C324)/Indices!C324</f>
        <v>1.2582052959658344E-2</v>
      </c>
      <c r="D321" s="6">
        <f>(Indices!D325-Indices!D324)/Indices!D324</f>
        <v>6.4728632234508088E-3</v>
      </c>
      <c r="E321" s="6">
        <f>(Indices!E325-Indices!E324)/Indices!E324</f>
        <v>1.7006871361256063E-2</v>
      </c>
      <c r="F321" s="6">
        <f>(Indices!F325-Indices!F324)/Indices!F324</f>
        <v>4.7216362035445159E-3</v>
      </c>
      <c r="G321" s="6">
        <f>(Indices!G325-Indices!G324)/Indices!G324</f>
        <v>1.3067410370261772E-2</v>
      </c>
      <c r="H321" s="6">
        <f>(Indices!H325-Indices!H324)/Indices!H324</f>
        <v>1.1961094862850593E-2</v>
      </c>
      <c r="I321" s="6">
        <f>(Indices!I325-Indices!I324)/Indices!I324</f>
        <v>1.193248721936971E-2</v>
      </c>
      <c r="J321" s="6">
        <f>(Indices!J325-Indices!J324)/Indices!J324</f>
        <v>1.1710150826015741E-2</v>
      </c>
      <c r="K321" s="6">
        <f>(Indices!K325-Indices!K324)/Indices!K324</f>
        <v>8.4874006104210496E-3</v>
      </c>
      <c r="L321" s="6">
        <f>(Indices!L325-Indices!L324)/Indices!L324</f>
        <v>1.0206657287325657E-2</v>
      </c>
      <c r="M321" s="10">
        <f>WEEKNUM(Rend_j[[#This Row],[Date]])-1</f>
        <v>12</v>
      </c>
      <c r="N321" s="7" t="str">
        <f>TEXT(Rend_j[[#This Row],[Date]],"ddd")</f>
        <v>Tue</v>
      </c>
      <c r="O321" s="7">
        <f>MONTH(Rend_j[[#This Row],[Date]])</f>
        <v>3</v>
      </c>
      <c r="P321" s="7">
        <f>YEAR(Rend_j[[#This Row],[Date]])</f>
        <v>2022</v>
      </c>
      <c r="Q321" s="7" t="str">
        <f>Rend_j[[#This Row],[Week]]&amp;","&amp;Rend_j[[#This Row],[Year]]</f>
        <v>12,2022</v>
      </c>
      <c r="R321" s="7" t="str">
        <f>Rend_j[[#This Row],[Month]]&amp;","&amp;Rend_j[[#This Row],[Year]]</f>
        <v>3,2022</v>
      </c>
    </row>
    <row r="322" spans="1:18" x14ac:dyDescent="0.25">
      <c r="A322" s="1">
        <v>44643</v>
      </c>
      <c r="B322" s="6">
        <f>(Indices!B326-Indices!B325)/Indices!B325</f>
        <v>1.0438549032288783E-2</v>
      </c>
      <c r="C322" s="6">
        <f>(Indices!C326-Indices!C325)/Indices!C325</f>
        <v>-7.2211137698189824E-3</v>
      </c>
      <c r="D322" s="6">
        <f>(Indices!D326-Indices!D325)/Indices!D325</f>
        <v>8.1781597896639392E-3</v>
      </c>
      <c r="E322" s="6">
        <f>(Indices!E326-Indices!E325)/Indices!E325</f>
        <v>1.0109879207282201E-2</v>
      </c>
      <c r="F322" s="6">
        <f>(Indices!F326-Indices!F325)/Indices!F325</f>
        <v>2.3226679214209997E-2</v>
      </c>
      <c r="G322" s="6">
        <f>(Indices!G326-Indices!G325)/Indices!G325</f>
        <v>-5.3174726791297075E-3</v>
      </c>
      <c r="H322" s="6">
        <f>(Indices!H326-Indices!H325)/Indices!H325</f>
        <v>-3.3029918961477332E-3</v>
      </c>
      <c r="I322" s="6">
        <f>(Indices!I326-Indices!I325)/Indices!I325</f>
        <v>-1.2774019467205815E-2</v>
      </c>
      <c r="J322" s="6">
        <f>(Indices!J326-Indices!J325)/Indices!J325</f>
        <v>-1.1709742781009157E-2</v>
      </c>
      <c r="K322" s="6">
        <f>(Indices!K326-Indices!K325)/Indices!K325</f>
        <v>-1.007302967499879E-2</v>
      </c>
      <c r="L322" s="6">
        <f>(Indices!L326-Indices!L325)/Indices!L325</f>
        <v>-1.309660665096021E-2</v>
      </c>
      <c r="M322" s="10">
        <f>WEEKNUM(Rend_j[[#This Row],[Date]])-1</f>
        <v>12</v>
      </c>
      <c r="N322" s="7" t="str">
        <f>TEXT(Rend_j[[#This Row],[Date]],"ddd")</f>
        <v>Wed</v>
      </c>
      <c r="O322" s="7">
        <f>MONTH(Rend_j[[#This Row],[Date]])</f>
        <v>3</v>
      </c>
      <c r="P322" s="7">
        <f>YEAR(Rend_j[[#This Row],[Date]])</f>
        <v>2022</v>
      </c>
      <c r="Q322" s="7" t="str">
        <f>Rend_j[[#This Row],[Week]]&amp;","&amp;Rend_j[[#This Row],[Year]]</f>
        <v>12,2022</v>
      </c>
      <c r="R322" s="7" t="str">
        <f>Rend_j[[#This Row],[Month]]&amp;","&amp;Rend_j[[#This Row],[Year]]</f>
        <v>3,2022</v>
      </c>
    </row>
    <row r="323" spans="1:18" x14ac:dyDescent="0.25">
      <c r="A323" s="1">
        <v>44644</v>
      </c>
      <c r="B323" s="6">
        <f>(Indices!B327-Indices!B326)/Indices!B326</f>
        <v>-1.142174362137463E-2</v>
      </c>
      <c r="C323" s="6">
        <f>(Indices!C327-Indices!C326)/Indices!C326</f>
        <v>8.9686740094408468E-3</v>
      </c>
      <c r="D323" s="6">
        <f>(Indices!D327-Indices!D326)/Indices!D326</f>
        <v>1.2277569371860384E-3</v>
      </c>
      <c r="E323" s="6">
        <f>(Indices!E327-Indices!E326)/Indices!E326</f>
        <v>-3.8502526728316144E-3</v>
      </c>
      <c r="F323" s="6">
        <f>(Indices!F327-Indices!F326)/Indices!F326</f>
        <v>-6.6103731124511015E-3</v>
      </c>
      <c r="G323" s="6">
        <f>(Indices!G327-Indices!G326)/Indices!G326</f>
        <v>7.5381550820639003E-3</v>
      </c>
      <c r="H323" s="6">
        <f>(Indices!H327-Indices!H326)/Indices!H326</f>
        <v>-1.0693229547994701E-3</v>
      </c>
      <c r="I323" s="6">
        <f>(Indices!I327-Indices!I326)/Indices!I326</f>
        <v>1.4095265723261179E-2</v>
      </c>
      <c r="J323" s="6">
        <f>(Indices!J327-Indices!J326)/Indices!J326</f>
        <v>-3.8988723292351945E-3</v>
      </c>
      <c r="K323" s="6">
        <f>(Indices!K327-Indices!K326)/Indices!K326</f>
        <v>-2.1143801116983016E-3</v>
      </c>
      <c r="L323" s="6">
        <f>(Indices!L327-Indices!L326)/Indices!L326</f>
        <v>-6.9032423300587618E-4</v>
      </c>
      <c r="M323" s="10">
        <f>WEEKNUM(Rend_j[[#This Row],[Date]])-1</f>
        <v>12</v>
      </c>
      <c r="N323" s="7" t="str">
        <f>TEXT(Rend_j[[#This Row],[Date]],"ddd")</f>
        <v>Thu</v>
      </c>
      <c r="O323" s="7">
        <f>MONTH(Rend_j[[#This Row],[Date]])</f>
        <v>3</v>
      </c>
      <c r="P323" s="7">
        <f>YEAR(Rend_j[[#This Row],[Date]])</f>
        <v>2022</v>
      </c>
      <c r="Q323" s="7" t="str">
        <f>Rend_j[[#This Row],[Week]]&amp;","&amp;Rend_j[[#This Row],[Year]]</f>
        <v>12,2022</v>
      </c>
      <c r="R323" s="7" t="str">
        <f>Rend_j[[#This Row],[Month]]&amp;","&amp;Rend_j[[#This Row],[Year]]</f>
        <v>3,2022</v>
      </c>
    </row>
    <row r="324" spans="1:18" x14ac:dyDescent="0.25">
      <c r="A324" s="1">
        <v>44645</v>
      </c>
      <c r="B324" s="6">
        <f>(Indices!B328-Indices!B327)/Indices!B327</f>
        <v>-2.4992533985064829E-2</v>
      </c>
      <c r="C324" s="6">
        <f>(Indices!C328-Indices!C327)/Indices!C327</f>
        <v>4.6075109516989466E-3</v>
      </c>
      <c r="D324" s="6">
        <f>(Indices!D328-Indices!D327)/Indices!D327</f>
        <v>1.9184553587064373E-3</v>
      </c>
      <c r="E324" s="6">
        <f>(Indices!E328-Indices!E327)/Indices!E327</f>
        <v>-8.4303314451363298E-3</v>
      </c>
      <c r="F324" s="6">
        <f>(Indices!F328-Indices!F327)/Indices!F327</f>
        <v>1.9500170698824638E-3</v>
      </c>
      <c r="G324" s="6">
        <f>(Indices!G328-Indices!G327)/Indices!G327</f>
        <v>3.1698069562263375E-3</v>
      </c>
      <c r="H324" s="6">
        <f>(Indices!H328-Indices!H327)/Indices!H327</f>
        <v>5.6416537278312709E-3</v>
      </c>
      <c r="I324" s="6">
        <f>(Indices!I328-Indices!I327)/Indices!I327</f>
        <v>3.9036450890200941E-3</v>
      </c>
      <c r="J324" s="6">
        <f>(Indices!J328-Indices!J327)/Indices!J327</f>
        <v>-3.1877933387298486E-4</v>
      </c>
      <c r="K324" s="6">
        <f>(Indices!K328-Indices!K327)/Indices!K327</f>
        <v>1.059396986302846E-3</v>
      </c>
      <c r="L324" s="6">
        <f>(Indices!L328-Indices!L327)/Indices!L327</f>
        <v>2.2397506135658912E-3</v>
      </c>
      <c r="M324" s="10">
        <f>WEEKNUM(Rend_j[[#This Row],[Date]])-1</f>
        <v>12</v>
      </c>
      <c r="N324" s="7" t="str">
        <f>TEXT(Rend_j[[#This Row],[Date]],"ddd")</f>
        <v>Fri</v>
      </c>
      <c r="O324" s="7">
        <f>MONTH(Rend_j[[#This Row],[Date]])</f>
        <v>3</v>
      </c>
      <c r="P324" s="7">
        <f>YEAR(Rend_j[[#This Row],[Date]])</f>
        <v>2022</v>
      </c>
      <c r="Q324" s="7" t="str">
        <f>Rend_j[[#This Row],[Week]]&amp;","&amp;Rend_j[[#This Row],[Year]]</f>
        <v>12,2022</v>
      </c>
      <c r="R324" s="7" t="str">
        <f>Rend_j[[#This Row],[Month]]&amp;","&amp;Rend_j[[#This Row],[Year]]</f>
        <v>3,2022</v>
      </c>
    </row>
    <row r="325" spans="1:18" x14ac:dyDescent="0.25">
      <c r="A325" s="1">
        <v>44648</v>
      </c>
      <c r="B325" s="6">
        <f>(Indices!B329-Indices!B328)/Indices!B328</f>
        <v>6.0945609600803691E-3</v>
      </c>
      <c r="C325" s="6">
        <f>(Indices!C329-Indices!C328)/Indices!C328</f>
        <v>5.4789591036098241E-3</v>
      </c>
      <c r="D325" s="6">
        <f>(Indices!D329-Indices!D328)/Indices!D328</f>
        <v>-4.3525586864661984E-3</v>
      </c>
      <c r="E325" s="6">
        <f>(Indices!E329-Indices!E328)/Indices!E328</f>
        <v>1.195749991299103E-3</v>
      </c>
      <c r="F325" s="6">
        <f>(Indices!F329-Indices!F328)/Indices!F328</f>
        <v>-1.5096213818753056E-2</v>
      </c>
      <c r="G325" s="6">
        <f>(Indices!G329-Indices!G328)/Indices!G328</f>
        <v>5.0081066474508603E-3</v>
      </c>
      <c r="H325" s="6">
        <f>(Indices!H329-Indices!H328)/Indices!H328</f>
        <v>-8.3910316653560673E-3</v>
      </c>
      <c r="I325" s="6">
        <f>(Indices!I329-Indices!I328)/Indices!I328</f>
        <v>6.9064723062897838E-3</v>
      </c>
      <c r="J325" s="6">
        <f>(Indices!J329-Indices!J328)/Indices!J328</f>
        <v>5.4060750675239896E-3</v>
      </c>
      <c r="K325" s="6">
        <f>(Indices!K329-Indices!K328)/Indices!K328</f>
        <v>1.3670488731222241E-3</v>
      </c>
      <c r="L325" s="6">
        <f>(Indices!L329-Indices!L328)/Indices!L328</f>
        <v>7.8017771718809602E-3</v>
      </c>
      <c r="M325" s="10">
        <f>WEEKNUM(Rend_j[[#This Row],[Date]])-1</f>
        <v>13</v>
      </c>
      <c r="N325" s="7" t="str">
        <f>TEXT(Rend_j[[#This Row],[Date]],"ddd")</f>
        <v>Mon</v>
      </c>
      <c r="O325" s="7">
        <f>MONTH(Rend_j[[#This Row],[Date]])</f>
        <v>3</v>
      </c>
      <c r="P325" s="7">
        <f>YEAR(Rend_j[[#This Row],[Date]])</f>
        <v>2022</v>
      </c>
      <c r="Q325" s="7" t="str">
        <f>Rend_j[[#This Row],[Week]]&amp;","&amp;Rend_j[[#This Row],[Year]]</f>
        <v>13,2022</v>
      </c>
      <c r="R325" s="7" t="str">
        <f>Rend_j[[#This Row],[Month]]&amp;","&amp;Rend_j[[#This Row],[Year]]</f>
        <v>3,2022</v>
      </c>
    </row>
    <row r="326" spans="1:18" x14ac:dyDescent="0.25">
      <c r="A326" s="1">
        <v>44649</v>
      </c>
      <c r="B326" s="6">
        <f>(Indices!B330-Indices!B329)/Indices!B329</f>
        <v>-5.2501963679716353E-3</v>
      </c>
      <c r="C326" s="6">
        <f>(Indices!C330-Indices!C329)/Indices!C329</f>
        <v>3.8912144167916511E-3</v>
      </c>
      <c r="D326" s="6">
        <f>(Indices!D330-Indices!D329)/Indices!D329</f>
        <v>-3.6153253528978537E-3</v>
      </c>
      <c r="E326" s="6">
        <f>(Indices!E330-Indices!E329)/Indices!E329</f>
        <v>-1.7604453504627146E-3</v>
      </c>
      <c r="F326" s="6">
        <f>(Indices!F330-Indices!F329)/Indices!F329</f>
        <v>4.9841094862262333E-3</v>
      </c>
      <c r="G326" s="6">
        <f>(Indices!G330-Indices!G329)/Indices!G329</f>
        <v>3.2766903276689871E-3</v>
      </c>
      <c r="H326" s="6">
        <f>(Indices!H330-Indices!H329)/Indices!H329</f>
        <v>-8.4136823883256082E-4</v>
      </c>
      <c r="I326" s="6">
        <f>(Indices!I330-Indices!I329)/Indices!I329</f>
        <v>1.4626379822844779E-2</v>
      </c>
      <c r="J326" s="6">
        <f>(Indices!J330-Indices!J329)/Indices!J329</f>
        <v>3.0816043019739864E-2</v>
      </c>
      <c r="K326" s="6">
        <f>(Indices!K330-Indices!K329)/Indices!K329</f>
        <v>1.7438366191737106E-2</v>
      </c>
      <c r="L326" s="6">
        <f>(Indices!L330-Indices!L329)/Indices!L329</f>
        <v>2.7949616098223617E-2</v>
      </c>
      <c r="M326" s="10">
        <f>WEEKNUM(Rend_j[[#This Row],[Date]])-1</f>
        <v>13</v>
      </c>
      <c r="N326" s="7" t="str">
        <f>TEXT(Rend_j[[#This Row],[Date]],"ddd")</f>
        <v>Tue</v>
      </c>
      <c r="O326" s="7">
        <f>MONTH(Rend_j[[#This Row],[Date]])</f>
        <v>3</v>
      </c>
      <c r="P326" s="7">
        <f>YEAR(Rend_j[[#This Row],[Date]])</f>
        <v>2022</v>
      </c>
      <c r="Q326" s="7" t="str">
        <f>Rend_j[[#This Row],[Week]]&amp;","&amp;Rend_j[[#This Row],[Year]]</f>
        <v>13,2022</v>
      </c>
      <c r="R326" s="7" t="str">
        <f>Rend_j[[#This Row],[Month]]&amp;","&amp;Rend_j[[#This Row],[Year]]</f>
        <v>3,2022</v>
      </c>
    </row>
    <row r="327" spans="1:18" x14ac:dyDescent="0.25">
      <c r="A327" s="1">
        <v>44650</v>
      </c>
      <c r="B327" s="6">
        <f>(Indices!B331-Indices!B330)/Indices!B330</f>
        <v>1.5567835817388681E-2</v>
      </c>
      <c r="C327" s="6">
        <f>(Indices!C331-Indices!C330)/Indices!C330</f>
        <v>-1.0073048827374104E-2</v>
      </c>
      <c r="D327" s="6">
        <f>(Indices!D331-Indices!D330)/Indices!D330</f>
        <v>4.1334837702206402E-3</v>
      </c>
      <c r="E327" s="6">
        <f>(Indices!E331-Indices!E330)/Indices!E330</f>
        <v>5.6936049548542257E-3</v>
      </c>
      <c r="F327" s="6">
        <f>(Indices!F331-Indices!F330)/Indices!F330</f>
        <v>-1.2357636295743064E-2</v>
      </c>
      <c r="G327" s="6">
        <f>(Indices!G331-Indices!G330)/Indices!G330</f>
        <v>-8.3650760753821926E-3</v>
      </c>
      <c r="H327" s="6">
        <f>(Indices!H331-Indices!H330)/Indices!H330</f>
        <v>4.4426807077316503E-3</v>
      </c>
      <c r="I327" s="6">
        <f>(Indices!I331-Indices!I330)/Indices!I330</f>
        <v>-8.1355289213102654E-3</v>
      </c>
      <c r="J327" s="6">
        <f>(Indices!J331-Indices!J330)/Indices!J330</f>
        <v>-7.4453945193455814E-3</v>
      </c>
      <c r="K327" s="6">
        <f>(Indices!K331-Indices!K330)/Indices!K330</f>
        <v>-4.1117401727952417E-3</v>
      </c>
      <c r="L327" s="6">
        <f>(Indices!L331-Indices!L330)/Indices!L330</f>
        <v>-1.4458535595585013E-2</v>
      </c>
      <c r="M327" s="10">
        <f>WEEKNUM(Rend_j[[#This Row],[Date]])-1</f>
        <v>13</v>
      </c>
      <c r="N327" s="7" t="str">
        <f>TEXT(Rend_j[[#This Row],[Date]],"ddd")</f>
        <v>Wed</v>
      </c>
      <c r="O327" s="7">
        <f>MONTH(Rend_j[[#This Row],[Date]])</f>
        <v>3</v>
      </c>
      <c r="P327" s="7">
        <f>YEAR(Rend_j[[#This Row],[Date]])</f>
        <v>2022</v>
      </c>
      <c r="Q327" s="7" t="str">
        <f>Rend_j[[#This Row],[Week]]&amp;","&amp;Rend_j[[#This Row],[Year]]</f>
        <v>13,2022</v>
      </c>
      <c r="R327" s="7" t="str">
        <f>Rend_j[[#This Row],[Month]]&amp;","&amp;Rend_j[[#This Row],[Year]]</f>
        <v>3,2022</v>
      </c>
    </row>
    <row r="328" spans="1:18" x14ac:dyDescent="0.25">
      <c r="A328" s="1">
        <v>44651</v>
      </c>
      <c r="B328" s="6">
        <f>(Indices!B332-Indices!B331)/Indices!B331</f>
        <v>-1.0159481193747879E-2</v>
      </c>
      <c r="C328" s="6">
        <f>(Indices!C332-Indices!C331)/Indices!C331</f>
        <v>-1.0712217718587116E-2</v>
      </c>
      <c r="D328" s="6">
        <f>(Indices!D332-Indices!D331)/Indices!D331</f>
        <v>1.7677967556350132E-3</v>
      </c>
      <c r="E328" s="6">
        <f>(Indices!E332-Indices!E331)/Indices!E331</f>
        <v>-3.1460307331586971E-3</v>
      </c>
      <c r="F328" s="6">
        <f>(Indices!F332-Indices!F331)/Indices!F331</f>
        <v>-1.2760376667415444E-3</v>
      </c>
      <c r="G328" s="6">
        <f>(Indices!G332-Indices!G331)/Indices!G331</f>
        <v>-9.8806182052731291E-3</v>
      </c>
      <c r="H328" s="6">
        <f>(Indices!H332-Indices!H331)/Indices!H331</f>
        <v>-5.3866538183571346E-3</v>
      </c>
      <c r="I328" s="6">
        <f>(Indices!I332-Indices!I331)/Indices!I331</f>
        <v>-1.5236977215830094E-2</v>
      </c>
      <c r="J328" s="6">
        <f>(Indices!J332-Indices!J331)/Indices!J331</f>
        <v>-1.212172927914475E-2</v>
      </c>
      <c r="K328" s="6">
        <f>(Indices!K332-Indices!K331)/Indices!K331</f>
        <v>-9.4091939876607706E-3</v>
      </c>
      <c r="L328" s="6">
        <f>(Indices!L332-Indices!L331)/Indices!L331</f>
        <v>-1.3097299577126419E-2</v>
      </c>
      <c r="M328" s="10">
        <f>WEEKNUM(Rend_j[[#This Row],[Date]])-1</f>
        <v>13</v>
      </c>
      <c r="N328" s="7" t="str">
        <f>TEXT(Rend_j[[#This Row],[Date]],"ddd")</f>
        <v>Thu</v>
      </c>
      <c r="O328" s="7">
        <f>MONTH(Rend_j[[#This Row],[Date]])</f>
        <v>3</v>
      </c>
      <c r="P328" s="7">
        <f>YEAR(Rend_j[[#This Row],[Date]])</f>
        <v>2022</v>
      </c>
      <c r="Q328" s="7" t="str">
        <f>Rend_j[[#This Row],[Week]]&amp;","&amp;Rend_j[[#This Row],[Year]]</f>
        <v>13,2022</v>
      </c>
      <c r="R328" s="7" t="str">
        <f>Rend_j[[#This Row],[Month]]&amp;","&amp;Rend_j[[#This Row],[Year]]</f>
        <v>3,2022</v>
      </c>
    </row>
    <row r="329" spans="1:18" x14ac:dyDescent="0.25">
      <c r="A329" s="1">
        <v>44652</v>
      </c>
      <c r="B329" s="6">
        <f>(Indices!B333-Indices!B332)/Indices!B332</f>
        <v>1.7577715316524686E-2</v>
      </c>
      <c r="C329" s="6">
        <f>(Indices!C333-Indices!C332)/Indices!C332</f>
        <v>9.4755776354953081E-3</v>
      </c>
      <c r="D329" s="6">
        <f>(Indices!D333-Indices!D332)/Indices!D332</f>
        <v>9.2924348141560729E-3</v>
      </c>
      <c r="E329" s="6">
        <f>(Indices!E333-Indices!E332)/Indices!E332</f>
        <v>1.1740566236691926E-2</v>
      </c>
      <c r="F329" s="6">
        <f>(Indices!F333-Indices!F332)/Indices!F332</f>
        <v>-5.6016278436986288E-3</v>
      </c>
      <c r="G329" s="6">
        <f>(Indices!G333-Indices!G332)/Indices!G332</f>
        <v>9.7244614606343781E-3</v>
      </c>
      <c r="H329" s="6">
        <f>(Indices!H333-Indices!H332)/Indices!H332</f>
        <v>7.0919237327546052E-3</v>
      </c>
      <c r="I329" s="6">
        <f>(Indices!I333-Indices!I332)/Indices!I332</f>
        <v>4.3081043124057524E-3</v>
      </c>
      <c r="J329" s="6">
        <f>(Indices!J333-Indices!J332)/Indices!J332</f>
        <v>3.6697325279083925E-3</v>
      </c>
      <c r="K329" s="6">
        <f>(Indices!K333-Indices!K332)/Indices!K332</f>
        <v>5.4402910577904537E-3</v>
      </c>
      <c r="L329" s="6">
        <f>(Indices!L333-Indices!L332)/Indices!L332</f>
        <v>2.2012501083959433E-3</v>
      </c>
      <c r="M329" s="10">
        <f>WEEKNUM(Rend_j[[#This Row],[Date]])-1</f>
        <v>13</v>
      </c>
      <c r="N329" s="7" t="str">
        <f>TEXT(Rend_j[[#This Row],[Date]],"ddd")</f>
        <v>Fri</v>
      </c>
      <c r="O329" s="7">
        <f>MONTH(Rend_j[[#This Row],[Date]])</f>
        <v>4</v>
      </c>
      <c r="P329" s="7">
        <f>YEAR(Rend_j[[#This Row],[Date]])</f>
        <v>2022</v>
      </c>
      <c r="Q329" s="7" t="str">
        <f>Rend_j[[#This Row],[Week]]&amp;","&amp;Rend_j[[#This Row],[Year]]</f>
        <v>13,2022</v>
      </c>
      <c r="R329" s="7" t="str">
        <f>Rend_j[[#This Row],[Month]]&amp;","&amp;Rend_j[[#This Row],[Year]]</f>
        <v>4,2022</v>
      </c>
    </row>
    <row r="330" spans="1:18" x14ac:dyDescent="0.25">
      <c r="A330" s="1">
        <v>44655</v>
      </c>
      <c r="B330" s="6">
        <f>(Indices!B334-Indices!B333)/Indices!B333</f>
        <v>2.1831417263475254E-2</v>
      </c>
      <c r="C330" s="6">
        <f>(Indices!C334-Indices!C333)/Indices!C333</f>
        <v>1.1621041615844619E-2</v>
      </c>
      <c r="D330" s="6">
        <f>(Indices!D334-Indices!D333)/Indices!D333</f>
        <v>1.0002850030990129E-2</v>
      </c>
      <c r="E330" s="6">
        <f>(Indices!E334-Indices!E333)/Indices!E333</f>
        <v>1.7475151981833238E-2</v>
      </c>
      <c r="F330" s="6">
        <f>(Indices!F334-Indices!F333)/Indices!F333</f>
        <v>8.9762121455467803E-3</v>
      </c>
      <c r="G330" s="6">
        <f>(Indices!G334-Indices!G333)/Indices!G333</f>
        <v>1.2269186823960224E-2</v>
      </c>
      <c r="H330" s="6">
        <f>(Indices!H334-Indices!H333)/Indices!H333</f>
        <v>6.3012275368453568E-3</v>
      </c>
      <c r="I330" s="6">
        <f>(Indices!I334-Indices!I333)/Indices!I333</f>
        <v>8.0578377645767855E-3</v>
      </c>
      <c r="J330" s="6">
        <f>(Indices!J334-Indices!J333)/Indices!J333</f>
        <v>7.0403762818627234E-3</v>
      </c>
      <c r="K330" s="6">
        <f>(Indices!K334-Indices!K333)/Indices!K333</f>
        <v>8.3998909839847532E-3</v>
      </c>
      <c r="L330" s="6">
        <f>(Indices!L334-Indices!L333)/Indices!L333</f>
        <v>4.9617406917104303E-3</v>
      </c>
      <c r="M330" s="10">
        <f>WEEKNUM(Rend_j[[#This Row],[Date]])-1</f>
        <v>14</v>
      </c>
      <c r="N330" s="7" t="str">
        <f>TEXT(Rend_j[[#This Row],[Date]],"ddd")</f>
        <v>Mon</v>
      </c>
      <c r="O330" s="7">
        <f>MONTH(Rend_j[[#This Row],[Date]])</f>
        <v>4</v>
      </c>
      <c r="P330" s="7">
        <f>YEAR(Rend_j[[#This Row],[Date]])</f>
        <v>2022</v>
      </c>
      <c r="Q330" s="7" t="str">
        <f>Rend_j[[#This Row],[Week]]&amp;","&amp;Rend_j[[#This Row],[Year]]</f>
        <v>14,2022</v>
      </c>
      <c r="R330" s="7" t="str">
        <f>Rend_j[[#This Row],[Month]]&amp;","&amp;Rend_j[[#This Row],[Year]]</f>
        <v>4,2022</v>
      </c>
    </row>
    <row r="331" spans="1:18" x14ac:dyDescent="0.25">
      <c r="A331" s="1">
        <v>44656</v>
      </c>
      <c r="B331" s="6">
        <f>(Indices!B335-Indices!B334)/Indices!B334</f>
        <v>2.2858947727592616E-3</v>
      </c>
      <c r="C331" s="6">
        <f>(Indices!C335-Indices!C334)/Indices!C334</f>
        <v>-5.1339223306401532E-3</v>
      </c>
      <c r="D331" s="6">
        <f>(Indices!D335-Indices!D334)/Indices!D334</f>
        <v>1.4240489613668154E-3</v>
      </c>
      <c r="E331" s="6">
        <f>(Indices!E335-Indices!E334)/Indices!E334</f>
        <v>1.0677142960437702E-3</v>
      </c>
      <c r="F331" s="6">
        <f>(Indices!F335-Indices!F334)/Indices!F334</f>
        <v>-2.1164956962622856E-3</v>
      </c>
      <c r="G331" s="6">
        <f>(Indices!G335-Indices!G334)/Indices!G334</f>
        <v>-4.4472613202205004E-3</v>
      </c>
      <c r="H331" s="6">
        <f>(Indices!H335-Indices!H334)/Indices!H334</f>
        <v>1.4884850338900435E-2</v>
      </c>
      <c r="I331" s="6">
        <f>(Indices!I335-Indices!I334)/Indices!I334</f>
        <v>-1.4410042614431606E-2</v>
      </c>
      <c r="J331" s="6">
        <f>(Indices!J335-Indices!J334)/Indices!J334</f>
        <v>-1.2755256286259004E-2</v>
      </c>
      <c r="K331" s="6">
        <f>(Indices!K335-Indices!K334)/Indices!K334</f>
        <v>1.9039896929661036E-3</v>
      </c>
      <c r="L331" s="6">
        <f>(Indices!L335-Indices!L334)/Indices!L334</f>
        <v>-6.4608606714804707E-3</v>
      </c>
      <c r="M331" s="10">
        <f>WEEKNUM(Rend_j[[#This Row],[Date]])-1</f>
        <v>14</v>
      </c>
      <c r="N331" s="7" t="str">
        <f>TEXT(Rend_j[[#This Row],[Date]],"ddd")</f>
        <v>Tue</v>
      </c>
      <c r="O331" s="7">
        <f>MONTH(Rend_j[[#This Row],[Date]])</f>
        <v>4</v>
      </c>
      <c r="P331" s="7">
        <f>YEAR(Rend_j[[#This Row],[Date]])</f>
        <v>2022</v>
      </c>
      <c r="Q331" s="7" t="str">
        <f>Rend_j[[#This Row],[Week]]&amp;","&amp;Rend_j[[#This Row],[Year]]</f>
        <v>14,2022</v>
      </c>
      <c r="R331" s="7" t="str">
        <f>Rend_j[[#This Row],[Month]]&amp;","&amp;Rend_j[[#This Row],[Year]]</f>
        <v>4,2022</v>
      </c>
    </row>
    <row r="332" spans="1:18" x14ac:dyDescent="0.25">
      <c r="A332" s="1">
        <v>44657</v>
      </c>
      <c r="B332" s="6">
        <f>(Indices!B336-Indices!B335)/Indices!B335</f>
        <v>-1.2814983413400675E-2</v>
      </c>
      <c r="C332" s="6">
        <f>(Indices!C336-Indices!C335)/Indices!C335</f>
        <v>-1.0468371816894693E-2</v>
      </c>
      <c r="D332" s="6">
        <f>(Indices!D336-Indices!D335)/Indices!D335</f>
        <v>-7.0430740097112716E-3</v>
      </c>
      <c r="E332" s="6">
        <f>(Indices!E336-Indices!E335)/Indices!E335</f>
        <v>-1.0600749251230342E-2</v>
      </c>
      <c r="F332" s="6">
        <f>(Indices!F336-Indices!F335)/Indices!F335</f>
        <v>-1.4911881650232488E-2</v>
      </c>
      <c r="G332" s="6">
        <f>(Indices!G336-Indices!G335)/Indices!G335</f>
        <v>-1.047933103956397E-2</v>
      </c>
      <c r="H332" s="6">
        <f>(Indices!H336-Indices!H335)/Indices!H335</f>
        <v>-3.1556141672945907E-3</v>
      </c>
      <c r="I332" s="6">
        <f>(Indices!I336-Indices!I335)/Indices!I335</f>
        <v>-1.0972472395828334E-2</v>
      </c>
      <c r="J332" s="6">
        <f>(Indices!J336-Indices!J335)/Indices!J335</f>
        <v>-2.2071999465029479E-2</v>
      </c>
      <c r="K332" s="6">
        <f>(Indices!K336-Indices!K335)/Indices!K335</f>
        <v>-1.5332467861603378E-2</v>
      </c>
      <c r="L332" s="6">
        <f>(Indices!L336-Indices!L335)/Indices!L335</f>
        <v>-1.8903432345268624E-2</v>
      </c>
      <c r="M332" s="10">
        <f>WEEKNUM(Rend_j[[#This Row],[Date]])-1</f>
        <v>14</v>
      </c>
      <c r="N332" s="7" t="str">
        <f>TEXT(Rend_j[[#This Row],[Date]],"ddd")</f>
        <v>Wed</v>
      </c>
      <c r="O332" s="7">
        <f>MONTH(Rend_j[[#This Row],[Date]])</f>
        <v>4</v>
      </c>
      <c r="P332" s="7">
        <f>YEAR(Rend_j[[#This Row],[Date]])</f>
        <v>2022</v>
      </c>
      <c r="Q332" s="7" t="str">
        <f>Rend_j[[#This Row],[Week]]&amp;","&amp;Rend_j[[#This Row],[Year]]</f>
        <v>14,2022</v>
      </c>
      <c r="R332" s="7" t="str">
        <f>Rend_j[[#This Row],[Month]]&amp;","&amp;Rend_j[[#This Row],[Year]]</f>
        <v>4,2022</v>
      </c>
    </row>
    <row r="333" spans="1:18" x14ac:dyDescent="0.25">
      <c r="A333" s="1">
        <v>44658</v>
      </c>
      <c r="B333" s="6">
        <f>(Indices!B337-Indices!B336)/Indices!B336</f>
        <v>-1.661084798314864E-2</v>
      </c>
      <c r="C333" s="6">
        <f>(Indices!C337-Indices!C336)/Indices!C336</f>
        <v>1.3454650019346375E-3</v>
      </c>
      <c r="D333" s="6">
        <f>(Indices!D337-Indices!D336)/Indices!D336</f>
        <v>-1.1133914597964581E-2</v>
      </c>
      <c r="E333" s="6">
        <f>(Indices!E337-Indices!E336)/Indices!E336</f>
        <v>-1.3668495784107408E-2</v>
      </c>
      <c r="F333" s="6">
        <f>(Indices!F337-Indices!F336)/Indices!F336</f>
        <v>-1.5773343648980104E-2</v>
      </c>
      <c r="G333" s="6">
        <f>(Indices!G337-Indices!G336)/Indices!G336</f>
        <v>-3.3614295834725279E-4</v>
      </c>
      <c r="H333" s="6">
        <f>(Indices!H337-Indices!H336)/Indices!H336</f>
        <v>-5.4618473895582604E-3</v>
      </c>
      <c r="I333" s="6">
        <f>(Indices!I337-Indices!I336)/Indices!I336</f>
        <v>3.1913054541547674E-3</v>
      </c>
      <c r="J333" s="6">
        <f>(Indices!J337-Indices!J336)/Indices!J336</f>
        <v>-5.7163984215806594E-3</v>
      </c>
      <c r="K333" s="6">
        <f>(Indices!K337-Indices!K336)/Indices!K336</f>
        <v>-2.0834967167061833E-3</v>
      </c>
      <c r="L333" s="6">
        <f>(Indices!L337-Indices!L336)/Indices!L336</f>
        <v>-5.1965551651768187E-3</v>
      </c>
      <c r="M333" s="10">
        <f>WEEKNUM(Rend_j[[#This Row],[Date]])-1</f>
        <v>14</v>
      </c>
      <c r="N333" s="7" t="str">
        <f>TEXT(Rend_j[[#This Row],[Date]],"ddd")</f>
        <v>Thu</v>
      </c>
      <c r="O333" s="7">
        <f>MONTH(Rend_j[[#This Row],[Date]])</f>
        <v>4</v>
      </c>
      <c r="P333" s="7">
        <f>YEAR(Rend_j[[#This Row],[Date]])</f>
        <v>2022</v>
      </c>
      <c r="Q333" s="7" t="str">
        <f>Rend_j[[#This Row],[Week]]&amp;","&amp;Rend_j[[#This Row],[Year]]</f>
        <v>14,2022</v>
      </c>
      <c r="R333" s="7" t="str">
        <f>Rend_j[[#This Row],[Month]]&amp;","&amp;Rend_j[[#This Row],[Year]]</f>
        <v>4,2022</v>
      </c>
    </row>
    <row r="334" spans="1:18" x14ac:dyDescent="0.25">
      <c r="A334" s="1">
        <v>44659</v>
      </c>
      <c r="B334" s="6">
        <f>(Indices!B338-Indices!B337)/Indices!B337</f>
        <v>4.6934896539848701E-3</v>
      </c>
      <c r="C334" s="6">
        <f>(Indices!C338-Indices!C337)/Indices!C337</f>
        <v>2.8681230633966024E-3</v>
      </c>
      <c r="D334" s="6">
        <f>(Indices!D338-Indices!D337)/Indices!D337</f>
        <v>6.4265722695723785E-3</v>
      </c>
      <c r="E334" s="6">
        <f>(Indices!E338-Indices!E337)/Indices!E337</f>
        <v>5.1587849840129679E-3</v>
      </c>
      <c r="F334" s="6">
        <f>(Indices!F338-Indices!F337)/Indices!F337</f>
        <v>1.3223080063617821E-3</v>
      </c>
      <c r="G334" s="6">
        <f>(Indices!G338-Indices!G337)/Indices!G337</f>
        <v>3.1203109463979013E-3</v>
      </c>
      <c r="H334" s="6">
        <f>(Indices!H338-Indices!H337)/Indices!H337</f>
        <v>1.4869782511615512E-2</v>
      </c>
      <c r="I334" s="6">
        <f>(Indices!I338-Indices!I337)/Indices!I337</f>
        <v>-3.3597367876959006E-3</v>
      </c>
      <c r="J334" s="6">
        <f>(Indices!J338-Indices!J337)/Indices!J337</f>
        <v>1.3392807542754563E-2</v>
      </c>
      <c r="K334" s="6">
        <f>(Indices!K338-Indices!K337)/Indices!K337</f>
        <v>1.3076374980968176E-2</v>
      </c>
      <c r="L334" s="6">
        <f>(Indices!L338-Indices!L337)/Indices!L337</f>
        <v>1.459847524757118E-2</v>
      </c>
      <c r="M334" s="10">
        <f>WEEKNUM(Rend_j[[#This Row],[Date]])-1</f>
        <v>14</v>
      </c>
      <c r="N334" s="7" t="str">
        <f>TEXT(Rend_j[[#This Row],[Date]],"ddd")</f>
        <v>Fri</v>
      </c>
      <c r="O334" s="7">
        <f>MONTH(Rend_j[[#This Row],[Date]])</f>
        <v>4</v>
      </c>
      <c r="P334" s="7">
        <f>YEAR(Rend_j[[#This Row],[Date]])</f>
        <v>2022</v>
      </c>
      <c r="Q334" s="7" t="str">
        <f>Rend_j[[#This Row],[Week]]&amp;","&amp;Rend_j[[#This Row],[Year]]</f>
        <v>14,2022</v>
      </c>
      <c r="R334" s="7" t="str">
        <f>Rend_j[[#This Row],[Month]]&amp;","&amp;Rend_j[[#This Row],[Year]]</f>
        <v>4,2022</v>
      </c>
    </row>
    <row r="335" spans="1:18" x14ac:dyDescent="0.25">
      <c r="A335" s="1">
        <v>44662</v>
      </c>
      <c r="B335" s="6">
        <f>(Indices!B339-Indices!B338)/Indices!B338</f>
        <v>-3.6507376235989202E-2</v>
      </c>
      <c r="C335" s="6">
        <f>(Indices!C339-Indices!C338)/Indices!C338</f>
        <v>-1.533893062306672E-2</v>
      </c>
      <c r="D335" s="6">
        <f>(Indices!D339-Indices!D338)/Indices!D338</f>
        <v>-7.0601938338948882E-3</v>
      </c>
      <c r="E335" s="6">
        <f>(Indices!E339-Indices!E338)/Indices!E338</f>
        <v>-1.6457258988903278E-2</v>
      </c>
      <c r="F335" s="6">
        <f>(Indices!F339-Indices!F338)/Indices!F338</f>
        <v>-1.4483581217594653E-2</v>
      </c>
      <c r="G335" s="6">
        <f>(Indices!G339-Indices!G338)/Indices!G338</f>
        <v>-1.5462914236694193E-2</v>
      </c>
      <c r="H335" s="6">
        <f>(Indices!H339-Indices!H338)/Indices!H338</f>
        <v>-6.6097442234955162E-3</v>
      </c>
      <c r="I335" s="6">
        <f>(Indices!I339-Indices!I338)/Indices!I338</f>
        <v>-1.5327856327038538E-2</v>
      </c>
      <c r="J335" s="6">
        <f>(Indices!J339-Indices!J338)/Indices!J338</f>
        <v>1.1590697549563221E-3</v>
      </c>
      <c r="K335" s="6">
        <f>(Indices!K339-Indices!K338)/Indices!K338</f>
        <v>-5.8788879842964058E-3</v>
      </c>
      <c r="L335" s="6">
        <f>(Indices!L339-Indices!L338)/Indices!L338</f>
        <v>-6.3631861075659039E-3</v>
      </c>
      <c r="M335" s="10">
        <f>WEEKNUM(Rend_j[[#This Row],[Date]])-1</f>
        <v>15</v>
      </c>
      <c r="N335" s="7" t="str">
        <f>TEXT(Rend_j[[#This Row],[Date]],"ddd")</f>
        <v>Mon</v>
      </c>
      <c r="O335" s="7">
        <f>MONTH(Rend_j[[#This Row],[Date]])</f>
        <v>4</v>
      </c>
      <c r="P335" s="7">
        <f>YEAR(Rend_j[[#This Row],[Date]])</f>
        <v>2022</v>
      </c>
      <c r="Q335" s="7" t="str">
        <f>Rend_j[[#This Row],[Week]]&amp;","&amp;Rend_j[[#This Row],[Year]]</f>
        <v>15,2022</v>
      </c>
      <c r="R335" s="7" t="str">
        <f>Rend_j[[#This Row],[Month]]&amp;","&amp;Rend_j[[#This Row],[Year]]</f>
        <v>4,2022</v>
      </c>
    </row>
    <row r="336" spans="1:18" x14ac:dyDescent="0.25">
      <c r="A336" s="1">
        <v>44663</v>
      </c>
      <c r="B336" s="6">
        <f>(Indices!B340-Indices!B339)/Indices!B339</f>
        <v>1.6685045142513712E-2</v>
      </c>
      <c r="C336" s="6">
        <f>(Indices!C340-Indices!C339)/Indices!C339</f>
        <v>-2.0966769107045521E-3</v>
      </c>
      <c r="D336" s="6">
        <f>(Indices!D340-Indices!D339)/Indices!D339</f>
        <v>-4.64103640415968E-3</v>
      </c>
      <c r="E336" s="6">
        <f>(Indices!E340-Indices!E339)/Indices!E339</f>
        <v>9.3582954426348964E-4</v>
      </c>
      <c r="F336" s="6">
        <f>(Indices!F340-Indices!F339)/Indices!F339</f>
        <v>-9.7070592303510738E-3</v>
      </c>
      <c r="G336" s="6">
        <f>(Indices!G340-Indices!G339)/Indices!G339</f>
        <v>-1.7572890886992333E-3</v>
      </c>
      <c r="H336" s="6">
        <f>(Indices!H340-Indices!H339)/Indices!H339</f>
        <v>-4.0337021469096686E-3</v>
      </c>
      <c r="I336" s="6">
        <f>(Indices!I340-Indices!I339)/Indices!I339</f>
        <v>-2.8948715225862644E-3</v>
      </c>
      <c r="J336" s="6">
        <f>(Indices!J340-Indices!J339)/Indices!J339</f>
        <v>-2.8066559028415636E-3</v>
      </c>
      <c r="K336" s="6">
        <f>(Indices!K340-Indices!K339)/Indices!K339</f>
        <v>-3.5133242370418271E-3</v>
      </c>
      <c r="L336" s="6">
        <f>(Indices!L340-Indices!L339)/Indices!L339</f>
        <v>-4.7791953873460467E-3</v>
      </c>
      <c r="M336" s="10">
        <f>WEEKNUM(Rend_j[[#This Row],[Date]])-1</f>
        <v>15</v>
      </c>
      <c r="N336" s="7" t="str">
        <f>TEXT(Rend_j[[#This Row],[Date]],"ddd")</f>
        <v>Tue</v>
      </c>
      <c r="O336" s="7">
        <f>MONTH(Rend_j[[#This Row],[Date]])</f>
        <v>4</v>
      </c>
      <c r="P336" s="7">
        <f>YEAR(Rend_j[[#This Row],[Date]])</f>
        <v>2022</v>
      </c>
      <c r="Q336" s="7" t="str">
        <f>Rend_j[[#This Row],[Week]]&amp;","&amp;Rend_j[[#This Row],[Year]]</f>
        <v>15,2022</v>
      </c>
      <c r="R336" s="7" t="str">
        <f>Rend_j[[#This Row],[Month]]&amp;","&amp;Rend_j[[#This Row],[Year]]</f>
        <v>4,2022</v>
      </c>
    </row>
    <row r="337" spans="1:18" x14ac:dyDescent="0.25">
      <c r="A337" s="1">
        <v>44664</v>
      </c>
      <c r="B337" s="6">
        <f>(Indices!B341-Indices!B340)/Indices!B340</f>
        <v>2.2719466353360359E-3</v>
      </c>
      <c r="C337" s="6">
        <f>(Indices!C341-Indices!C340)/Indices!C340</f>
        <v>1.0962324430117522E-2</v>
      </c>
      <c r="D337" s="6">
        <f>(Indices!D341-Indices!D340)/Indices!D340</f>
        <v>1.1161523825708277E-2</v>
      </c>
      <c r="E337" s="6">
        <f>(Indices!E341-Indices!E340)/Indices!E340</f>
        <v>1.0441572818002957E-2</v>
      </c>
      <c r="F337" s="6">
        <f>(Indices!F341-Indices!F340)/Indices!F340</f>
        <v>1.2421120893921569E-2</v>
      </c>
      <c r="G337" s="6">
        <f>(Indices!G341-Indices!G340)/Indices!G340</f>
        <v>1.0903369665674055E-2</v>
      </c>
      <c r="H337" s="6">
        <f>(Indices!H341-Indices!H340)/Indices!H340</f>
        <v>2.7347224587899229E-3</v>
      </c>
      <c r="I337" s="6">
        <f>(Indices!I341-Indices!I340)/Indices!I340</f>
        <v>1.2895309003243975E-2</v>
      </c>
      <c r="J337" s="6">
        <f>(Indices!J341-Indices!J340)/Indices!J340</f>
        <v>7.2352520143764514E-4</v>
      </c>
      <c r="K337" s="6">
        <f>(Indices!K341-Indices!K340)/Indices!K340</f>
        <v>2.8469287574321711E-4</v>
      </c>
      <c r="L337" s="6">
        <f>(Indices!L341-Indices!L340)/Indices!L340</f>
        <v>-3.4343321083000174E-3</v>
      </c>
      <c r="M337" s="10">
        <f>WEEKNUM(Rend_j[[#This Row],[Date]])-1</f>
        <v>15</v>
      </c>
      <c r="N337" s="7" t="str">
        <f>TEXT(Rend_j[[#This Row],[Date]],"ddd")</f>
        <v>Wed</v>
      </c>
      <c r="O337" s="7">
        <f>MONTH(Rend_j[[#This Row],[Date]])</f>
        <v>4</v>
      </c>
      <c r="P337" s="7">
        <f>YEAR(Rend_j[[#This Row],[Date]])</f>
        <v>2022</v>
      </c>
      <c r="Q337" s="7" t="str">
        <f>Rend_j[[#This Row],[Week]]&amp;","&amp;Rend_j[[#This Row],[Year]]</f>
        <v>15,2022</v>
      </c>
      <c r="R337" s="7" t="str">
        <f>Rend_j[[#This Row],[Month]]&amp;","&amp;Rend_j[[#This Row],[Year]]</f>
        <v>4,2022</v>
      </c>
    </row>
    <row r="338" spans="1:18" x14ac:dyDescent="0.25">
      <c r="A338" s="1">
        <v>44665</v>
      </c>
      <c r="B338" s="6">
        <f>(Indices!B342-Indices!B341)/Indices!B341</f>
        <v>1.4919941484459626E-2</v>
      </c>
      <c r="C338" s="6">
        <f>(Indices!C342-Indices!C341)/Indices!C341</f>
        <v>-1.6476926964153688E-3</v>
      </c>
      <c r="D338" s="6">
        <f>(Indices!D342-Indices!D341)/Indices!D341</f>
        <v>1.7810096375812025E-3</v>
      </c>
      <c r="E338" s="6">
        <f>(Indices!E342-Indices!E341)/Indices!E341</f>
        <v>4.8337310037332567E-3</v>
      </c>
      <c r="F338" s="6">
        <f>(Indices!F342-Indices!F341)/Indices!F341</f>
        <v>1.4855509842083258E-2</v>
      </c>
      <c r="G338" s="6">
        <f>(Indices!G342-Indices!G341)/Indices!G341</f>
        <v>-9.3237217975556969E-4</v>
      </c>
      <c r="H338" s="6">
        <f>(Indices!H342-Indices!H341)/Indices!H341</f>
        <v>1.2183038115639745E-2</v>
      </c>
      <c r="I338" s="6">
        <f>(Indices!I342-Indices!I341)/Indices!I341</f>
        <v>-1.2220064796798744E-2</v>
      </c>
      <c r="J338" s="6">
        <f>(Indices!J342-Indices!J341)/Indices!J341</f>
        <v>7.2162870270841405E-3</v>
      </c>
      <c r="K338" s="6">
        <f>(Indices!K342-Indices!K341)/Indices!K341</f>
        <v>6.655300159059724E-3</v>
      </c>
      <c r="L338" s="6">
        <f>(Indices!L342-Indices!L341)/Indices!L341</f>
        <v>6.2096082056164207E-3</v>
      </c>
      <c r="M338" s="10">
        <f>WEEKNUM(Rend_j[[#This Row],[Date]])-1</f>
        <v>15</v>
      </c>
      <c r="N338" s="7" t="str">
        <f>TEXT(Rend_j[[#This Row],[Date]],"ddd")</f>
        <v>Thu</v>
      </c>
      <c r="O338" s="7">
        <f>MONTH(Rend_j[[#This Row],[Date]])</f>
        <v>4</v>
      </c>
      <c r="P338" s="7">
        <f>YEAR(Rend_j[[#This Row],[Date]])</f>
        <v>2022</v>
      </c>
      <c r="Q338" s="7" t="str">
        <f>Rend_j[[#This Row],[Week]]&amp;","&amp;Rend_j[[#This Row],[Year]]</f>
        <v>15,2022</v>
      </c>
      <c r="R338" s="7" t="str">
        <f>Rend_j[[#This Row],[Month]]&amp;","&amp;Rend_j[[#This Row],[Year]]</f>
        <v>4,2022</v>
      </c>
    </row>
    <row r="339" spans="1:18" x14ac:dyDescent="0.25">
      <c r="A339" s="1">
        <v>44666</v>
      </c>
      <c r="B339" s="6">
        <f>(Indices!B343-Indices!B342)/Indices!B342</f>
        <v>-1.3380327526119765E-3</v>
      </c>
      <c r="C339" s="6">
        <f>(Indices!C343-Indices!C342)/Indices!C342</f>
        <v>-3.2794365072569845E-4</v>
      </c>
      <c r="D339" s="6">
        <f>(Indices!D343-Indices!D342)/Indices!D342</f>
        <v>-5.5425206182905624E-3</v>
      </c>
      <c r="E339" s="6">
        <f>(Indices!E343-Indices!E342)/Indices!E342</f>
        <v>-3.9952263552338434E-3</v>
      </c>
      <c r="F339" s="6">
        <f>(Indices!F343-Indices!F342)/Indices!F342</f>
        <v>-5.4923047045686334E-3</v>
      </c>
      <c r="G339" s="6">
        <f>(Indices!G343-Indices!G342)/Indices!G342</f>
        <v>-7.335211922261212E-4</v>
      </c>
      <c r="H339" s="6">
        <f>(Indices!H343-Indices!H342)/Indices!H342</f>
        <v>0</v>
      </c>
      <c r="I339" s="6">
        <f>(Indices!I343-Indices!I342)/Indices!I342</f>
        <v>0</v>
      </c>
      <c r="J339" s="6">
        <f>(Indices!J343-Indices!J342)/Indices!J342</f>
        <v>0</v>
      </c>
      <c r="K339" s="6">
        <f>(Indices!K343-Indices!K342)/Indices!K342</f>
        <v>0</v>
      </c>
      <c r="L339" s="6">
        <f>(Indices!L343-Indices!L342)/Indices!L342</f>
        <v>0</v>
      </c>
      <c r="M339" s="10">
        <f>WEEKNUM(Rend_j[[#This Row],[Date]])-1</f>
        <v>15</v>
      </c>
      <c r="N339" s="7" t="str">
        <f>TEXT(Rend_j[[#This Row],[Date]],"ddd")</f>
        <v>Fri</v>
      </c>
      <c r="O339" s="7">
        <f>MONTH(Rend_j[[#This Row],[Date]])</f>
        <v>4</v>
      </c>
      <c r="P339" s="7">
        <f>YEAR(Rend_j[[#This Row],[Date]])</f>
        <v>2022</v>
      </c>
      <c r="Q339" s="7" t="str">
        <f>Rend_j[[#This Row],[Week]]&amp;","&amp;Rend_j[[#This Row],[Year]]</f>
        <v>15,2022</v>
      </c>
      <c r="R339" s="7" t="str">
        <f>Rend_j[[#This Row],[Month]]&amp;","&amp;Rend_j[[#This Row],[Year]]</f>
        <v>4,2022</v>
      </c>
    </row>
    <row r="340" spans="1:18" x14ac:dyDescent="0.25">
      <c r="A340" s="1">
        <v>44669</v>
      </c>
      <c r="B340" s="6">
        <f>(Indices!B344-Indices!B343)/Indices!B343</f>
        <v>-4.3714176356897411E-3</v>
      </c>
      <c r="C340" s="6">
        <f>(Indices!C344-Indices!C343)/Indices!C343</f>
        <v>-3.4338406241532079E-3</v>
      </c>
      <c r="D340" s="6">
        <f>(Indices!D344-Indices!D343)/Indices!D343</f>
        <v>-8.5327448342117293E-3</v>
      </c>
      <c r="E340" s="6">
        <f>(Indices!E344-Indices!E343)/Indices!E343</f>
        <v>-7.1571390181183435E-3</v>
      </c>
      <c r="F340" s="6">
        <f>(Indices!F344-Indices!F343)/Indices!F343</f>
        <v>-1.6207870825222313E-2</v>
      </c>
      <c r="G340" s="6">
        <f>(Indices!G344-Indices!G343)/Indices!G343</f>
        <v>-3.8519961334680399E-3</v>
      </c>
      <c r="H340" s="6">
        <f>(Indices!H344-Indices!H343)/Indices!H343</f>
        <v>-3.645415726565768E-3</v>
      </c>
      <c r="I340" s="6">
        <f>(Indices!I344-Indices!I343)/Indices!I343</f>
        <v>-1.5965103720954868E-3</v>
      </c>
      <c r="J340" s="6">
        <f>(Indices!J344-Indices!J343)/Indices!J343</f>
        <v>0</v>
      </c>
      <c r="K340" s="6">
        <f>(Indices!K344-Indices!K343)/Indices!K343</f>
        <v>0</v>
      </c>
      <c r="L340" s="6">
        <f>(Indices!L344-Indices!L343)/Indices!L343</f>
        <v>0</v>
      </c>
      <c r="M340" s="10">
        <f>WEEKNUM(Rend_j[[#This Row],[Date]])-1</f>
        <v>16</v>
      </c>
      <c r="N340" s="7" t="str">
        <f>TEXT(Rend_j[[#This Row],[Date]],"ddd")</f>
        <v>Mon</v>
      </c>
      <c r="O340" s="7">
        <f>MONTH(Rend_j[[#This Row],[Date]])</f>
        <v>4</v>
      </c>
      <c r="P340" s="7">
        <f>YEAR(Rend_j[[#This Row],[Date]])</f>
        <v>2022</v>
      </c>
      <c r="Q340" s="7" t="str">
        <f>Rend_j[[#This Row],[Week]]&amp;","&amp;Rend_j[[#This Row],[Year]]</f>
        <v>16,2022</v>
      </c>
      <c r="R340" s="7" t="str">
        <f>Rend_j[[#This Row],[Month]]&amp;","&amp;Rend_j[[#This Row],[Year]]</f>
        <v>4,2022</v>
      </c>
    </row>
    <row r="341" spans="1:18" x14ac:dyDescent="0.25">
      <c r="A341" s="1">
        <v>44670</v>
      </c>
      <c r="B341" s="6">
        <f>(Indices!B345-Indices!B344)/Indices!B344</f>
        <v>-1.5086451432711038E-2</v>
      </c>
      <c r="C341" s="6">
        <f>(Indices!C345-Indices!C344)/Indices!C344</f>
        <v>1.0995380723555373E-2</v>
      </c>
      <c r="D341" s="6">
        <f>(Indices!D345-Indices!D344)/Indices!D344</f>
        <v>-3.2794370692223488E-3</v>
      </c>
      <c r="E341" s="6">
        <f>(Indices!E345-Indices!E344)/Indices!E344</f>
        <v>-9.0040873490835321E-3</v>
      </c>
      <c r="F341" s="6">
        <f>(Indices!F345-Indices!F344)/Indices!F344</f>
        <v>-8.6344322798746764E-3</v>
      </c>
      <c r="G341" s="6">
        <f>(Indices!G345-Indices!G344)/Indices!G344</f>
        <v>8.7844098613024807E-3</v>
      </c>
      <c r="H341" s="6">
        <f>(Indices!H345-Indices!H344)/Indices!H344</f>
        <v>-3.5090345944023878E-3</v>
      </c>
      <c r="I341" s="6">
        <f>(Indices!I345-Indices!I344)/Indices!I344</f>
        <v>1.7442409871997775E-2</v>
      </c>
      <c r="J341" s="6">
        <f>(Indices!J345-Indices!J344)/Indices!J344</f>
        <v>-8.2800364510241357E-3</v>
      </c>
      <c r="K341" s="6">
        <f>(Indices!K345-Indices!K344)/Indices!K344</f>
        <v>-7.6986819757931943E-3</v>
      </c>
      <c r="L341" s="6">
        <f>(Indices!L345-Indices!L344)/Indices!L344</f>
        <v>-7.3353292262181571E-4</v>
      </c>
      <c r="M341" s="10">
        <f>WEEKNUM(Rend_j[[#This Row],[Date]])-1</f>
        <v>16</v>
      </c>
      <c r="N341" s="7" t="str">
        <f>TEXT(Rend_j[[#This Row],[Date]],"ddd")</f>
        <v>Tue</v>
      </c>
      <c r="O341" s="7">
        <f>MONTH(Rend_j[[#This Row],[Date]])</f>
        <v>4</v>
      </c>
      <c r="P341" s="7">
        <f>YEAR(Rend_j[[#This Row],[Date]])</f>
        <v>2022</v>
      </c>
      <c r="Q341" s="7" t="str">
        <f>Rend_j[[#This Row],[Week]]&amp;","&amp;Rend_j[[#This Row],[Year]]</f>
        <v>16,2022</v>
      </c>
      <c r="R341" s="7" t="str">
        <f>Rend_j[[#This Row],[Month]]&amp;","&amp;Rend_j[[#This Row],[Year]]</f>
        <v>4,2022</v>
      </c>
    </row>
    <row r="342" spans="1:18" x14ac:dyDescent="0.25">
      <c r="A342" s="1">
        <v>44671</v>
      </c>
      <c r="B342" s="6">
        <f>(Indices!B346-Indices!B345)/Indices!B345</f>
        <v>-2.5867051964912333E-2</v>
      </c>
      <c r="C342" s="6">
        <f>(Indices!C346-Indices!C345)/Indices!C345</f>
        <v>-3.9673832258611845E-3</v>
      </c>
      <c r="D342" s="6">
        <f>(Indices!D346-Indices!D345)/Indices!D345</f>
        <v>-1.0722292386087678E-3</v>
      </c>
      <c r="E342" s="6">
        <f>(Indices!E346-Indices!E345)/Indices!E345</f>
        <v>-7.607497243660423E-3</v>
      </c>
      <c r="F342" s="6">
        <f>(Indices!F346-Indices!F345)/Indices!F345</f>
        <v>1.2463788065547449E-2</v>
      </c>
      <c r="G342" s="6">
        <f>(Indices!G346-Indices!G345)/Indices!G345</f>
        <v>-4.361190467580228E-3</v>
      </c>
      <c r="H342" s="6">
        <f>(Indices!H346-Indices!H345)/Indices!H345</f>
        <v>1.9719791158022006E-4</v>
      </c>
      <c r="I342" s="6">
        <f>(Indices!I346-Indices!I345)/Indices!I345</f>
        <v>-1.0033212704684217E-3</v>
      </c>
      <c r="J342" s="6">
        <f>(Indices!J346-Indices!J345)/Indices!J345</f>
        <v>1.3790820586760627E-2</v>
      </c>
      <c r="K342" s="6">
        <f>(Indices!K346-Indices!K345)/Indices!K345</f>
        <v>8.3720676084248716E-3</v>
      </c>
      <c r="L342" s="6">
        <f>(Indices!L346-Indices!L345)/Indices!L345</f>
        <v>1.473634790287697E-2</v>
      </c>
      <c r="M342" s="10">
        <f>WEEKNUM(Rend_j[[#This Row],[Date]])-1</f>
        <v>16</v>
      </c>
      <c r="N342" s="7" t="str">
        <f>TEXT(Rend_j[[#This Row],[Date]],"ddd")</f>
        <v>Wed</v>
      </c>
      <c r="O342" s="7">
        <f>MONTH(Rend_j[[#This Row],[Date]])</f>
        <v>4</v>
      </c>
      <c r="P342" s="7">
        <f>YEAR(Rend_j[[#This Row],[Date]])</f>
        <v>2022</v>
      </c>
      <c r="Q342" s="7" t="str">
        <f>Rend_j[[#This Row],[Week]]&amp;","&amp;Rend_j[[#This Row],[Year]]</f>
        <v>16,2022</v>
      </c>
      <c r="R342" s="7" t="str">
        <f>Rend_j[[#This Row],[Month]]&amp;","&amp;Rend_j[[#This Row],[Year]]</f>
        <v>4,2022</v>
      </c>
    </row>
    <row r="343" spans="1:18" x14ac:dyDescent="0.25">
      <c r="A343" s="1">
        <v>44672</v>
      </c>
      <c r="B343" s="6">
        <f>(Indices!B347-Indices!B346)/Indices!B346</f>
        <v>-2.5476334808436401E-2</v>
      </c>
      <c r="C343" s="6">
        <f>(Indices!C347-Indices!C346)/Indices!C346</f>
        <v>-9.6790355075630427E-3</v>
      </c>
      <c r="D343" s="6">
        <f>(Indices!D347-Indices!D346)/Indices!D346</f>
        <v>2.2372747005965097E-3</v>
      </c>
      <c r="E343" s="6">
        <f>(Indices!E347-Indices!E346)/Indices!E346</f>
        <v>-6.0220581551544547E-3</v>
      </c>
      <c r="F343" s="6">
        <f>(Indices!F347-Indices!F346)/Indices!F346</f>
        <v>2.8180329388498523E-3</v>
      </c>
      <c r="G343" s="6">
        <f>(Indices!G347-Indices!G346)/Indices!G346</f>
        <v>-9.2836076767736919E-3</v>
      </c>
      <c r="H343" s="6">
        <f>(Indices!H347-Indices!H346)/Indices!H346</f>
        <v>4.130951151502345E-4</v>
      </c>
      <c r="I343" s="6">
        <f>(Indices!I347-Indices!I346)/Indices!I346</f>
        <v>-1.6470332297292192E-2</v>
      </c>
      <c r="J343" s="6">
        <f>(Indices!J347-Indices!J346)/Indices!J346</f>
        <v>1.3613760772033627E-2</v>
      </c>
      <c r="K343" s="6">
        <f>(Indices!K347-Indices!K346)/Indices!K346</f>
        <v>3.1949597496853063E-3</v>
      </c>
      <c r="L343" s="6">
        <f>(Indices!L347-Indices!L346)/Indices!L346</f>
        <v>9.7743764189963771E-3</v>
      </c>
      <c r="M343" s="10">
        <f>WEEKNUM(Rend_j[[#This Row],[Date]])-1</f>
        <v>16</v>
      </c>
      <c r="N343" s="7" t="str">
        <f>TEXT(Rend_j[[#This Row],[Date]],"ddd")</f>
        <v>Thu</v>
      </c>
      <c r="O343" s="7">
        <f>MONTH(Rend_j[[#This Row],[Date]])</f>
        <v>4</v>
      </c>
      <c r="P343" s="7">
        <f>YEAR(Rend_j[[#This Row],[Date]])</f>
        <v>2022</v>
      </c>
      <c r="Q343" s="7" t="str">
        <f>Rend_j[[#This Row],[Week]]&amp;","&amp;Rend_j[[#This Row],[Year]]</f>
        <v>16,2022</v>
      </c>
      <c r="R343" s="7" t="str">
        <f>Rend_j[[#This Row],[Month]]&amp;","&amp;Rend_j[[#This Row],[Year]]</f>
        <v>4,2022</v>
      </c>
    </row>
    <row r="344" spans="1:18" x14ac:dyDescent="0.25">
      <c r="A344" s="1">
        <v>44673</v>
      </c>
      <c r="B344" s="6">
        <f>(Indices!B348-Indices!B347)/Indices!B347</f>
        <v>4.2800448583664493E-3</v>
      </c>
      <c r="C344" s="6">
        <f>(Indices!C348-Indices!C347)/Indices!C347</f>
        <v>-1.9934770674789774E-2</v>
      </c>
      <c r="D344" s="6">
        <f>(Indices!D348-Indices!D347)/Indices!D347</f>
        <v>-7.847782025000442E-3</v>
      </c>
      <c r="E344" s="6">
        <f>(Indices!E348-Indices!E347)/Indices!E347</f>
        <v>-4.0872938253665751E-3</v>
      </c>
      <c r="F344" s="6">
        <f>(Indices!F348-Indices!F347)/Indices!F347</f>
        <v>-5.4784896870049586E-3</v>
      </c>
      <c r="G344" s="6">
        <f>(Indices!G348-Indices!G347)/Indices!G347</f>
        <v>-1.8213280150164102E-2</v>
      </c>
      <c r="H344" s="6">
        <f>(Indices!H348-Indices!H347)/Indices!H347</f>
        <v>-2.1885000516155745E-2</v>
      </c>
      <c r="I344" s="6">
        <f>(Indices!I348-Indices!I347)/Indices!I347</f>
        <v>-2.7360132089404833E-2</v>
      </c>
      <c r="J344" s="6">
        <f>(Indices!J348-Indices!J347)/Indices!J347</f>
        <v>-1.990739885468195E-2</v>
      </c>
      <c r="K344" s="6">
        <f>(Indices!K348-Indices!K347)/Indices!K347</f>
        <v>-1.7895463038611104E-2</v>
      </c>
      <c r="L344" s="6">
        <f>(Indices!L348-Indices!L347)/Indices!L347</f>
        <v>-2.4845547465884039E-2</v>
      </c>
      <c r="M344" s="10">
        <f>WEEKNUM(Rend_j[[#This Row],[Date]])-1</f>
        <v>16</v>
      </c>
      <c r="N344" s="7" t="str">
        <f>TEXT(Rend_j[[#This Row],[Date]],"ddd")</f>
        <v>Fri</v>
      </c>
      <c r="O344" s="7">
        <f>MONTH(Rend_j[[#This Row],[Date]])</f>
        <v>4</v>
      </c>
      <c r="P344" s="7">
        <f>YEAR(Rend_j[[#This Row],[Date]])</f>
        <v>2022</v>
      </c>
      <c r="Q344" s="7" t="str">
        <f>Rend_j[[#This Row],[Week]]&amp;","&amp;Rend_j[[#This Row],[Year]]</f>
        <v>16,2022</v>
      </c>
      <c r="R344" s="7" t="str">
        <f>Rend_j[[#This Row],[Month]]&amp;","&amp;Rend_j[[#This Row],[Year]]</f>
        <v>4,2022</v>
      </c>
    </row>
    <row r="345" spans="1:18" x14ac:dyDescent="0.25">
      <c r="A345" s="1">
        <v>44676</v>
      </c>
      <c r="B345" s="6">
        <f>(Indices!B349-Indices!B348)/Indices!B348</f>
        <v>-4.4235811660958656E-2</v>
      </c>
      <c r="C345" s="6">
        <f>(Indices!C349-Indices!C348)/Indices!C348</f>
        <v>4.6933403623609562E-3</v>
      </c>
      <c r="D345" s="6">
        <f>(Indices!D349-Indices!D348)/Indices!D348</f>
        <v>-1.553473943301285E-2</v>
      </c>
      <c r="E345" s="6">
        <f>(Indices!E349-Indices!E348)/Indices!E348</f>
        <v>-2.1300854482846573E-2</v>
      </c>
      <c r="F345" s="6">
        <f>(Indices!F349-Indices!F348)/Indices!F348</f>
        <v>-4.6721443531497877E-3</v>
      </c>
      <c r="G345" s="6">
        <f>(Indices!G349-Indices!G348)/Indices!G348</f>
        <v>1.8259895444360562E-3</v>
      </c>
      <c r="H345" s="6">
        <f>(Indices!H349-Indices!H348)/Indices!H348</f>
        <v>-2.2566562724873972E-2</v>
      </c>
      <c r="I345" s="6">
        <f>(Indices!I349-Indices!I348)/Indices!I348</f>
        <v>6.3836867038841241E-3</v>
      </c>
      <c r="J345" s="6">
        <f>(Indices!J349-Indices!J348)/Indices!J348</f>
        <v>-2.0062545858626102E-2</v>
      </c>
      <c r="K345" s="6">
        <f>(Indices!K349-Indices!K348)/Indices!K348</f>
        <v>-1.8089195111906649E-2</v>
      </c>
      <c r="L345" s="6">
        <f>(Indices!L349-Indices!L348)/Indices!L348</f>
        <v>-1.5409315204859443E-2</v>
      </c>
      <c r="M345" s="10">
        <f>WEEKNUM(Rend_j[[#This Row],[Date]])-1</f>
        <v>17</v>
      </c>
      <c r="N345" s="7" t="str">
        <f>TEXT(Rend_j[[#This Row],[Date]],"ddd")</f>
        <v>Mon</v>
      </c>
      <c r="O345" s="7">
        <f>MONTH(Rend_j[[#This Row],[Date]])</f>
        <v>4</v>
      </c>
      <c r="P345" s="7">
        <f>YEAR(Rend_j[[#This Row],[Date]])</f>
        <v>2022</v>
      </c>
      <c r="Q345" s="7" t="str">
        <f>Rend_j[[#This Row],[Week]]&amp;","&amp;Rend_j[[#This Row],[Year]]</f>
        <v>17,2022</v>
      </c>
      <c r="R345" s="7" t="str">
        <f>Rend_j[[#This Row],[Month]]&amp;","&amp;Rend_j[[#This Row],[Year]]</f>
        <v>4,2022</v>
      </c>
    </row>
    <row r="346" spans="1:18" x14ac:dyDescent="0.25">
      <c r="A346" s="1">
        <v>44677</v>
      </c>
      <c r="B346" s="6">
        <f>(Indices!B350-Indices!B349)/Indices!B349</f>
        <v>4.6526760733978283E-3</v>
      </c>
      <c r="C346" s="6">
        <f>(Indices!C350-Indices!C349)/Indices!C349</f>
        <v>-1.7953249403319625E-2</v>
      </c>
      <c r="D346" s="6">
        <f>(Indices!D350-Indices!D349)/Indices!D349</f>
        <v>7.7656674405622277E-3</v>
      </c>
      <c r="E346" s="6">
        <f>(Indices!E350-Indices!E349)/Indices!E349</f>
        <v>8.571823226018278E-3</v>
      </c>
      <c r="F346" s="6">
        <f>(Indices!F350-Indices!F349)/Indices!F349</f>
        <v>1.1374106631471641E-2</v>
      </c>
      <c r="G346" s="6">
        <f>(Indices!G350-Indices!G349)/Indices!G349</f>
        <v>-1.5095661767720673E-2</v>
      </c>
      <c r="H346" s="6">
        <f>(Indices!H350-Indices!H349)/Indices!H349</f>
        <v>-5.9878476141869827E-4</v>
      </c>
      <c r="I346" s="6">
        <f>(Indices!I350-Indices!I349)/Indices!I349</f>
        <v>-2.8969678048536604E-2</v>
      </c>
      <c r="J346" s="6">
        <f>(Indices!J350-Indices!J349)/Indices!J349</f>
        <v>-5.3974272924681831E-3</v>
      </c>
      <c r="K346" s="6">
        <f>(Indices!K350-Indices!K349)/Indices!K349</f>
        <v>-9.0089621332578897E-3</v>
      </c>
      <c r="L346" s="6">
        <f>(Indices!L350-Indices!L349)/Indices!L349</f>
        <v>-1.2048799387245597E-2</v>
      </c>
      <c r="M346" s="10">
        <f>WEEKNUM(Rend_j[[#This Row],[Date]])-1</f>
        <v>17</v>
      </c>
      <c r="N346" s="7" t="str">
        <f>TEXT(Rend_j[[#This Row],[Date]],"ddd")</f>
        <v>Tue</v>
      </c>
      <c r="O346" s="7">
        <f>MONTH(Rend_j[[#This Row],[Date]])</f>
        <v>4</v>
      </c>
      <c r="P346" s="7">
        <f>YEAR(Rend_j[[#This Row],[Date]])</f>
        <v>2022</v>
      </c>
      <c r="Q346" s="7" t="str">
        <f>Rend_j[[#This Row],[Week]]&amp;","&amp;Rend_j[[#This Row],[Year]]</f>
        <v>17,2022</v>
      </c>
      <c r="R346" s="7" t="str">
        <f>Rend_j[[#This Row],[Month]]&amp;","&amp;Rend_j[[#This Row],[Year]]</f>
        <v>4,2022</v>
      </c>
    </row>
    <row r="347" spans="1:18" x14ac:dyDescent="0.25">
      <c r="A347" s="1">
        <v>44678</v>
      </c>
      <c r="B347" s="6">
        <f>(Indices!B351-Indices!B350)/Indices!B350</f>
        <v>3.3994466405944654E-2</v>
      </c>
      <c r="C347" s="6">
        <f>(Indices!C351-Indices!C350)/Indices!C350</f>
        <v>1.1387417071107414E-2</v>
      </c>
      <c r="D347" s="6">
        <f>(Indices!D351-Indices!D350)/Indices!D350</f>
        <v>-6.4249882620400606E-4</v>
      </c>
      <c r="E347" s="6">
        <f>(Indices!E351-Indices!E350)/Indices!E350</f>
        <v>7.1940215200471122E-3</v>
      </c>
      <c r="F347" s="6">
        <f>(Indices!F351-Indices!F350)/Indices!F350</f>
        <v>-5.7615955187590839E-3</v>
      </c>
      <c r="G347" s="6">
        <f>(Indices!G351-Indices!G350)/Indices!G350</f>
        <v>1.0929499430439995E-2</v>
      </c>
      <c r="H347" s="6">
        <f>(Indices!H351-Indices!H350)/Indices!H350</f>
        <v>9.065728990688738E-3</v>
      </c>
      <c r="I347" s="6">
        <f>(Indices!I351-Indices!I350)/Indices!I350</f>
        <v>1.3351282859243216E-3</v>
      </c>
      <c r="J347" s="6">
        <f>(Indices!J351-Indices!J350)/Indices!J350</f>
        <v>4.7844115571357721E-3</v>
      </c>
      <c r="K347" s="6">
        <f>(Indices!K351-Indices!K350)/Indices!K350</f>
        <v>7.2772431565099544E-3</v>
      </c>
      <c r="L347" s="6">
        <f>(Indices!L351-Indices!L350)/Indices!L350</f>
        <v>2.7289144642292473E-3</v>
      </c>
      <c r="M347" s="10">
        <f>WEEKNUM(Rend_j[[#This Row],[Date]])-1</f>
        <v>17</v>
      </c>
      <c r="N347" s="7" t="str">
        <f>TEXT(Rend_j[[#This Row],[Date]],"ddd")</f>
        <v>Wed</v>
      </c>
      <c r="O347" s="7">
        <f>MONTH(Rend_j[[#This Row],[Date]])</f>
        <v>4</v>
      </c>
      <c r="P347" s="7">
        <f>YEAR(Rend_j[[#This Row],[Date]])</f>
        <v>2022</v>
      </c>
      <c r="Q347" s="7" t="str">
        <f>Rend_j[[#This Row],[Week]]&amp;","&amp;Rend_j[[#This Row],[Year]]</f>
        <v>17,2022</v>
      </c>
      <c r="R347" s="7" t="str">
        <f>Rend_j[[#This Row],[Month]]&amp;","&amp;Rend_j[[#This Row],[Year]]</f>
        <v>4,2022</v>
      </c>
    </row>
    <row r="348" spans="1:18" x14ac:dyDescent="0.25">
      <c r="A348" s="1">
        <v>44679</v>
      </c>
      <c r="B348" s="6">
        <f>(Indices!B352-Indices!B351)/Indices!B351</f>
        <v>9.0794502966480527E-3</v>
      </c>
      <c r="C348" s="6">
        <f>(Indices!C352-Indices!C351)/Indices!C351</f>
        <v>1.9344992424159137E-2</v>
      </c>
      <c r="D348" s="6">
        <f>(Indices!D352-Indices!D351)/Indices!D351</f>
        <v>6.7753022922281787E-3</v>
      </c>
      <c r="E348" s="6">
        <f>(Indices!E352-Indices!E351)/Indices!E351</f>
        <v>9.7467237256653513E-3</v>
      </c>
      <c r="F348" s="6">
        <f>(Indices!F352-Indices!F351)/Indices!F351</f>
        <v>-1.349686414601488E-3</v>
      </c>
      <c r="G348" s="6">
        <f>(Indices!G352-Indices!G351)/Indices!G351</f>
        <v>1.8287181752499711E-2</v>
      </c>
      <c r="H348" s="6">
        <f>(Indices!H352-Indices!H351)/Indices!H351</f>
        <v>6.3269577067212313E-3</v>
      </c>
      <c r="I348" s="6">
        <f>(Indices!I352-Indices!I351)/Indices!I351</f>
        <v>2.4259085761704446E-2</v>
      </c>
      <c r="J348" s="6">
        <f>(Indices!J352-Indices!J351)/Indices!J351</f>
        <v>9.7560646557189809E-3</v>
      </c>
      <c r="K348" s="6">
        <f>(Indices!K352-Indices!K351)/Indices!K351</f>
        <v>6.2118993775151735E-3</v>
      </c>
      <c r="L348" s="6">
        <f>(Indices!L352-Indices!L351)/Indices!L351</f>
        <v>1.347688943151395E-2</v>
      </c>
      <c r="M348" s="10">
        <f>WEEKNUM(Rend_j[[#This Row],[Date]])-1</f>
        <v>17</v>
      </c>
      <c r="N348" s="7" t="str">
        <f>TEXT(Rend_j[[#This Row],[Date]],"ddd")</f>
        <v>Thu</v>
      </c>
      <c r="O348" s="7">
        <f>MONTH(Rend_j[[#This Row],[Date]])</f>
        <v>4</v>
      </c>
      <c r="P348" s="7">
        <f>YEAR(Rend_j[[#This Row],[Date]])</f>
        <v>2022</v>
      </c>
      <c r="Q348" s="7" t="str">
        <f>Rend_j[[#This Row],[Week]]&amp;","&amp;Rend_j[[#This Row],[Year]]</f>
        <v>17,2022</v>
      </c>
      <c r="R348" s="7" t="str">
        <f>Rend_j[[#This Row],[Month]]&amp;","&amp;Rend_j[[#This Row],[Year]]</f>
        <v>4,2022</v>
      </c>
    </row>
    <row r="349" spans="1:18" x14ac:dyDescent="0.25">
      <c r="A349" s="1">
        <v>44680</v>
      </c>
      <c r="B349" s="6">
        <f>(Indices!B353-Indices!B352)/Indices!B352</f>
        <v>4.3021467929681347E-2</v>
      </c>
      <c r="C349" s="6">
        <f>(Indices!C353-Indices!C352)/Indices!C352</f>
        <v>-2.6096814828144799E-2</v>
      </c>
      <c r="D349" s="6">
        <f>(Indices!D353-Indices!D352)/Indices!D352</f>
        <v>2.6725256339952511E-3</v>
      </c>
      <c r="E349" s="6">
        <f>(Indices!E353-Indices!E352)/Indices!E352</f>
        <v>1.80374062113316E-2</v>
      </c>
      <c r="F349" s="6">
        <f>(Indices!F353-Indices!F352)/Indices!F352</f>
        <v>8.0718656424945967E-3</v>
      </c>
      <c r="G349" s="6">
        <f>(Indices!G353-Indices!G352)/Indices!G352</f>
        <v>-2.1285825625340135E-2</v>
      </c>
      <c r="H349" s="6">
        <f>(Indices!H353-Indices!H352)/Indices!H352</f>
        <v>1.0504425206751449E-2</v>
      </c>
      <c r="I349" s="6">
        <f>(Indices!I353-Indices!I352)/Indices!I352</f>
        <v>-3.5646512144333904E-2</v>
      </c>
      <c r="J349" s="6">
        <f>(Indices!J353-Indices!J352)/Indices!J352</f>
        <v>3.9381270932211344E-3</v>
      </c>
      <c r="K349" s="6">
        <f>(Indices!K353-Indices!K352)/Indices!K352</f>
        <v>7.4261479142348954E-3</v>
      </c>
      <c r="L349" s="6">
        <f>(Indices!L353-Indices!L352)/Indices!L352</f>
        <v>8.4435902950945295E-3</v>
      </c>
      <c r="M349" s="10">
        <f>WEEKNUM(Rend_j[[#This Row],[Date]])-1</f>
        <v>17</v>
      </c>
      <c r="N349" s="7" t="str">
        <f>TEXT(Rend_j[[#This Row],[Date]],"ddd")</f>
        <v>Fri</v>
      </c>
      <c r="O349" s="7">
        <f>MONTH(Rend_j[[#This Row],[Date]])</f>
        <v>4</v>
      </c>
      <c r="P349" s="7">
        <f>YEAR(Rend_j[[#This Row],[Date]])</f>
        <v>2022</v>
      </c>
      <c r="Q349" s="7" t="str">
        <f>Rend_j[[#This Row],[Week]]&amp;","&amp;Rend_j[[#This Row],[Year]]</f>
        <v>17,2022</v>
      </c>
      <c r="R349" s="7" t="str">
        <f>Rend_j[[#This Row],[Month]]&amp;","&amp;Rend_j[[#This Row],[Year]]</f>
        <v>4,2022</v>
      </c>
    </row>
    <row r="350" spans="1:18" x14ac:dyDescent="0.25">
      <c r="A350" s="1">
        <v>44683</v>
      </c>
      <c r="B350" s="6">
        <f>(Indices!B354-Indices!B353)/Indices!B353</f>
        <v>3.7335142541886491E-3</v>
      </c>
      <c r="C350" s="6">
        <f>(Indices!C354-Indices!C353)/Indices!C353</f>
        <v>2.7272828059231539E-3</v>
      </c>
      <c r="D350" s="6">
        <f>(Indices!D354-Indices!D353)/Indices!D353</f>
        <v>-2.9365505717033652E-3</v>
      </c>
      <c r="E350" s="6">
        <f>(Indices!E354-Indices!E353)/Indices!E353</f>
        <v>-9.0847829884950894E-4</v>
      </c>
      <c r="F350" s="6">
        <f>(Indices!F354-Indices!F353)/Indices!F353</f>
        <v>-3.3886213661495552E-3</v>
      </c>
      <c r="G350" s="6">
        <f>(Indices!G354-Indices!G353)/Indices!G353</f>
        <v>2.31385835881348E-3</v>
      </c>
      <c r="H350" s="6">
        <f>(Indices!H354-Indices!H353)/Indices!H353</f>
        <v>-2.871610303337877E-4</v>
      </c>
      <c r="I350" s="6">
        <f>(Indices!I354-Indices!I353)/Indices!I353</f>
        <v>6.5756141487507812E-3</v>
      </c>
      <c r="J350" s="6">
        <f>(Indices!J354-Indices!J353)/Indices!J353</f>
        <v>-1.655401960413664E-2</v>
      </c>
      <c r="K350" s="6">
        <f>(Indices!K354-Indices!K353)/Indices!K353</f>
        <v>-1.4565216327009354E-2</v>
      </c>
      <c r="L350" s="6">
        <f>(Indices!L354-Indices!L353)/Indices!L353</f>
        <v>-1.1264783878978635E-2</v>
      </c>
      <c r="M350" s="10">
        <f>WEEKNUM(Rend_j[[#This Row],[Date]])-1</f>
        <v>18</v>
      </c>
      <c r="N350" s="7" t="str">
        <f>TEXT(Rend_j[[#This Row],[Date]],"ddd")</f>
        <v>Mon</v>
      </c>
      <c r="O350" s="7">
        <f>MONTH(Rend_j[[#This Row],[Date]])</f>
        <v>5</v>
      </c>
      <c r="P350" s="7">
        <f>YEAR(Rend_j[[#This Row],[Date]])</f>
        <v>2022</v>
      </c>
      <c r="Q350" s="7" t="str">
        <f>Rend_j[[#This Row],[Week]]&amp;","&amp;Rend_j[[#This Row],[Year]]</f>
        <v>18,2022</v>
      </c>
      <c r="R350" s="7" t="str">
        <f>Rend_j[[#This Row],[Month]]&amp;","&amp;Rend_j[[#This Row],[Year]]</f>
        <v>5,2022</v>
      </c>
    </row>
    <row r="351" spans="1:18" x14ac:dyDescent="0.25">
      <c r="A351" s="1">
        <v>44684</v>
      </c>
      <c r="B351" s="6">
        <f>(Indices!B355-Indices!B354)/Indices!B354</f>
        <v>-3.6716915601850211E-3</v>
      </c>
      <c r="C351" s="6">
        <f>(Indices!C355-Indices!C354)/Indices!C354</f>
        <v>3.3943030253890632E-3</v>
      </c>
      <c r="D351" s="6">
        <f>(Indices!D355-Indices!D354)/Indices!D354</f>
        <v>-4.5367453018014025E-3</v>
      </c>
      <c r="E351" s="6">
        <f>(Indices!E355-Indices!E354)/Indices!E354</f>
        <v>-4.5190429321568231E-3</v>
      </c>
      <c r="F351" s="6">
        <f>(Indices!F355-Indices!F354)/Indices!F354</f>
        <v>1.0367042677659416E-3</v>
      </c>
      <c r="G351" s="6">
        <f>(Indices!G355-Indices!G354)/Indices!G354</f>
        <v>2.4996439787435564E-3</v>
      </c>
      <c r="H351" s="6">
        <f>(Indices!H355-Indices!H354)/Indices!H354</f>
        <v>7.0853400484482206E-4</v>
      </c>
      <c r="I351" s="6">
        <f>(Indices!I355-Indices!I354)/Indices!I354</f>
        <v>4.7597546087510311E-3</v>
      </c>
      <c r="J351" s="6">
        <f>(Indices!J355-Indices!J354)/Indices!J354</f>
        <v>7.8701188024493315E-3</v>
      </c>
      <c r="K351" s="6">
        <f>(Indices!K355-Indices!K354)/Indices!K354</f>
        <v>5.3399388716833104E-3</v>
      </c>
      <c r="L351" s="6">
        <f>(Indices!L355-Indices!L354)/Indices!L354</f>
        <v>7.2027343120562512E-3</v>
      </c>
      <c r="M351" s="10">
        <f>WEEKNUM(Rend_j[[#This Row],[Date]])-1</f>
        <v>18</v>
      </c>
      <c r="N351" s="7" t="str">
        <f>TEXT(Rend_j[[#This Row],[Date]],"ddd")</f>
        <v>Tue</v>
      </c>
      <c r="O351" s="7">
        <f>MONTH(Rend_j[[#This Row],[Date]])</f>
        <v>5</v>
      </c>
      <c r="P351" s="7">
        <f>YEAR(Rend_j[[#This Row],[Date]])</f>
        <v>2022</v>
      </c>
      <c r="Q351" s="7" t="str">
        <f>Rend_j[[#This Row],[Week]]&amp;","&amp;Rend_j[[#This Row],[Year]]</f>
        <v>18,2022</v>
      </c>
      <c r="R351" s="7" t="str">
        <f>Rend_j[[#This Row],[Month]]&amp;","&amp;Rend_j[[#This Row],[Year]]</f>
        <v>5,2022</v>
      </c>
    </row>
    <row r="352" spans="1:18" x14ac:dyDescent="0.25">
      <c r="A352" s="1">
        <v>44685</v>
      </c>
      <c r="B352" s="6">
        <f>(Indices!B356-Indices!B355)/Indices!B355</f>
        <v>-8.3322821453291375E-3</v>
      </c>
      <c r="C352" s="6">
        <f>(Indices!C356-Indices!C355)/Indices!C355</f>
        <v>1.8467776888098864E-2</v>
      </c>
      <c r="D352" s="6">
        <f>(Indices!D356-Indices!D355)/Indices!D355</f>
        <v>-2.6392529064525059E-3</v>
      </c>
      <c r="E352" s="6">
        <f>(Indices!E356-Indices!E355)/Indices!E355</f>
        <v>-5.9925168821848935E-3</v>
      </c>
      <c r="F352" s="6">
        <f>(Indices!F356-Indices!F355)/Indices!F355</f>
        <v>-1.448649981506505E-3</v>
      </c>
      <c r="G352" s="6">
        <f>(Indices!G356-Indices!G355)/Indices!G355</f>
        <v>1.5726808844694469E-2</v>
      </c>
      <c r="H352" s="6">
        <f>(Indices!H356-Indices!H355)/Indices!H355</f>
        <v>-1.0591781084054914E-2</v>
      </c>
      <c r="I352" s="6">
        <f>(Indices!I356-Indices!I355)/Indices!I355</f>
        <v>2.9367136240025214E-2</v>
      </c>
      <c r="J352" s="6">
        <f>(Indices!J356-Indices!J355)/Indices!J355</f>
        <v>-1.2430166828638277E-2</v>
      </c>
      <c r="K352" s="6">
        <f>(Indices!K356-Indices!K355)/Indices!K355</f>
        <v>-1.0824780076429038E-2</v>
      </c>
      <c r="L352" s="6">
        <f>(Indices!L356-Indices!L355)/Indices!L355</f>
        <v>-4.8897445074659205E-3</v>
      </c>
      <c r="M352" s="10">
        <f>WEEKNUM(Rend_j[[#This Row],[Date]])-1</f>
        <v>18</v>
      </c>
      <c r="N352" s="7" t="str">
        <f>TEXT(Rend_j[[#This Row],[Date]],"ddd")</f>
        <v>Wed</v>
      </c>
      <c r="O352" s="7">
        <f>MONTH(Rend_j[[#This Row],[Date]])</f>
        <v>5</v>
      </c>
      <c r="P352" s="7">
        <f>YEAR(Rend_j[[#This Row],[Date]])</f>
        <v>2022</v>
      </c>
      <c r="Q352" s="7" t="str">
        <f>Rend_j[[#This Row],[Week]]&amp;","&amp;Rend_j[[#This Row],[Year]]</f>
        <v>18,2022</v>
      </c>
      <c r="R352" s="7" t="str">
        <f>Rend_j[[#This Row],[Month]]&amp;","&amp;Rend_j[[#This Row],[Year]]</f>
        <v>5,2022</v>
      </c>
    </row>
    <row r="353" spans="1:18" x14ac:dyDescent="0.25">
      <c r="A353" s="1">
        <v>44686</v>
      </c>
      <c r="B353" s="6">
        <f>(Indices!B357-Indices!B356)/Indices!B356</f>
        <v>-7.8033808942739218E-3</v>
      </c>
      <c r="C353" s="6">
        <f>(Indices!C357-Indices!C356)/Indices!C356</f>
        <v>-2.6377098014324637E-2</v>
      </c>
      <c r="D353" s="6">
        <f>(Indices!D357-Indices!D356)/Indices!D356</f>
        <v>3.2560401504789816E-4</v>
      </c>
      <c r="E353" s="6">
        <f>(Indices!E357-Indices!E356)/Indices!E356</f>
        <v>-3.1102550055665764E-3</v>
      </c>
      <c r="F353" s="6">
        <f>(Indices!F357-Indices!F356)/Indices!F356</f>
        <v>-3.2719078927077004E-4</v>
      </c>
      <c r="G353" s="6">
        <f>(Indices!G357-Indices!G356)/Indices!G356</f>
        <v>-2.3823018490166107E-2</v>
      </c>
      <c r="H353" s="6">
        <f>(Indices!H357-Indices!H356)/Indices!H356</f>
        <v>-6.7983134767136289E-3</v>
      </c>
      <c r="I353" s="6">
        <f>(Indices!I357-Indices!I356)/Indices!I356</f>
        <v>-3.7124660219435654E-2</v>
      </c>
      <c r="J353" s="6">
        <f>(Indices!J357-Indices!J356)/Indices!J356</f>
        <v>-4.2654218549529515E-3</v>
      </c>
      <c r="K353" s="6">
        <f>(Indices!K357-Indices!K356)/Indices!K356</f>
        <v>-7.0462084764053674E-3</v>
      </c>
      <c r="L353" s="6">
        <f>(Indices!L357-Indices!L356)/Indices!L356</f>
        <v>-4.8888167254653916E-3</v>
      </c>
      <c r="M353" s="10">
        <f>WEEKNUM(Rend_j[[#This Row],[Date]])-1</f>
        <v>18</v>
      </c>
      <c r="N353" s="7" t="str">
        <f>TEXT(Rend_j[[#This Row],[Date]],"ddd")</f>
        <v>Thu</v>
      </c>
      <c r="O353" s="7">
        <f>MONTH(Rend_j[[#This Row],[Date]])</f>
        <v>5</v>
      </c>
      <c r="P353" s="7">
        <f>YEAR(Rend_j[[#This Row],[Date]])</f>
        <v>2022</v>
      </c>
      <c r="Q353" s="7" t="str">
        <f>Rend_j[[#This Row],[Week]]&amp;","&amp;Rend_j[[#This Row],[Year]]</f>
        <v>18,2022</v>
      </c>
      <c r="R353" s="7" t="str">
        <f>Rend_j[[#This Row],[Month]]&amp;","&amp;Rend_j[[#This Row],[Year]]</f>
        <v>5,2022</v>
      </c>
    </row>
    <row r="354" spans="1:18" x14ac:dyDescent="0.25">
      <c r="A354" s="1">
        <v>44687</v>
      </c>
      <c r="B354" s="6">
        <f>(Indices!B358-Indices!B357)/Indices!B357</f>
        <v>-4.4390241296689857E-2</v>
      </c>
      <c r="C354" s="6">
        <f>(Indices!C358-Indices!C357)/Indices!C357</f>
        <v>-1.278651119375342E-2</v>
      </c>
      <c r="D354" s="6">
        <f>(Indices!D358-Indices!D357)/Indices!D357</f>
        <v>-2.3039578503316494E-2</v>
      </c>
      <c r="E354" s="6">
        <f>(Indices!E358-Indices!E357)/Indices!E357</f>
        <v>-3.0543688287745386E-2</v>
      </c>
      <c r="F354" s="6">
        <f>(Indices!F358-Indices!F357)/Indices!F357</f>
        <v>3.3532593928315983E-3</v>
      </c>
      <c r="G354" s="6">
        <f>(Indices!G358-Indices!G357)/Indices!G357</f>
        <v>-1.4779123733689085E-2</v>
      </c>
      <c r="H354" s="6">
        <f>(Indices!H358-Indices!H357)/Indices!H357</f>
        <v>-2.1537412978920242E-2</v>
      </c>
      <c r="I354" s="6">
        <f>(Indices!I358-Indices!I357)/Indices!I357</f>
        <v>-7.9789066809925896E-3</v>
      </c>
      <c r="J354" s="6">
        <f>(Indices!J358-Indices!J357)/Indices!J357</f>
        <v>-1.7279071775226033E-2</v>
      </c>
      <c r="K354" s="6">
        <f>(Indices!K358-Indices!K357)/Indices!K357</f>
        <v>-1.9052630423661076E-2</v>
      </c>
      <c r="L354" s="6">
        <f>(Indices!L358-Indices!L357)/Indices!L357</f>
        <v>-1.6416412112028139E-2</v>
      </c>
      <c r="M354" s="10">
        <f>WEEKNUM(Rend_j[[#This Row],[Date]])-1</f>
        <v>18</v>
      </c>
      <c r="N354" s="7" t="str">
        <f>TEXT(Rend_j[[#This Row],[Date]],"ddd")</f>
        <v>Fri</v>
      </c>
      <c r="O354" s="7">
        <f>MONTH(Rend_j[[#This Row],[Date]])</f>
        <v>5</v>
      </c>
      <c r="P354" s="7">
        <f>YEAR(Rend_j[[#This Row],[Date]])</f>
        <v>2022</v>
      </c>
      <c r="Q354" s="7" t="str">
        <f>Rend_j[[#This Row],[Week]]&amp;","&amp;Rend_j[[#This Row],[Year]]</f>
        <v>18,2022</v>
      </c>
      <c r="R354" s="7" t="str">
        <f>Rend_j[[#This Row],[Month]]&amp;","&amp;Rend_j[[#This Row],[Year]]</f>
        <v>5,2022</v>
      </c>
    </row>
    <row r="355" spans="1:18" x14ac:dyDescent="0.25">
      <c r="A355" s="1">
        <v>44690</v>
      </c>
      <c r="B355" s="6">
        <f>(Indices!B359-Indices!B358)/Indices!B358</f>
        <v>-5.3508472819854208E-3</v>
      </c>
      <c r="C355" s="6">
        <f>(Indices!C359-Indices!C358)/Indices!C358</f>
        <v>-2.7855320426234349E-2</v>
      </c>
      <c r="D355" s="6">
        <f>(Indices!D359-Indices!D358)/Indices!D358</f>
        <v>-1.4025406477568754E-2</v>
      </c>
      <c r="E355" s="6">
        <f>(Indices!E359-Indices!E358)/Indices!E358</f>
        <v>-1.1352712530301625E-2</v>
      </c>
      <c r="F355" s="6">
        <f>(Indices!F359-Indices!F358)/Indices!F358</f>
        <v>-1.6531774119095288E-2</v>
      </c>
      <c r="G355" s="6">
        <f>(Indices!G359-Indices!G358)/Indices!G358</f>
        <v>-2.6033315602769128E-2</v>
      </c>
      <c r="H355" s="6">
        <f>(Indices!H359-Indices!H358)/Indices!H358</f>
        <v>-2.0926830724528021E-2</v>
      </c>
      <c r="I355" s="6">
        <f>(Indices!I359-Indices!I358)/Indices!I358</f>
        <v>-3.4807720002580589E-2</v>
      </c>
      <c r="J355" s="6">
        <f>(Indices!J359-Indices!J358)/Indices!J358</f>
        <v>-2.7537541268422224E-2</v>
      </c>
      <c r="K355" s="6">
        <f>(Indices!K359-Indices!K358)/Indices!K358</f>
        <v>-2.8959579642626816E-2</v>
      </c>
      <c r="L355" s="6">
        <f>(Indices!L359-Indices!L358)/Indices!L358</f>
        <v>-2.1472421540065532E-2</v>
      </c>
      <c r="M355" s="10">
        <f>WEEKNUM(Rend_j[[#This Row],[Date]])-1</f>
        <v>19</v>
      </c>
      <c r="N355" s="7" t="str">
        <f>TEXT(Rend_j[[#This Row],[Date]],"ddd")</f>
        <v>Mon</v>
      </c>
      <c r="O355" s="7">
        <f>MONTH(Rend_j[[#This Row],[Date]])</f>
        <v>5</v>
      </c>
      <c r="P355" s="7">
        <f>YEAR(Rend_j[[#This Row],[Date]])</f>
        <v>2022</v>
      </c>
      <c r="Q355" s="7" t="str">
        <f>Rend_j[[#This Row],[Week]]&amp;","&amp;Rend_j[[#This Row],[Year]]</f>
        <v>19,2022</v>
      </c>
      <c r="R355" s="7" t="str">
        <f>Rend_j[[#This Row],[Month]]&amp;","&amp;Rend_j[[#This Row],[Year]]</f>
        <v>5,2022</v>
      </c>
    </row>
    <row r="356" spans="1:18" x14ac:dyDescent="0.25">
      <c r="A356" s="1">
        <v>44691</v>
      </c>
      <c r="B356" s="6">
        <f>(Indices!B360-Indices!B359)/Indices!B359</f>
        <v>-4.1592291786722441E-3</v>
      </c>
      <c r="C356" s="6">
        <f>(Indices!C360-Indices!C359)/Indices!C359</f>
        <v>7.9121252354333565E-4</v>
      </c>
      <c r="D356" s="6">
        <f>(Indices!D360-Indices!D359)/Indices!D359</f>
        <v>-5.9357359015784691E-3</v>
      </c>
      <c r="E356" s="6">
        <f>(Indices!E360-Indices!E359)/Indices!E359</f>
        <v>-8.5819219488996405E-3</v>
      </c>
      <c r="F356" s="6">
        <f>(Indices!F360-Indices!F359)/Indices!F359</f>
        <v>-8.1983115233212178E-3</v>
      </c>
      <c r="G356" s="6">
        <f>(Indices!G360-Indices!G359)/Indices!G359</f>
        <v>-2.593157208191332E-4</v>
      </c>
      <c r="H356" s="6">
        <f>(Indices!H360-Indices!H359)/Indices!H359</f>
        <v>3.1812176034150055E-3</v>
      </c>
      <c r="I356" s="6">
        <f>(Indices!I360-Indices!I359)/Indices!I359</f>
        <v>2.0549080829665362E-3</v>
      </c>
      <c r="J356" s="6">
        <f>(Indices!J360-Indices!J359)/Indices!J359</f>
        <v>5.0755889560810197E-3</v>
      </c>
      <c r="K356" s="6">
        <f>(Indices!K360-Indices!K359)/Indices!K359</f>
        <v>6.7791358717295509E-3</v>
      </c>
      <c r="L356" s="6">
        <f>(Indices!L360-Indices!L359)/Indices!L359</f>
        <v>1.1514394340578663E-2</v>
      </c>
      <c r="M356" s="10">
        <f>WEEKNUM(Rend_j[[#This Row],[Date]])-1</f>
        <v>19</v>
      </c>
      <c r="N356" s="7" t="str">
        <f>TEXT(Rend_j[[#This Row],[Date]],"ddd")</f>
        <v>Tue</v>
      </c>
      <c r="O356" s="7">
        <f>MONTH(Rend_j[[#This Row],[Date]])</f>
        <v>5</v>
      </c>
      <c r="P356" s="7">
        <f>YEAR(Rend_j[[#This Row],[Date]])</f>
        <v>2022</v>
      </c>
      <c r="Q356" s="7" t="str">
        <f>Rend_j[[#This Row],[Week]]&amp;","&amp;Rend_j[[#This Row],[Year]]</f>
        <v>19,2022</v>
      </c>
      <c r="R356" s="7" t="str">
        <f>Rend_j[[#This Row],[Month]]&amp;","&amp;Rend_j[[#This Row],[Year]]</f>
        <v>5,2022</v>
      </c>
    </row>
    <row r="357" spans="1:18" x14ac:dyDescent="0.25">
      <c r="A357" s="1">
        <v>44692</v>
      </c>
      <c r="B357" s="6">
        <f>(Indices!B361-Indices!B360)/Indices!B360</f>
        <v>1.2348776756551359E-2</v>
      </c>
      <c r="C357" s="6">
        <f>(Indices!C361-Indices!C360)/Indices!C360</f>
        <v>-9.5371787999275481E-3</v>
      </c>
      <c r="D357" s="6">
        <f>(Indices!D361-Indices!D360)/Indices!D360</f>
        <v>3.7932143155861584E-4</v>
      </c>
      <c r="E357" s="6">
        <f>(Indices!E361-Indices!E360)/Indices!E360</f>
        <v>3.6378463949342235E-3</v>
      </c>
      <c r="F357" s="6">
        <f>(Indices!F361-Indices!F360)/Indices!F360</f>
        <v>-6.871572889783675E-3</v>
      </c>
      <c r="G357" s="6">
        <f>(Indices!G361-Indices!G360)/Indices!G360</f>
        <v>-8.0762428767929984E-3</v>
      </c>
      <c r="H357" s="6">
        <f>(Indices!H361-Indices!H360)/Indices!H360</f>
        <v>1.6271035328206788E-2</v>
      </c>
      <c r="I357" s="6">
        <f>(Indices!I361-Indices!I360)/Indices!I360</f>
        <v>-1.7969776717065351E-2</v>
      </c>
      <c r="J357" s="6">
        <f>(Indices!J361-Indices!J360)/Indices!J360</f>
        <v>2.4983172893278664E-2</v>
      </c>
      <c r="K357" s="6">
        <f>(Indices!K361-Indices!K360)/Indices!K360</f>
        <v>1.7368928224986636E-2</v>
      </c>
      <c r="L357" s="6">
        <f>(Indices!L361-Indices!L360)/Indices!L360</f>
        <v>2.1714448523257674E-2</v>
      </c>
      <c r="M357" s="10">
        <f>WEEKNUM(Rend_j[[#This Row],[Date]])-1</f>
        <v>19</v>
      </c>
      <c r="N357" s="7" t="str">
        <f>TEXT(Rend_j[[#This Row],[Date]],"ddd")</f>
        <v>Wed</v>
      </c>
      <c r="O357" s="7">
        <f>MONTH(Rend_j[[#This Row],[Date]])</f>
        <v>5</v>
      </c>
      <c r="P357" s="7">
        <f>YEAR(Rend_j[[#This Row],[Date]])</f>
        <v>2022</v>
      </c>
      <c r="Q357" s="7" t="str">
        <f>Rend_j[[#This Row],[Week]]&amp;","&amp;Rend_j[[#This Row],[Year]]</f>
        <v>19,2022</v>
      </c>
      <c r="R357" s="7" t="str">
        <f>Rend_j[[#This Row],[Month]]&amp;","&amp;Rend_j[[#This Row],[Year]]</f>
        <v>5,2022</v>
      </c>
    </row>
    <row r="358" spans="1:18" x14ac:dyDescent="0.25">
      <c r="A358" s="1">
        <v>44693</v>
      </c>
      <c r="B358" s="6">
        <f>(Indices!B362-Indices!B361)/Indices!B361</f>
        <v>-4.8542148907759469E-3</v>
      </c>
      <c r="C358" s="6">
        <f>(Indices!C362-Indices!C361)/Indices!C361</f>
        <v>7.9664211067331028E-3</v>
      </c>
      <c r="D358" s="6">
        <f>(Indices!D362-Indices!D361)/Indices!D361</f>
        <v>-1.111325316484181E-2</v>
      </c>
      <c r="E358" s="6">
        <f>(Indices!E362-Indices!E361)/Indices!E361</f>
        <v>-1.056595155966612E-2</v>
      </c>
      <c r="F358" s="6">
        <f>(Indices!F362-Indices!F361)/Indices!F361</f>
        <v>1.7529703284833945E-2</v>
      </c>
      <c r="G358" s="6">
        <f>(Indices!G362-Indices!G361)/Indices!G361</f>
        <v>5.8875968224409748E-3</v>
      </c>
      <c r="H358" s="6">
        <f>(Indices!H362-Indices!H361)/Indices!H361</f>
        <v>-1.1354913317847808E-2</v>
      </c>
      <c r="I358" s="6">
        <f>(Indices!I362-Indices!I361)/Indices!I361</f>
        <v>9.1028696452519187E-4</v>
      </c>
      <c r="J358" s="6">
        <f>(Indices!J362-Indices!J361)/Indices!J361</f>
        <v>-1.012327711120981E-2</v>
      </c>
      <c r="K358" s="6">
        <f>(Indices!K362-Indices!K361)/Indices!K361</f>
        <v>-7.4604224370113485E-3</v>
      </c>
      <c r="L358" s="6">
        <f>(Indices!L362-Indices!L361)/Indices!L361</f>
        <v>-6.4359186624694505E-3</v>
      </c>
      <c r="M358" s="10">
        <f>WEEKNUM(Rend_j[[#This Row],[Date]])-1</f>
        <v>19</v>
      </c>
      <c r="N358" s="7" t="str">
        <f>TEXT(Rend_j[[#This Row],[Date]],"ddd")</f>
        <v>Thu</v>
      </c>
      <c r="O358" s="7">
        <f>MONTH(Rend_j[[#This Row],[Date]])</f>
        <v>5</v>
      </c>
      <c r="P358" s="7">
        <f>YEAR(Rend_j[[#This Row],[Date]])</f>
        <v>2022</v>
      </c>
      <c r="Q358" s="7" t="str">
        <f>Rend_j[[#This Row],[Week]]&amp;","&amp;Rend_j[[#This Row],[Year]]</f>
        <v>19,2022</v>
      </c>
      <c r="R358" s="7" t="str">
        <f>Rend_j[[#This Row],[Month]]&amp;","&amp;Rend_j[[#This Row],[Year]]</f>
        <v>5,2022</v>
      </c>
    </row>
    <row r="359" spans="1:18" x14ac:dyDescent="0.25">
      <c r="A359" s="1">
        <v>44694</v>
      </c>
      <c r="B359" s="6">
        <f>(Indices!B363-Indices!B362)/Indices!B362</f>
        <v>2.3547038489680146E-2</v>
      </c>
      <c r="C359" s="6">
        <f>(Indices!C363-Indices!C362)/Indices!C362</f>
        <v>2.5101014393102396E-2</v>
      </c>
      <c r="D359" s="6">
        <f>(Indices!D363-Indices!D362)/Indices!D362</f>
        <v>1.2862395611163605E-2</v>
      </c>
      <c r="E359" s="6">
        <f>(Indices!E363-Indices!E362)/Indices!E362</f>
        <v>1.8665729130882814E-2</v>
      </c>
      <c r="F359" s="6">
        <f>(Indices!F363-Indices!F362)/Indices!F362</f>
        <v>1.1152114593285013E-2</v>
      </c>
      <c r="G359" s="6">
        <f>(Indices!G363-Indices!G362)/Indices!G362</f>
        <v>2.4385440422875295E-2</v>
      </c>
      <c r="H359" s="6">
        <f>(Indices!H363-Indices!H362)/Indices!H362</f>
        <v>2.6469698497529493E-2</v>
      </c>
      <c r="I359" s="6">
        <f>(Indices!I363-Indices!I362)/Indices!I362</f>
        <v>2.6322949444607988E-2</v>
      </c>
      <c r="J359" s="6">
        <f>(Indices!J363-Indices!J362)/Indices!J362</f>
        <v>2.5203651780243534E-2</v>
      </c>
      <c r="K359" s="6">
        <f>(Indices!K363-Indices!K362)/Indices!K362</f>
        <v>2.1394950820852271E-2</v>
      </c>
      <c r="L359" s="6">
        <f>(Indices!L363-Indices!L362)/Indices!L362</f>
        <v>2.0982358150855994E-2</v>
      </c>
      <c r="M359" s="10">
        <f>WEEKNUM(Rend_j[[#This Row],[Date]])-1</f>
        <v>19</v>
      </c>
      <c r="N359" s="7" t="str">
        <f>TEXT(Rend_j[[#This Row],[Date]],"ddd")</f>
        <v>Fri</v>
      </c>
      <c r="O359" s="7">
        <f>MONTH(Rend_j[[#This Row],[Date]])</f>
        <v>5</v>
      </c>
      <c r="P359" s="7">
        <f>YEAR(Rend_j[[#This Row],[Date]])</f>
        <v>2022</v>
      </c>
      <c r="Q359" s="7" t="str">
        <f>Rend_j[[#This Row],[Week]]&amp;","&amp;Rend_j[[#This Row],[Year]]</f>
        <v>19,2022</v>
      </c>
      <c r="R359" s="7" t="str">
        <f>Rend_j[[#This Row],[Month]]&amp;","&amp;Rend_j[[#This Row],[Year]]</f>
        <v>5,2022</v>
      </c>
    </row>
    <row r="360" spans="1:18" x14ac:dyDescent="0.25">
      <c r="A360" s="1">
        <v>44697</v>
      </c>
      <c r="B360" s="6">
        <f>(Indices!B364-Indices!B363)/Indices!B363</f>
        <v>-4.1712292117395185E-3</v>
      </c>
      <c r="C360" s="6">
        <f>(Indices!C364-Indices!C363)/Indices!C363</f>
        <v>-3.6401730401097636E-3</v>
      </c>
      <c r="D360" s="6">
        <f>(Indices!D364-Indices!D363)/Indices!D363</f>
        <v>2.9489112360358586E-3</v>
      </c>
      <c r="E360" s="6">
        <f>(Indices!E364-Indices!E363)/Indices!E363</f>
        <v>2.0549948229938893E-3</v>
      </c>
      <c r="F360" s="6">
        <f>(Indices!F364-Indices!F363)/Indices!F363</f>
        <v>2.6245098341928018E-3</v>
      </c>
      <c r="G360" s="6">
        <f>(Indices!G364-Indices!G363)/Indices!G363</f>
        <v>-3.0145498169737296E-3</v>
      </c>
      <c r="H360" s="6">
        <f>(Indices!H364-Indices!H363)/Indices!H363</f>
        <v>8.5072940714180419E-3</v>
      </c>
      <c r="I360" s="6">
        <f>(Indices!I364-Indices!I363)/Indices!I363</f>
        <v>-5.1975609655367178E-3</v>
      </c>
      <c r="J360" s="6">
        <f>(Indices!J364-Indices!J363)/Indices!J363</f>
        <v>-2.3433766255046033E-3</v>
      </c>
      <c r="K360" s="6">
        <f>(Indices!K364-Indices!K363)/Indices!K363</f>
        <v>4.383177890064063E-4</v>
      </c>
      <c r="L360" s="6">
        <f>(Indices!L364-Indices!L363)/Indices!L363</f>
        <v>-4.5302344254906533E-3</v>
      </c>
      <c r="M360" s="10">
        <f>WEEKNUM(Rend_j[[#This Row],[Date]])-1</f>
        <v>20</v>
      </c>
      <c r="N360" s="7" t="str">
        <f>TEXT(Rend_j[[#This Row],[Date]],"ddd")</f>
        <v>Mon</v>
      </c>
      <c r="O360" s="7">
        <f>MONTH(Rend_j[[#This Row],[Date]])</f>
        <v>5</v>
      </c>
      <c r="P360" s="7">
        <f>YEAR(Rend_j[[#This Row],[Date]])</f>
        <v>2022</v>
      </c>
      <c r="Q360" s="7" t="str">
        <f>Rend_j[[#This Row],[Week]]&amp;","&amp;Rend_j[[#This Row],[Year]]</f>
        <v>20,2022</v>
      </c>
      <c r="R360" s="7" t="str">
        <f>Rend_j[[#This Row],[Month]]&amp;","&amp;Rend_j[[#This Row],[Year]]</f>
        <v>5,2022</v>
      </c>
    </row>
    <row r="361" spans="1:18" x14ac:dyDescent="0.25">
      <c r="A361" s="1">
        <v>44698</v>
      </c>
      <c r="B361" s="6">
        <f>(Indices!B365-Indices!B364)/Indices!B364</f>
        <v>1.7990953791962597E-2</v>
      </c>
      <c r="C361" s="6">
        <f>(Indices!C365-Indices!C364)/Indices!C364</f>
        <v>6.8946998177045115E-3</v>
      </c>
      <c r="D361" s="6">
        <f>(Indices!D365-Indices!D364)/Indices!D364</f>
        <v>3.700753131259647E-3</v>
      </c>
      <c r="E361" s="6">
        <f>(Indices!E365-Indices!E364)/Indices!E364</f>
        <v>1.0377475068556546E-2</v>
      </c>
      <c r="F361" s="6">
        <f>(Indices!F365-Indices!F364)/Indices!F364</f>
        <v>-1.2416851441241805E-2</v>
      </c>
      <c r="G361" s="6">
        <f>(Indices!G365-Indices!G364)/Indices!G364</f>
        <v>7.281478510382188E-3</v>
      </c>
      <c r="H361" s="6">
        <f>(Indices!H365-Indices!H364)/Indices!H364</f>
        <v>1.1718179250153447E-2</v>
      </c>
      <c r="I361" s="6">
        <f>(Indices!I365-Indices!I364)/Indices!I364</f>
        <v>2.1442297718255076E-2</v>
      </c>
      <c r="J361" s="6">
        <f>(Indices!J365-Indices!J364)/Indices!J364</f>
        <v>1.2984074838930555E-2</v>
      </c>
      <c r="K361" s="6">
        <f>(Indices!K365-Indices!K364)/Indices!K364</f>
        <v>1.2221246203619899E-2</v>
      </c>
      <c r="L361" s="6">
        <f>(Indices!L365-Indices!L364)/Indices!L364</f>
        <v>1.5866121654089529E-2</v>
      </c>
      <c r="M361" s="10">
        <f>WEEKNUM(Rend_j[[#This Row],[Date]])-1</f>
        <v>20</v>
      </c>
      <c r="N361" s="7" t="str">
        <f>TEXT(Rend_j[[#This Row],[Date]],"ddd")</f>
        <v>Tue</v>
      </c>
      <c r="O361" s="7">
        <f>MONTH(Rend_j[[#This Row],[Date]])</f>
        <v>5</v>
      </c>
      <c r="P361" s="7">
        <f>YEAR(Rend_j[[#This Row],[Date]])</f>
        <v>2022</v>
      </c>
      <c r="Q361" s="7" t="str">
        <f>Rend_j[[#This Row],[Week]]&amp;","&amp;Rend_j[[#This Row],[Year]]</f>
        <v>20,2022</v>
      </c>
      <c r="R361" s="7" t="str">
        <f>Rend_j[[#This Row],[Month]]&amp;","&amp;Rend_j[[#This Row],[Year]]</f>
        <v>5,2022</v>
      </c>
    </row>
    <row r="362" spans="1:18" x14ac:dyDescent="0.25">
      <c r="A362" s="1">
        <v>44699</v>
      </c>
      <c r="B362" s="6">
        <f>(Indices!B366-Indices!B365)/Indices!B365</f>
        <v>-6.910393705562471E-4</v>
      </c>
      <c r="C362" s="6">
        <f>(Indices!C366-Indices!C365)/Indices!C365</f>
        <v>-2.7641616803578802E-2</v>
      </c>
      <c r="D362" s="6">
        <f>(Indices!D366-Indices!D365)/Indices!D365</f>
        <v>6.5982497648010468E-3</v>
      </c>
      <c r="E362" s="6">
        <f>(Indices!E366-Indices!E365)/Indices!E365</f>
        <v>4.4835931197792197E-3</v>
      </c>
      <c r="F362" s="6">
        <f>(Indices!F366-Indices!F365)/Indices!F365</f>
        <v>1.8965474230404612E-2</v>
      </c>
      <c r="G362" s="6">
        <f>(Indices!G366-Indices!G365)/Indices!G365</f>
        <v>-2.4083376726804884E-2</v>
      </c>
      <c r="H362" s="6">
        <f>(Indices!H366-Indices!H365)/Indices!H365</f>
        <v>-1.315181391049834E-2</v>
      </c>
      <c r="I362" s="6">
        <f>(Indices!I366-Indices!I365)/Indices!I365</f>
        <v>-4.0257577110802363E-2</v>
      </c>
      <c r="J362" s="6">
        <f>(Indices!J366-Indices!J365)/Indices!J365</f>
        <v>-1.2013642008837202E-2</v>
      </c>
      <c r="K362" s="6">
        <f>(Indices!K366-Indices!K365)/Indices!K365</f>
        <v>-1.1435836135873005E-2</v>
      </c>
      <c r="L362" s="6">
        <f>(Indices!L366-Indices!L365)/Indices!L365</f>
        <v>-1.2560369957792075E-2</v>
      </c>
      <c r="M362" s="10">
        <f>WEEKNUM(Rend_j[[#This Row],[Date]])-1</f>
        <v>20</v>
      </c>
      <c r="N362" s="7" t="str">
        <f>TEXT(Rend_j[[#This Row],[Date]],"ddd")</f>
        <v>Wed</v>
      </c>
      <c r="O362" s="7">
        <f>MONTH(Rend_j[[#This Row],[Date]])</f>
        <v>5</v>
      </c>
      <c r="P362" s="7">
        <f>YEAR(Rend_j[[#This Row],[Date]])</f>
        <v>2022</v>
      </c>
      <c r="Q362" s="7" t="str">
        <f>Rend_j[[#This Row],[Week]]&amp;","&amp;Rend_j[[#This Row],[Year]]</f>
        <v>20,2022</v>
      </c>
      <c r="R362" s="7" t="str">
        <f>Rend_j[[#This Row],[Month]]&amp;","&amp;Rend_j[[#This Row],[Year]]</f>
        <v>5,2022</v>
      </c>
    </row>
    <row r="363" spans="1:18" x14ac:dyDescent="0.25">
      <c r="A363" s="1">
        <v>44700</v>
      </c>
      <c r="B363" s="6">
        <f>(Indices!B367-Indices!B366)/Indices!B366</f>
        <v>-1.9127267015001784E-2</v>
      </c>
      <c r="C363" s="6">
        <f>(Indices!C367-Indices!C366)/Indices!C366</f>
        <v>-1.2299609842778218E-2</v>
      </c>
      <c r="D363" s="6">
        <f>(Indices!D367-Indices!D366)/Indices!D366</f>
        <v>-2.4005602734860139E-2</v>
      </c>
      <c r="E363" s="6">
        <f>(Indices!E367-Indices!E366)/Indices!E366</f>
        <v>-2.4854085225108985E-2</v>
      </c>
      <c r="F363" s="6">
        <f>(Indices!F367-Indices!F366)/Indices!F366</f>
        <v>-1.3820118125898838E-2</v>
      </c>
      <c r="G363" s="6">
        <f>(Indices!G367-Indices!G366)/Indices!G366</f>
        <v>-1.3731629042003092E-2</v>
      </c>
      <c r="H363" s="6">
        <f>(Indices!H367-Indices!H366)/Indices!H366</f>
        <v>-1.9258912369021872E-2</v>
      </c>
      <c r="I363" s="6">
        <f>(Indices!I367-Indices!I366)/Indices!I366</f>
        <v>-4.0857041426205342E-3</v>
      </c>
      <c r="J363" s="6">
        <f>(Indices!J367-Indices!J366)/Indices!J366</f>
        <v>-1.2628795604098105E-2</v>
      </c>
      <c r="K363" s="6">
        <f>(Indices!K367-Indices!K366)/Indices!K366</f>
        <v>-1.444871258581735E-2</v>
      </c>
      <c r="L363" s="6">
        <f>(Indices!L367-Indices!L366)/Indices!L366</f>
        <v>-8.9564614228103759E-3</v>
      </c>
      <c r="M363" s="10">
        <f>WEEKNUM(Rend_j[[#This Row],[Date]])-1</f>
        <v>20</v>
      </c>
      <c r="N363" s="7" t="str">
        <f>TEXT(Rend_j[[#This Row],[Date]],"ddd")</f>
        <v>Thu</v>
      </c>
      <c r="O363" s="7">
        <f>MONTH(Rend_j[[#This Row],[Date]])</f>
        <v>5</v>
      </c>
      <c r="P363" s="7">
        <f>YEAR(Rend_j[[#This Row],[Date]])</f>
        <v>2022</v>
      </c>
      <c r="Q363" s="7" t="str">
        <f>Rend_j[[#This Row],[Week]]&amp;","&amp;Rend_j[[#This Row],[Year]]</f>
        <v>20,2022</v>
      </c>
      <c r="R363" s="7" t="str">
        <f>Rend_j[[#This Row],[Month]]&amp;","&amp;Rend_j[[#This Row],[Year]]</f>
        <v>5,2022</v>
      </c>
    </row>
    <row r="364" spans="1:18" x14ac:dyDescent="0.25">
      <c r="A364" s="1">
        <v>44701</v>
      </c>
      <c r="B364" s="6">
        <f>(Indices!B368-Indices!B367)/Indices!B367</f>
        <v>3.4146839544680563E-2</v>
      </c>
      <c r="C364" s="6">
        <f>(Indices!C368-Indices!C367)/Indices!C367</f>
        <v>4.6306798182145191E-3</v>
      </c>
      <c r="D364" s="6">
        <f>(Indices!D368-Indices!D367)/Indices!D367</f>
        <v>1.9752206907232551E-2</v>
      </c>
      <c r="E364" s="6">
        <f>(Indices!E368-Indices!E367)/Indices!E367</f>
        <v>2.316301780728389E-2</v>
      </c>
      <c r="F364" s="6">
        <f>(Indices!F368-Indices!F367)/Indices!F367</f>
        <v>7.801299595970734E-3</v>
      </c>
      <c r="G364" s="6">
        <f>(Indices!G368-Indices!G367)/Indices!G367</f>
        <v>6.7227291893741008E-3</v>
      </c>
      <c r="H364" s="6">
        <f>(Indices!H368-Indices!H367)/Indices!H367</f>
        <v>1.2902391468703962E-2</v>
      </c>
      <c r="I364" s="6">
        <f>(Indices!I368-Indices!I367)/Indices!I367</f>
        <v>-1.1714637968096049E-4</v>
      </c>
      <c r="J364" s="6">
        <f>(Indices!J368-Indices!J367)/Indices!J367</f>
        <v>1.9975852666401176E-3</v>
      </c>
      <c r="K364" s="6">
        <f>(Indices!K368-Indices!K367)/Indices!K367</f>
        <v>7.996663524075541E-3</v>
      </c>
      <c r="L364" s="6">
        <f>(Indices!L368-Indices!L367)/Indices!L367</f>
        <v>7.1753492838589695E-3</v>
      </c>
      <c r="M364" s="10">
        <f>WEEKNUM(Rend_j[[#This Row],[Date]])-1</f>
        <v>20</v>
      </c>
      <c r="N364" s="7" t="str">
        <f>TEXT(Rend_j[[#This Row],[Date]],"ddd")</f>
        <v>Fri</v>
      </c>
      <c r="O364" s="7">
        <f>MONTH(Rend_j[[#This Row],[Date]])</f>
        <v>5</v>
      </c>
      <c r="P364" s="7">
        <f>YEAR(Rend_j[[#This Row],[Date]])</f>
        <v>2022</v>
      </c>
      <c r="Q364" s="7" t="str">
        <f>Rend_j[[#This Row],[Week]]&amp;","&amp;Rend_j[[#This Row],[Year]]</f>
        <v>20,2022</v>
      </c>
      <c r="R364" s="7" t="str">
        <f>Rend_j[[#This Row],[Month]]&amp;","&amp;Rend_j[[#This Row],[Year]]</f>
        <v>5,2022</v>
      </c>
    </row>
    <row r="365" spans="1:18" x14ac:dyDescent="0.25">
      <c r="A365" s="1">
        <v>44704</v>
      </c>
      <c r="B365" s="6">
        <f>(Indices!B369-Indices!B368)/Indices!B368</f>
        <v>-1.7389270150474919E-2</v>
      </c>
      <c r="C365" s="6">
        <f>(Indices!C369-Indices!C368)/Indices!C368</f>
        <v>6.9101101724606895E-3</v>
      </c>
      <c r="D365" s="6">
        <f>(Indices!D369-Indices!D368)/Indices!D368</f>
        <v>-6.7339555990244496E-3</v>
      </c>
      <c r="E365" s="6">
        <f>(Indices!E369-Indices!E368)/Indices!E368</f>
        <v>-1.1120689207504735E-2</v>
      </c>
      <c r="F365" s="6">
        <f>(Indices!F369-Indices!F368)/Indices!F368</f>
        <v>1.5888264853680769E-3</v>
      </c>
      <c r="G365" s="6">
        <f>(Indices!G369-Indices!G368)/Indices!G368</f>
        <v>4.8404431870267993E-3</v>
      </c>
      <c r="H365" s="6">
        <f>(Indices!H369-Indices!H368)/Indices!H368</f>
        <v>1.4613881222930433E-2</v>
      </c>
      <c r="I365" s="6">
        <f>(Indices!I369-Indices!I368)/Indices!I368</f>
        <v>1.7249977524872888E-2</v>
      </c>
      <c r="J365" s="6">
        <f>(Indices!J369-Indices!J368)/Indices!J368</f>
        <v>1.1694063753108726E-2</v>
      </c>
      <c r="K365" s="6">
        <f>(Indices!K369-Indices!K368)/Indices!K368</f>
        <v>1.2618888713260631E-2</v>
      </c>
      <c r="L365" s="6">
        <f>(Indices!L369-Indices!L368)/Indices!L368</f>
        <v>1.38386120198044E-2</v>
      </c>
      <c r="M365" s="10">
        <f>WEEKNUM(Rend_j[[#This Row],[Date]])-1</f>
        <v>21</v>
      </c>
      <c r="N365" s="7" t="str">
        <f>TEXT(Rend_j[[#This Row],[Date]],"ddd")</f>
        <v>Mon</v>
      </c>
      <c r="O365" s="7">
        <f>MONTH(Rend_j[[#This Row],[Date]])</f>
        <v>5</v>
      </c>
      <c r="P365" s="7">
        <f>YEAR(Rend_j[[#This Row],[Date]])</f>
        <v>2022</v>
      </c>
      <c r="Q365" s="7" t="str">
        <f>Rend_j[[#This Row],[Week]]&amp;","&amp;Rend_j[[#This Row],[Year]]</f>
        <v>21,2022</v>
      </c>
      <c r="R365" s="7" t="str">
        <f>Rend_j[[#This Row],[Month]]&amp;","&amp;Rend_j[[#This Row],[Year]]</f>
        <v>5,2022</v>
      </c>
    </row>
    <row r="366" spans="1:18" x14ac:dyDescent="0.25">
      <c r="A366" s="1">
        <v>44705</v>
      </c>
      <c r="B366" s="6">
        <f>(Indices!B370-Indices!B369)/Indices!B369</f>
        <v>-3.2846931406738063E-2</v>
      </c>
      <c r="C366" s="6">
        <f>(Indices!C370-Indices!C369)/Indices!C369</f>
        <v>-1.3431537435481025E-2</v>
      </c>
      <c r="D366" s="6">
        <f>(Indices!D370-Indices!D369)/Indices!D369</f>
        <v>-1.7445949665147866E-2</v>
      </c>
      <c r="E366" s="6">
        <f>(Indices!E370-Indices!E369)/Indices!E369</f>
        <v>-2.2249937640309424E-2</v>
      </c>
      <c r="F366" s="6">
        <f>(Indices!F370-Indices!F369)/Indices!F369</f>
        <v>-4.4576431672015493E-3</v>
      </c>
      <c r="G366" s="6">
        <f>(Indices!G370-Indices!G369)/Indices!G369</f>
        <v>-1.4419919701456155E-2</v>
      </c>
      <c r="H366" s="6">
        <f>(Indices!H370-Indices!H369)/Indices!H369</f>
        <v>-1.2448092615357823E-2</v>
      </c>
      <c r="I366" s="6">
        <f>(Indices!I370-Indices!I369)/Indices!I369</f>
        <v>-1.0555946643472952E-2</v>
      </c>
      <c r="J366" s="6">
        <f>(Indices!J370-Indices!J369)/Indices!J369</f>
        <v>-1.6607078307014161E-2</v>
      </c>
      <c r="K366" s="6">
        <f>(Indices!K370-Indices!K369)/Indices!K369</f>
        <v>-1.1362124656940621E-2</v>
      </c>
      <c r="L366" s="6">
        <f>(Indices!L370-Indices!L369)/Indices!L369</f>
        <v>-1.8034791467361203E-2</v>
      </c>
      <c r="M366" s="10">
        <f>WEEKNUM(Rend_j[[#This Row],[Date]])-1</f>
        <v>21</v>
      </c>
      <c r="N366" s="7" t="str">
        <f>TEXT(Rend_j[[#This Row],[Date]],"ddd")</f>
        <v>Tue</v>
      </c>
      <c r="O366" s="7">
        <f>MONTH(Rend_j[[#This Row],[Date]])</f>
        <v>5</v>
      </c>
      <c r="P366" s="7">
        <f>YEAR(Rend_j[[#This Row],[Date]])</f>
        <v>2022</v>
      </c>
      <c r="Q366" s="7" t="str">
        <f>Rend_j[[#This Row],[Week]]&amp;","&amp;Rend_j[[#This Row],[Year]]</f>
        <v>21,2022</v>
      </c>
      <c r="R366" s="7" t="str">
        <f>Rend_j[[#This Row],[Month]]&amp;","&amp;Rend_j[[#This Row],[Year]]</f>
        <v>5,2022</v>
      </c>
    </row>
    <row r="367" spans="1:18" x14ac:dyDescent="0.25">
      <c r="A367" s="1">
        <v>44706</v>
      </c>
      <c r="B367" s="6">
        <f>(Indices!B371-Indices!B370)/Indices!B370</f>
        <v>9.5355026001801759E-3</v>
      </c>
      <c r="C367" s="6">
        <f>(Indices!C371-Indices!C370)/Indices!C370</f>
        <v>1.1756821895905099E-2</v>
      </c>
      <c r="D367" s="6">
        <f>(Indices!D371-Indices!D370)/Indices!D370</f>
        <v>6.8657506107904246E-3</v>
      </c>
      <c r="E367" s="6">
        <f>(Indices!E371-Indices!E370)/Indices!E370</f>
        <v>6.9740400288952368E-3</v>
      </c>
      <c r="F367" s="6">
        <f>(Indices!F371-Indices!F370)/Indices!F370</f>
        <v>-1.8713291377680989E-3</v>
      </c>
      <c r="G367" s="6">
        <f>(Indices!G371-Indices!G370)/Indices!G370</f>
        <v>1.1219547228229258E-2</v>
      </c>
      <c r="H367" s="6">
        <f>(Indices!H371-Indices!H370)/Indices!H370</f>
        <v>1.0977916744263594E-2</v>
      </c>
      <c r="I367" s="6">
        <f>(Indices!I371-Indices!I370)/Indices!I370</f>
        <v>1.1380528035708595E-2</v>
      </c>
      <c r="J367" s="6">
        <f>(Indices!J371-Indices!J370)/Indices!J370</f>
        <v>7.276344205173855E-3</v>
      </c>
      <c r="K367" s="6">
        <f>(Indices!K371-Indices!K370)/Indices!K370</f>
        <v>6.3256200061009554E-3</v>
      </c>
      <c r="L367" s="6">
        <f>(Indices!L371-Indices!L370)/Indices!L370</f>
        <v>6.3348616174860074E-3</v>
      </c>
      <c r="M367" s="10">
        <f>WEEKNUM(Rend_j[[#This Row],[Date]])-1</f>
        <v>21</v>
      </c>
      <c r="N367" s="7" t="str">
        <f>TEXT(Rend_j[[#This Row],[Date]],"ddd")</f>
        <v>Wed</v>
      </c>
      <c r="O367" s="7">
        <f>MONTH(Rend_j[[#This Row],[Date]])</f>
        <v>5</v>
      </c>
      <c r="P367" s="7">
        <f>YEAR(Rend_j[[#This Row],[Date]])</f>
        <v>2022</v>
      </c>
      <c r="Q367" s="7" t="str">
        <f>Rend_j[[#This Row],[Week]]&amp;","&amp;Rend_j[[#This Row],[Year]]</f>
        <v>21,2022</v>
      </c>
      <c r="R367" s="7" t="str">
        <f>Rend_j[[#This Row],[Month]]&amp;","&amp;Rend_j[[#This Row],[Year]]</f>
        <v>5,2022</v>
      </c>
    </row>
    <row r="368" spans="1:18" x14ac:dyDescent="0.25">
      <c r="A368" s="1">
        <v>44707</v>
      </c>
      <c r="B368" s="6">
        <f>(Indices!B372-Indices!B371)/Indices!B371</f>
        <v>-3.657496094827602E-3</v>
      </c>
      <c r="C368" s="6">
        <f>(Indices!C372-Indices!C371)/Indices!C371</f>
        <v>1.2646656673290131E-2</v>
      </c>
      <c r="D368" s="6">
        <f>(Indices!D372-Indices!D371)/Indices!D371</f>
        <v>-6.3161170202358534E-4</v>
      </c>
      <c r="E368" s="6">
        <f>(Indices!E372-Indices!E371)/Indices!E371</f>
        <v>-2.5601501954782317E-4</v>
      </c>
      <c r="F368" s="6">
        <f>(Indices!F372-Indices!F371)/Indices!F371</f>
        <v>-3.514547007066294E-3</v>
      </c>
      <c r="G368" s="6">
        <f>(Indices!G372-Indices!G371)/Indices!G371</f>
        <v>1.1209488411732598E-2</v>
      </c>
      <c r="H368" s="6">
        <f>(Indices!H372-Indices!H371)/Indices!H371</f>
        <v>3.1509651648682201E-3</v>
      </c>
      <c r="I368" s="6">
        <f>(Indices!I372-Indices!I371)/Indices!I371</f>
        <v>2.0763392954529312E-2</v>
      </c>
      <c r="J368" s="6">
        <f>(Indices!J372-Indices!J371)/Indices!J371</f>
        <v>1.7772080729367701E-2</v>
      </c>
      <c r="K368" s="6">
        <f>(Indices!K372-Indices!K371)/Indices!K371</f>
        <v>0</v>
      </c>
      <c r="L368" s="6">
        <f>(Indices!L372-Indices!L371)/Indices!L371</f>
        <v>1.5945279205638204E-2</v>
      </c>
      <c r="M368" s="10">
        <f>WEEKNUM(Rend_j[[#This Row],[Date]])-1</f>
        <v>21</v>
      </c>
      <c r="N368" s="7" t="str">
        <f>TEXT(Rend_j[[#This Row],[Date]],"ddd")</f>
        <v>Thu</v>
      </c>
      <c r="O368" s="7">
        <f>MONTH(Rend_j[[#This Row],[Date]])</f>
        <v>5</v>
      </c>
      <c r="P368" s="7">
        <f>YEAR(Rend_j[[#This Row],[Date]])</f>
        <v>2022</v>
      </c>
      <c r="Q368" s="7" t="str">
        <f>Rend_j[[#This Row],[Week]]&amp;","&amp;Rend_j[[#This Row],[Year]]</f>
        <v>21,2022</v>
      </c>
      <c r="R368" s="7" t="str">
        <f>Rend_j[[#This Row],[Month]]&amp;","&amp;Rend_j[[#This Row],[Year]]</f>
        <v>5,2022</v>
      </c>
    </row>
    <row r="369" spans="1:18" x14ac:dyDescent="0.25">
      <c r="A369" s="1">
        <v>44708</v>
      </c>
      <c r="B369" s="6">
        <f>(Indices!B373-Indices!B372)/Indices!B372</f>
        <v>1.8659343965650648E-2</v>
      </c>
      <c r="C369" s="6">
        <f>(Indices!C373-Indices!C372)/Indices!C372</f>
        <v>2.2081886197769341E-2</v>
      </c>
      <c r="D369" s="6">
        <f>(Indices!D373-Indices!D372)/Indices!D372</f>
        <v>1.7167137495875968E-2</v>
      </c>
      <c r="E369" s="6">
        <f>(Indices!E373-Indices!E372)/Indices!E372</f>
        <v>2.0470441365549635E-2</v>
      </c>
      <c r="F369" s="6">
        <f>(Indices!F373-Indices!F372)/Indices!F372</f>
        <v>7.109769879413399E-3</v>
      </c>
      <c r="G369" s="6">
        <f>(Indices!G373-Indices!G372)/Indices!G372</f>
        <v>2.1901227920261269E-2</v>
      </c>
      <c r="H369" s="6">
        <f>(Indices!H373-Indices!H372)/Indices!H372</f>
        <v>5.8762129354002187E-3</v>
      </c>
      <c r="I369" s="6">
        <f>(Indices!I373-Indices!I372)/Indices!I372</f>
        <v>2.5313452778012797E-2</v>
      </c>
      <c r="J369" s="6">
        <f>(Indices!J373-Indices!J372)/Indices!J372</f>
        <v>1.6405679473675869E-2</v>
      </c>
      <c r="K369" s="6">
        <f>(Indices!K373-Indices!K372)/Indices!K372</f>
        <v>2.2150065723331603E-2</v>
      </c>
      <c r="L369" s="6">
        <f>(Indices!L373-Indices!L372)/Indices!L372</f>
        <v>1.6224839023799467E-2</v>
      </c>
      <c r="M369" s="10">
        <f>WEEKNUM(Rend_j[[#This Row],[Date]])-1</f>
        <v>21</v>
      </c>
      <c r="N369" s="7" t="str">
        <f>TEXT(Rend_j[[#This Row],[Date]],"ddd")</f>
        <v>Fri</v>
      </c>
      <c r="O369" s="7">
        <f>MONTH(Rend_j[[#This Row],[Date]])</f>
        <v>5</v>
      </c>
      <c r="P369" s="7">
        <f>YEAR(Rend_j[[#This Row],[Date]])</f>
        <v>2022</v>
      </c>
      <c r="Q369" s="7" t="str">
        <f>Rend_j[[#This Row],[Week]]&amp;","&amp;Rend_j[[#This Row],[Year]]</f>
        <v>21,2022</v>
      </c>
      <c r="R369" s="7" t="str">
        <f>Rend_j[[#This Row],[Month]]&amp;","&amp;Rend_j[[#This Row],[Year]]</f>
        <v>5,2022</v>
      </c>
    </row>
    <row r="370" spans="1:18" x14ac:dyDescent="0.25">
      <c r="A370" s="1">
        <v>44711</v>
      </c>
      <c r="B370" s="6">
        <f>(Indices!B374-Indices!B373)/Indices!B373</f>
        <v>1.1979869880428484E-2</v>
      </c>
      <c r="C370" s="6">
        <f>(Indices!C374-Indices!C373)/Indices!C373</f>
        <v>-2.1369040713450009E-3</v>
      </c>
      <c r="D370" s="6">
        <f>(Indices!D374-Indices!D373)/Indices!D373</f>
        <v>1.4482995770957125E-2</v>
      </c>
      <c r="E370" s="6">
        <f>(Indices!E374-Indices!E373)/Indices!E373</f>
        <v>1.4431874026286387E-2</v>
      </c>
      <c r="F370" s="6">
        <f>(Indices!F374-Indices!F373)/Indices!F373</f>
        <v>8.4899901967434039E-3</v>
      </c>
      <c r="G370" s="6">
        <f>(Indices!G374-Indices!G373)/Indices!G373</f>
        <v>-3.1309660175637131E-4</v>
      </c>
      <c r="H370" s="6">
        <f>(Indices!H374-Indices!H373)/Indices!H373</f>
        <v>-2.5942580421998928E-3</v>
      </c>
      <c r="I370" s="6">
        <f>(Indices!I374-Indices!I373)/Indices!I373</f>
        <v>0</v>
      </c>
      <c r="J370" s="6">
        <f>(Indices!J374-Indices!J373)/Indices!J373</f>
        <v>7.1580611594981884E-3</v>
      </c>
      <c r="K370" s="6">
        <f>(Indices!K374-Indices!K373)/Indices!K373</f>
        <v>5.9469151479475523E-3</v>
      </c>
      <c r="L370" s="6">
        <f>(Indices!L374-Indices!L373)/Indices!L373</f>
        <v>7.8681054955518151E-3</v>
      </c>
      <c r="M370" s="10">
        <f>WEEKNUM(Rend_j[[#This Row],[Date]])-1</f>
        <v>22</v>
      </c>
      <c r="N370" s="7" t="str">
        <f>TEXT(Rend_j[[#This Row],[Date]],"ddd")</f>
        <v>Mon</v>
      </c>
      <c r="O370" s="7">
        <f>MONTH(Rend_j[[#This Row],[Date]])</f>
        <v>5</v>
      </c>
      <c r="P370" s="7">
        <f>YEAR(Rend_j[[#This Row],[Date]])</f>
        <v>2022</v>
      </c>
      <c r="Q370" s="7" t="str">
        <f>Rend_j[[#This Row],[Week]]&amp;","&amp;Rend_j[[#This Row],[Year]]</f>
        <v>22,2022</v>
      </c>
      <c r="R370" s="7" t="str">
        <f>Rend_j[[#This Row],[Month]]&amp;","&amp;Rend_j[[#This Row],[Year]]</f>
        <v>5,2022</v>
      </c>
    </row>
    <row r="371" spans="1:18" x14ac:dyDescent="0.25">
      <c r="A371" s="1">
        <v>44712</v>
      </c>
      <c r="B371" s="6">
        <f>(Indices!B375-Indices!B374)/Indices!B374</f>
        <v>2.8489820015715837E-2</v>
      </c>
      <c r="C371" s="6">
        <f>(Indices!C375-Indices!C374)/Indices!C374</f>
        <v>-2.2314898851625445E-3</v>
      </c>
      <c r="D371" s="6">
        <f>(Indices!D375-Indices!D374)/Indices!D374</f>
        <v>1.2346641148593093E-2</v>
      </c>
      <c r="E371" s="6">
        <f>(Indices!E375-Indices!E374)/Indices!E374</f>
        <v>1.8132999378989163E-2</v>
      </c>
      <c r="F371" s="6">
        <f>(Indices!F375-Indices!F374)/Indices!F374</f>
        <v>-5.5573217255210075E-3</v>
      </c>
      <c r="G371" s="6">
        <f>(Indices!G375-Indices!G374)/Indices!G374</f>
        <v>4.2013918065312939E-5</v>
      </c>
      <c r="H371" s="6">
        <f>(Indices!H375-Indices!H374)/Indices!H374</f>
        <v>4.9611775812573511E-3</v>
      </c>
      <c r="I371" s="6">
        <f>(Indices!I375-Indices!I374)/Indices!I374</f>
        <v>-7.4221135929627294E-3</v>
      </c>
      <c r="J371" s="6">
        <f>(Indices!J375-Indices!J374)/Indices!J374</f>
        <v>-1.4261622678042353E-2</v>
      </c>
      <c r="K371" s="6">
        <f>(Indices!K375-Indices!K374)/Indices!K374</f>
        <v>-7.2105178348889163E-3</v>
      </c>
      <c r="L371" s="6">
        <f>(Indices!L375-Indices!L374)/Indices!L374</f>
        <v>-1.2872606435373546E-2</v>
      </c>
      <c r="M371" s="10">
        <f>WEEKNUM(Rend_j[[#This Row],[Date]])-1</f>
        <v>22</v>
      </c>
      <c r="N371" s="7" t="str">
        <f>TEXT(Rend_j[[#This Row],[Date]],"ddd")</f>
        <v>Tue</v>
      </c>
      <c r="O371" s="7">
        <f>MONTH(Rend_j[[#This Row],[Date]])</f>
        <v>5</v>
      </c>
      <c r="P371" s="7">
        <f>YEAR(Rend_j[[#This Row],[Date]])</f>
        <v>2022</v>
      </c>
      <c r="Q371" s="7" t="str">
        <f>Rend_j[[#This Row],[Week]]&amp;","&amp;Rend_j[[#This Row],[Year]]</f>
        <v>22,2022</v>
      </c>
      <c r="R371" s="7" t="str">
        <f>Rend_j[[#This Row],[Month]]&amp;","&amp;Rend_j[[#This Row],[Year]]</f>
        <v>5,2022</v>
      </c>
    </row>
    <row r="372" spans="1:18" x14ac:dyDescent="0.25">
      <c r="A372" s="1">
        <v>44713</v>
      </c>
      <c r="B372" s="6">
        <f>(Indices!B376-Indices!B375)/Indices!B375</f>
        <v>-3.8492416727101356E-3</v>
      </c>
      <c r="C372" s="6">
        <f>(Indices!C376-Indices!C375)/Indices!C375</f>
        <v>-3.187454659585154E-3</v>
      </c>
      <c r="D372" s="6">
        <f>(Indices!D376-Indices!D375)/Indices!D375</f>
        <v>-5.5580421361080875E-3</v>
      </c>
      <c r="E372" s="6">
        <f>(Indices!E376-Indices!E375)/Indices!E375</f>
        <v>-4.9226299245280943E-3</v>
      </c>
      <c r="F372" s="6">
        <f>(Indices!F376-Indices!F375)/Indices!F375</f>
        <v>6.2154568760412624E-3</v>
      </c>
      <c r="G372" s="6">
        <f>(Indices!G376-Indices!G375)/Indices!G375</f>
        <v>-3.3877072440409595E-3</v>
      </c>
      <c r="H372" s="6">
        <f>(Indices!H376-Indices!H375)/Indices!H375</f>
        <v>-1.3822720257666175E-2</v>
      </c>
      <c r="I372" s="6">
        <f>(Indices!I376-Indices!I375)/Indices!I375</f>
        <v>-7.5447743729793034E-3</v>
      </c>
      <c r="J372" s="6">
        <f>(Indices!J376-Indices!J375)/Indices!J375</f>
        <v>-7.7154448281769525E-3</v>
      </c>
      <c r="K372" s="6">
        <f>(Indices!K376-Indices!K375)/Indices!K375</f>
        <v>-1.0443227556875195E-2</v>
      </c>
      <c r="L372" s="6">
        <f>(Indices!L376-Indices!L375)/Indices!L375</f>
        <v>-3.3276839455389489E-3</v>
      </c>
      <c r="M372" s="10">
        <f>WEEKNUM(Rend_j[[#This Row],[Date]])-1</f>
        <v>22</v>
      </c>
      <c r="N372" s="7" t="str">
        <f>TEXT(Rend_j[[#This Row],[Date]],"ddd")</f>
        <v>Wed</v>
      </c>
      <c r="O372" s="7">
        <f>MONTH(Rend_j[[#This Row],[Date]])</f>
        <v>6</v>
      </c>
      <c r="P372" s="7">
        <f>YEAR(Rend_j[[#This Row],[Date]])</f>
        <v>2022</v>
      </c>
      <c r="Q372" s="7" t="str">
        <f>Rend_j[[#This Row],[Week]]&amp;","&amp;Rend_j[[#This Row],[Year]]</f>
        <v>22,2022</v>
      </c>
      <c r="R372" s="7" t="str">
        <f>Rend_j[[#This Row],[Month]]&amp;","&amp;Rend_j[[#This Row],[Year]]</f>
        <v>6,2022</v>
      </c>
    </row>
    <row r="373" spans="1:18" x14ac:dyDescent="0.25">
      <c r="A373" s="1">
        <v>44714</v>
      </c>
      <c r="B373" s="6">
        <f>(Indices!B377-Indices!B376)/Indices!B376</f>
        <v>-4.1851106966446479E-3</v>
      </c>
      <c r="C373" s="6">
        <f>(Indices!C377-Indices!C376)/Indices!C376</f>
        <v>1.1093723486491101E-2</v>
      </c>
      <c r="D373" s="6">
        <f>(Indices!D377-Indices!D376)/Indices!D376</f>
        <v>-1.1303264736970091E-2</v>
      </c>
      <c r="E373" s="6">
        <f>(Indices!E377-Indices!E376)/Indices!E376</f>
        <v>-1.0555257408391755E-2</v>
      </c>
      <c r="F373" s="6">
        <f>(Indices!F377-Indices!F376)/Indices!F376</f>
        <v>-9.9407344045944965E-3</v>
      </c>
      <c r="G373" s="6">
        <f>(Indices!G377-Indices!G376)/Indices!G376</f>
        <v>8.6034444435928465E-3</v>
      </c>
      <c r="H373" s="6">
        <f>(Indices!H377-Indices!H376)/Indices!H376</f>
        <v>-7.8733269180302162E-4</v>
      </c>
      <c r="I373" s="6">
        <f>(Indices!I377-Indices!I376)/Indices!I376</f>
        <v>2.0397131962925478E-2</v>
      </c>
      <c r="J373" s="6">
        <f>(Indices!J377-Indices!J376)/Indices!J376</f>
        <v>1.2704658010880566E-2</v>
      </c>
      <c r="K373" s="6">
        <f>(Indices!K377-Indices!K376)/Indices!K376</f>
        <v>5.721211693742601E-3</v>
      </c>
      <c r="L373" s="6">
        <f>(Indices!L377-Indices!L376)/Indices!L376</f>
        <v>1.0090338233292973E-2</v>
      </c>
      <c r="M373" s="10">
        <f>WEEKNUM(Rend_j[[#This Row],[Date]])-1</f>
        <v>22</v>
      </c>
      <c r="N373" s="7" t="str">
        <f>TEXT(Rend_j[[#This Row],[Date]],"ddd")</f>
        <v>Thu</v>
      </c>
      <c r="O373" s="7">
        <f>MONTH(Rend_j[[#This Row],[Date]])</f>
        <v>6</v>
      </c>
      <c r="P373" s="7">
        <f>YEAR(Rend_j[[#This Row],[Date]])</f>
        <v>2022</v>
      </c>
      <c r="Q373" s="7" t="str">
        <f>Rend_j[[#This Row],[Week]]&amp;","&amp;Rend_j[[#This Row],[Year]]</f>
        <v>22,2022</v>
      </c>
      <c r="R373" s="7" t="str">
        <f>Rend_j[[#This Row],[Month]]&amp;","&amp;Rend_j[[#This Row],[Year]]</f>
        <v>6,2022</v>
      </c>
    </row>
    <row r="374" spans="1:18" x14ac:dyDescent="0.25">
      <c r="A374" s="1">
        <v>44715</v>
      </c>
      <c r="B374" s="6">
        <f>(Indices!B378-Indices!B377)/Indices!B377</f>
        <v>-1.5534461687298044E-3</v>
      </c>
      <c r="C374" s="6">
        <f>(Indices!C378-Indices!C377)/Indices!C377</f>
        <v>-1.2933686883943722E-2</v>
      </c>
      <c r="D374" s="6">
        <f>(Indices!D378-Indices!D377)/Indices!D377</f>
        <v>-9.6065432906776741E-4</v>
      </c>
      <c r="E374" s="6">
        <f>(Indices!E378-Indices!E377)/Indices!E377</f>
        <v>-1.169608682352235E-3</v>
      </c>
      <c r="F374" s="6">
        <f>(Indices!F378-Indices!F377)/Indices!F377</f>
        <v>-3.1534839517905473E-3</v>
      </c>
      <c r="G374" s="6">
        <f>(Indices!G378-Indices!G377)/Indices!G377</f>
        <v>-1.1603916606823401E-2</v>
      </c>
      <c r="H374" s="6">
        <f>(Indices!H378-Indices!H377)/Indices!H377</f>
        <v>-2.2665810618884034E-3</v>
      </c>
      <c r="I374" s="6">
        <f>(Indices!I378-Indices!I377)/Indices!I377</f>
        <v>-1.6119595263090206E-2</v>
      </c>
      <c r="J374" s="6">
        <f>(Indices!J378-Indices!J377)/Indices!J377</f>
        <v>-2.3290940516975055E-3</v>
      </c>
      <c r="K374" s="6">
        <f>(Indices!K378-Indices!K377)/Indices!K377</f>
        <v>-2.5837204441653571E-3</v>
      </c>
      <c r="L374" s="6">
        <f>(Indices!L378-Indices!L377)/Indices!L377</f>
        <v>-1.7314315357371882E-3</v>
      </c>
      <c r="M374" s="10">
        <f>WEEKNUM(Rend_j[[#This Row],[Date]])-1</f>
        <v>22</v>
      </c>
      <c r="N374" s="7" t="str">
        <f>TEXT(Rend_j[[#This Row],[Date]],"ddd")</f>
        <v>Fri</v>
      </c>
      <c r="O374" s="7">
        <f>MONTH(Rend_j[[#This Row],[Date]])</f>
        <v>6</v>
      </c>
      <c r="P374" s="7">
        <f>YEAR(Rend_j[[#This Row],[Date]])</f>
        <v>2022</v>
      </c>
      <c r="Q374" s="7" t="str">
        <f>Rend_j[[#This Row],[Week]]&amp;","&amp;Rend_j[[#This Row],[Year]]</f>
        <v>22,2022</v>
      </c>
      <c r="R374" s="7" t="str">
        <f>Rend_j[[#This Row],[Month]]&amp;","&amp;Rend_j[[#This Row],[Year]]</f>
        <v>6,2022</v>
      </c>
    </row>
    <row r="375" spans="1:18" x14ac:dyDescent="0.25">
      <c r="A375" s="1">
        <v>44718</v>
      </c>
      <c r="B375" s="6">
        <f>(Indices!B379-Indices!B378)/Indices!B378</f>
        <v>2.885122038523534E-2</v>
      </c>
      <c r="C375" s="6">
        <f>(Indices!C379-Indices!C378)/Indices!C378</f>
        <v>4.0163373874539336E-3</v>
      </c>
      <c r="D375" s="6">
        <f>(Indices!D379-Indices!D378)/Indices!D378</f>
        <v>6.9731994023542083E-4</v>
      </c>
      <c r="E375" s="6">
        <f>(Indices!E379-Indices!E378)/Indices!E378</f>
        <v>1.0127031840314599E-2</v>
      </c>
      <c r="F375" s="6">
        <f>(Indices!F379-Indices!F378)/Indices!F378</f>
        <v>-1.7334026694401179E-3</v>
      </c>
      <c r="G375" s="6">
        <f>(Indices!G379-Indices!G378)/Indices!G378</f>
        <v>4.7091295606479103E-3</v>
      </c>
      <c r="H375" s="6">
        <f>(Indices!H379-Indices!H378)/Indices!H378</f>
        <v>1.2908887047238318E-2</v>
      </c>
      <c r="I375" s="6">
        <f>(Indices!I379-Indices!I378)/Indices!I378</f>
        <v>3.3264772703218938E-3</v>
      </c>
      <c r="J375" s="6">
        <f>(Indices!J379-Indices!J378)/Indices!J378</f>
        <v>9.7882876518767311E-3</v>
      </c>
      <c r="K375" s="6">
        <f>(Indices!K379-Indices!K378)/Indices!K378</f>
        <v>0</v>
      </c>
      <c r="L375" s="6">
        <f>(Indices!L379-Indices!L378)/Indices!L378</f>
        <v>1.3396855216218967E-2</v>
      </c>
      <c r="M375" s="10">
        <f>WEEKNUM(Rend_j[[#This Row],[Date]])-1</f>
        <v>23</v>
      </c>
      <c r="N375" s="7" t="str">
        <f>TEXT(Rend_j[[#This Row],[Date]],"ddd")</f>
        <v>Mon</v>
      </c>
      <c r="O375" s="7">
        <f>MONTH(Rend_j[[#This Row],[Date]])</f>
        <v>6</v>
      </c>
      <c r="P375" s="7">
        <f>YEAR(Rend_j[[#This Row],[Date]])</f>
        <v>2022</v>
      </c>
      <c r="Q375" s="7" t="str">
        <f>Rend_j[[#This Row],[Week]]&amp;","&amp;Rend_j[[#This Row],[Year]]</f>
        <v>23,2022</v>
      </c>
      <c r="R375" s="7" t="str">
        <f>Rend_j[[#This Row],[Month]]&amp;","&amp;Rend_j[[#This Row],[Year]]</f>
        <v>6,2022</v>
      </c>
    </row>
    <row r="376" spans="1:18" x14ac:dyDescent="0.25">
      <c r="A376" s="1">
        <v>44719</v>
      </c>
      <c r="B376" s="6">
        <f>(Indices!B380-Indices!B379)/Indices!B379</f>
        <v>2.9883666729477645E-3</v>
      </c>
      <c r="C376" s="6">
        <f>(Indices!C380-Indices!C379)/Indices!C379</f>
        <v>6.9619014646334111E-3</v>
      </c>
      <c r="D376" s="6">
        <f>(Indices!D380-Indices!D379)/Indices!D379</f>
        <v>-1.3792594481757285E-2</v>
      </c>
      <c r="E376" s="6">
        <f>(Indices!E380-Indices!E379)/Indices!E379</f>
        <v>-8.239511438245797E-3</v>
      </c>
      <c r="F376" s="6">
        <f>(Indices!F380-Indices!F379)/Indices!F379</f>
        <v>-3.2991838860914014E-3</v>
      </c>
      <c r="G376" s="6">
        <f>(Indices!G380-Indices!G379)/Indices!G379</f>
        <v>5.2227213247729512E-3</v>
      </c>
      <c r="H376" s="6">
        <f>(Indices!H380-Indices!H379)/Indices!H379</f>
        <v>2.8203178392323188E-3</v>
      </c>
      <c r="I376" s="6">
        <f>(Indices!I380-Indices!I379)/Indices!I379</f>
        <v>1.0306270212328264E-2</v>
      </c>
      <c r="J376" s="6">
        <f>(Indices!J380-Indices!J379)/Indices!J379</f>
        <v>-7.3952230171074277E-3</v>
      </c>
      <c r="K376" s="6">
        <f>(Indices!K380-Indices!K379)/Indices!K379</f>
        <v>6.3396328600025661E-3</v>
      </c>
      <c r="L376" s="6">
        <f>(Indices!L380-Indices!L379)/Indices!L379</f>
        <v>-6.6323674765755708E-3</v>
      </c>
      <c r="M376" s="10">
        <f>WEEKNUM(Rend_j[[#This Row],[Date]])-1</f>
        <v>23</v>
      </c>
      <c r="N376" s="7" t="str">
        <f>TEXT(Rend_j[[#This Row],[Date]],"ddd")</f>
        <v>Tue</v>
      </c>
      <c r="O376" s="7">
        <f>MONTH(Rend_j[[#This Row],[Date]])</f>
        <v>6</v>
      </c>
      <c r="P376" s="7">
        <f>YEAR(Rend_j[[#This Row],[Date]])</f>
        <v>2022</v>
      </c>
      <c r="Q376" s="7" t="str">
        <f>Rend_j[[#This Row],[Week]]&amp;","&amp;Rend_j[[#This Row],[Year]]</f>
        <v>23,2022</v>
      </c>
      <c r="R376" s="7" t="str">
        <f>Rend_j[[#This Row],[Month]]&amp;","&amp;Rend_j[[#This Row],[Year]]</f>
        <v>6,2022</v>
      </c>
    </row>
    <row r="377" spans="1:18" x14ac:dyDescent="0.25">
      <c r="A377" s="1">
        <v>44720</v>
      </c>
      <c r="B377" s="6">
        <f>(Indices!B381-Indices!B380)/Indices!B380</f>
        <v>2.1357761791680363E-2</v>
      </c>
      <c r="C377" s="6">
        <f>(Indices!C381-Indices!C380)/Indices!C380</f>
        <v>-1.0258537569791707E-2</v>
      </c>
      <c r="D377" s="6">
        <f>(Indices!D381-Indices!D380)/Indices!D380</f>
        <v>-1.593367518617766E-3</v>
      </c>
      <c r="E377" s="6">
        <f>(Indices!E381-Indices!E380)/Indices!E380</f>
        <v>9.5359202599771091E-3</v>
      </c>
      <c r="F377" s="6">
        <f>(Indices!F381-Indices!F380)/Indices!F380</f>
        <v>-1.0639621702338991E-3</v>
      </c>
      <c r="G377" s="6">
        <f>(Indices!G381-Indices!G380)/Indices!G380</f>
        <v>-8.0198536100761168E-3</v>
      </c>
      <c r="H377" s="6">
        <f>(Indices!H381-Indices!H380)/Indices!H380</f>
        <v>-5.3848073563572121E-3</v>
      </c>
      <c r="I377" s="6">
        <f>(Indices!I381-Indices!I380)/Indices!I380</f>
        <v>-1.0994257241339435E-2</v>
      </c>
      <c r="J377" s="6">
        <f>(Indices!J381-Indices!J380)/Indices!J380</f>
        <v>-7.9565276054767171E-3</v>
      </c>
      <c r="K377" s="6">
        <f>(Indices!K381-Indices!K380)/Indices!K380</f>
        <v>-5.6674719374607257E-3</v>
      </c>
      <c r="L377" s="6">
        <f>(Indices!L381-Indices!L380)/Indices!L380</f>
        <v>-7.5999709471019821E-3</v>
      </c>
      <c r="M377" s="10">
        <f>WEEKNUM(Rend_j[[#This Row],[Date]])-1</f>
        <v>23</v>
      </c>
      <c r="N377" s="7" t="str">
        <f>TEXT(Rend_j[[#This Row],[Date]],"ddd")</f>
        <v>Wed</v>
      </c>
      <c r="O377" s="7">
        <f>MONTH(Rend_j[[#This Row],[Date]])</f>
        <v>6</v>
      </c>
      <c r="P377" s="7">
        <f>YEAR(Rend_j[[#This Row],[Date]])</f>
        <v>2022</v>
      </c>
      <c r="Q377" s="7" t="str">
        <f>Rend_j[[#This Row],[Week]]&amp;","&amp;Rend_j[[#This Row],[Year]]</f>
        <v>23,2022</v>
      </c>
      <c r="R377" s="7" t="str">
        <f>Rend_j[[#This Row],[Month]]&amp;","&amp;Rend_j[[#This Row],[Year]]</f>
        <v>6,2022</v>
      </c>
    </row>
    <row r="378" spans="1:18" x14ac:dyDescent="0.25">
      <c r="A378" s="1">
        <v>44721</v>
      </c>
      <c r="B378" s="6">
        <f>(Indices!B382-Indices!B381)/Indices!B381</f>
        <v>-3.5185591798340731E-3</v>
      </c>
      <c r="C378" s="6">
        <f>(Indices!C382-Indices!C381)/Indices!C381</f>
        <v>-1.4639193164097198E-2</v>
      </c>
      <c r="D378" s="6">
        <f>(Indices!D382-Indices!D381)/Indices!D381</f>
        <v>3.7256604545132482E-3</v>
      </c>
      <c r="E378" s="6">
        <f>(Indices!E382-Indices!E381)/Indices!E381</f>
        <v>1.4199304284984863E-3</v>
      </c>
      <c r="F378" s="6">
        <f>(Indices!F382-Indices!F381)/Indices!F381</f>
        <v>4.2105525415915869E-3</v>
      </c>
      <c r="G378" s="6">
        <f>(Indices!G382-Indices!G381)/Indices!G381</f>
        <v>-1.278893084077712E-2</v>
      </c>
      <c r="H378" s="6">
        <f>(Indices!H382-Indices!H381)/Indices!H381</f>
        <v>-8.8785091825016333E-3</v>
      </c>
      <c r="I378" s="6">
        <f>(Indices!I382-Indices!I381)/Indices!I381</f>
        <v>-2.420194223839393E-2</v>
      </c>
      <c r="J378" s="6">
        <f>(Indices!J382-Indices!J381)/Indices!J381</f>
        <v>-1.3982803112597251E-2</v>
      </c>
      <c r="K378" s="6">
        <f>(Indices!K382-Indices!K381)/Indices!K381</f>
        <v>-1.3602175597817545E-2</v>
      </c>
      <c r="L378" s="6">
        <f>(Indices!L382-Indices!L381)/Indices!L381</f>
        <v>-1.7111351735975736E-2</v>
      </c>
      <c r="M378" s="10">
        <f>WEEKNUM(Rend_j[[#This Row],[Date]])-1</f>
        <v>23</v>
      </c>
      <c r="N378" s="7" t="str">
        <f>TEXT(Rend_j[[#This Row],[Date]],"ddd")</f>
        <v>Thu</v>
      </c>
      <c r="O378" s="7">
        <f>MONTH(Rend_j[[#This Row],[Date]])</f>
        <v>6</v>
      </c>
      <c r="P378" s="7">
        <f>YEAR(Rend_j[[#This Row],[Date]])</f>
        <v>2022</v>
      </c>
      <c r="Q378" s="7" t="str">
        <f>Rend_j[[#This Row],[Week]]&amp;","&amp;Rend_j[[#This Row],[Year]]</f>
        <v>23,2022</v>
      </c>
      <c r="R378" s="7" t="str">
        <f>Rend_j[[#This Row],[Month]]&amp;","&amp;Rend_j[[#This Row],[Year]]</f>
        <v>6,2022</v>
      </c>
    </row>
    <row r="379" spans="1:18" x14ac:dyDescent="0.25">
      <c r="A379" s="1">
        <v>44722</v>
      </c>
      <c r="B379" s="6">
        <f>(Indices!B383-Indices!B382)/Indices!B382</f>
        <v>1.9452662635661703E-2</v>
      </c>
      <c r="C379" s="6">
        <f>(Indices!C383-Indices!C382)/Indices!C382</f>
        <v>-1.8385959534028211E-2</v>
      </c>
      <c r="D379" s="6">
        <f>(Indices!D383-Indices!D382)/Indices!D382</f>
        <v>-7.4716672508470406E-3</v>
      </c>
      <c r="E379" s="6">
        <f>(Indices!E383-Indices!E382)/Indices!E382</f>
        <v>-4.5993367807193773E-4</v>
      </c>
      <c r="F379" s="6">
        <f>(Indices!F383-Indices!F382)/Indices!F382</f>
        <v>-1.8979686773142081E-3</v>
      </c>
      <c r="G379" s="6">
        <f>(Indices!G383-Indices!G382)/Indices!G382</f>
        <v>-1.629334235064115E-2</v>
      </c>
      <c r="H379" s="6">
        <f>(Indices!H383-Indices!H382)/Indices!H382</f>
        <v>-2.4478826885814119E-2</v>
      </c>
      <c r="I379" s="6">
        <f>(Indices!I383-Indices!I382)/Indices!I382</f>
        <v>-2.9613493967260603E-2</v>
      </c>
      <c r="J379" s="6">
        <f>(Indices!J383-Indices!J382)/Indices!J382</f>
        <v>-2.6929473811307926E-2</v>
      </c>
      <c r="K379" s="6">
        <f>(Indices!K383-Indices!K382)/Indices!K382</f>
        <v>-2.6865909723445904E-2</v>
      </c>
      <c r="L379" s="6">
        <f>(Indices!L383-Indices!L382)/Indices!L382</f>
        <v>-3.0775117323102869E-2</v>
      </c>
      <c r="M379" s="10">
        <f>WEEKNUM(Rend_j[[#This Row],[Date]])-1</f>
        <v>23</v>
      </c>
      <c r="N379" s="7" t="str">
        <f>TEXT(Rend_j[[#This Row],[Date]],"ddd")</f>
        <v>Fri</v>
      </c>
      <c r="O379" s="7">
        <f>MONTH(Rend_j[[#This Row],[Date]])</f>
        <v>6</v>
      </c>
      <c r="P379" s="7">
        <f>YEAR(Rend_j[[#This Row],[Date]])</f>
        <v>2022</v>
      </c>
      <c r="Q379" s="7" t="str">
        <f>Rend_j[[#This Row],[Week]]&amp;","&amp;Rend_j[[#This Row],[Year]]</f>
        <v>23,2022</v>
      </c>
      <c r="R379" s="7" t="str">
        <f>Rend_j[[#This Row],[Month]]&amp;","&amp;Rend_j[[#This Row],[Year]]</f>
        <v>6,2022</v>
      </c>
    </row>
    <row r="380" spans="1:18" x14ac:dyDescent="0.25">
      <c r="A380" s="1">
        <v>44725</v>
      </c>
      <c r="B380" s="6">
        <f>(Indices!B384-Indices!B383)/Indices!B383</f>
        <v>-2.0265873561960863E-2</v>
      </c>
      <c r="C380" s="6">
        <f>(Indices!C384-Indices!C383)/Indices!C383</f>
        <v>-2.6604258242830591E-2</v>
      </c>
      <c r="D380" s="6">
        <f>(Indices!D384-Indices!D383)/Indices!D383</f>
        <v>-2.4246856801262526E-2</v>
      </c>
      <c r="E380" s="6">
        <f>(Indices!E384-Indices!E383)/Indices!E383</f>
        <v>-2.6218113963503584E-2</v>
      </c>
      <c r="F380" s="6">
        <f>(Indices!F384-Indices!F383)/Indices!F383</f>
        <v>-1.1111180158962029E-2</v>
      </c>
      <c r="G380" s="6">
        <f>(Indices!G384-Indices!G383)/Indices!G383</f>
        <v>-2.6559616896689366E-2</v>
      </c>
      <c r="H380" s="6">
        <f>(Indices!H384-Indices!H383)/Indices!H383</f>
        <v>-2.0851008613892007E-2</v>
      </c>
      <c r="I380" s="6">
        <f>(Indices!I384-Indices!I383)/Indices!I383</f>
        <v>-4.1069949547841544E-2</v>
      </c>
      <c r="J380" s="6">
        <f>(Indices!J384-Indices!J383)/Indices!J383</f>
        <v>-2.6653309563902765E-2</v>
      </c>
      <c r="K380" s="6">
        <f>(Indices!K384-Indices!K383)/Indices!K383</f>
        <v>-2.4106366579823738E-2</v>
      </c>
      <c r="L380" s="6">
        <f>(Indices!L384-Indices!L383)/Indices!L383</f>
        <v>-2.4328145897293367E-2</v>
      </c>
      <c r="M380" s="10">
        <f>WEEKNUM(Rend_j[[#This Row],[Date]])-1</f>
        <v>24</v>
      </c>
      <c r="N380" s="7" t="str">
        <f>TEXT(Rend_j[[#This Row],[Date]],"ddd")</f>
        <v>Mon</v>
      </c>
      <c r="O380" s="7">
        <f>MONTH(Rend_j[[#This Row],[Date]])</f>
        <v>6</v>
      </c>
      <c r="P380" s="7">
        <f>YEAR(Rend_j[[#This Row],[Date]])</f>
        <v>2022</v>
      </c>
      <c r="Q380" s="7" t="str">
        <f>Rend_j[[#This Row],[Week]]&amp;","&amp;Rend_j[[#This Row],[Year]]</f>
        <v>24,2022</v>
      </c>
      <c r="R380" s="7" t="str">
        <f>Rend_j[[#This Row],[Month]]&amp;","&amp;Rend_j[[#This Row],[Year]]</f>
        <v>6,2022</v>
      </c>
    </row>
    <row r="381" spans="1:18" x14ac:dyDescent="0.25">
      <c r="A381" s="1">
        <v>44726</v>
      </c>
      <c r="B381" s="6">
        <f>(Indices!B385-Indices!B384)/Indices!B384</f>
        <v>7.4914964861480483E-3</v>
      </c>
      <c r="C381" s="6">
        <f>(Indices!C385-Indices!C384)/Indices!C384</f>
        <v>-6.3846767757382798E-3</v>
      </c>
      <c r="D381" s="6">
        <f>(Indices!D385-Indices!D384)/Indices!D384</f>
        <v>2.5072299226879679E-4</v>
      </c>
      <c r="E381" s="6">
        <f>(Indices!E385-Indices!E384)/Indices!E384</f>
        <v>2.5428087332687349E-3</v>
      </c>
      <c r="F381" s="6">
        <f>(Indices!F385-Indices!F384)/Indices!F384</f>
        <v>-1.7381905474106184E-2</v>
      </c>
      <c r="G381" s="6">
        <f>(Indices!G385-Indices!G384)/Indices!G384</f>
        <v>-5.3253453153603407E-3</v>
      </c>
      <c r="H381" s="6">
        <f>(Indices!H385-Indices!H384)/Indices!H384</f>
        <v>-1.1722970906644434E-2</v>
      </c>
      <c r="I381" s="6">
        <f>(Indices!I385-Indices!I384)/Indices!I384</f>
        <v>-3.6965700009170821E-3</v>
      </c>
      <c r="J381" s="6">
        <f>(Indices!J385-Indices!J384)/Indices!J384</f>
        <v>-1.2035225979057878E-2</v>
      </c>
      <c r="K381" s="6">
        <f>(Indices!K385-Indices!K384)/Indices!K384</f>
        <v>-1.2605406134634688E-2</v>
      </c>
      <c r="L381" s="6">
        <f>(Indices!L385-Indices!L384)/Indices!L384</f>
        <v>-9.1338603945815139E-3</v>
      </c>
      <c r="M381" s="10">
        <f>WEEKNUM(Rend_j[[#This Row],[Date]])-1</f>
        <v>24</v>
      </c>
      <c r="N381" s="7" t="str">
        <f>TEXT(Rend_j[[#This Row],[Date]],"ddd")</f>
        <v>Tue</v>
      </c>
      <c r="O381" s="7">
        <f>MONTH(Rend_j[[#This Row],[Date]])</f>
        <v>6</v>
      </c>
      <c r="P381" s="7">
        <f>YEAR(Rend_j[[#This Row],[Date]])</f>
        <v>2022</v>
      </c>
      <c r="Q381" s="7" t="str">
        <f>Rend_j[[#This Row],[Week]]&amp;","&amp;Rend_j[[#This Row],[Year]]</f>
        <v>24,2022</v>
      </c>
      <c r="R381" s="7" t="str">
        <f>Rend_j[[#This Row],[Month]]&amp;","&amp;Rend_j[[#This Row],[Year]]</f>
        <v>6,2022</v>
      </c>
    </row>
    <row r="382" spans="1:18" x14ac:dyDescent="0.25">
      <c r="A382" s="1">
        <v>44727</v>
      </c>
      <c r="B382" s="6">
        <f>(Indices!B386-Indices!B385)/Indices!B385</f>
        <v>1.3755480101708193E-2</v>
      </c>
      <c r="C382" s="6">
        <f>(Indices!C386-Indices!C385)/Indices!C385</f>
        <v>1.2189461363040142E-2</v>
      </c>
      <c r="D382" s="6">
        <f>(Indices!D386-Indices!D385)/Indices!D385</f>
        <v>-4.9264157775355056E-3</v>
      </c>
      <c r="E382" s="6">
        <f>(Indices!E386-Indices!E385)/Indices!E385</f>
        <v>2.1900186190643807E-3</v>
      </c>
      <c r="F382" s="6">
        <f>(Indices!F386-Indices!F385)/Indices!F385</f>
        <v>-1.1703386307677628E-2</v>
      </c>
      <c r="G382" s="6">
        <f>(Indices!G386-Indices!G385)/Indices!G385</f>
        <v>1.0993360728320418E-2</v>
      </c>
      <c r="H382" s="6">
        <f>(Indices!H386-Indices!H385)/Indices!H385</f>
        <v>1.6029211536081219E-2</v>
      </c>
      <c r="I382" s="6">
        <f>(Indices!I386-Indices!I385)/Indices!I385</f>
        <v>1.5224790520759084E-2</v>
      </c>
      <c r="J382" s="6">
        <f>(Indices!J386-Indices!J385)/Indices!J385</f>
        <v>1.3494487432458615E-2</v>
      </c>
      <c r="K382" s="6">
        <f>(Indices!K386-Indices!K385)/Indices!K385</f>
        <v>1.4190314496385718E-2</v>
      </c>
      <c r="L382" s="6">
        <f>(Indices!L386-Indices!L385)/Indices!L385</f>
        <v>1.3597045393209805E-2</v>
      </c>
      <c r="M382" s="10">
        <f>WEEKNUM(Rend_j[[#This Row],[Date]])-1</f>
        <v>24</v>
      </c>
      <c r="N382" s="7" t="str">
        <f>TEXT(Rend_j[[#This Row],[Date]],"ddd")</f>
        <v>Wed</v>
      </c>
      <c r="O382" s="7">
        <f>MONTH(Rend_j[[#This Row],[Date]])</f>
        <v>6</v>
      </c>
      <c r="P382" s="7">
        <f>YEAR(Rend_j[[#This Row],[Date]])</f>
        <v>2022</v>
      </c>
      <c r="Q382" s="7" t="str">
        <f>Rend_j[[#This Row],[Week]]&amp;","&amp;Rend_j[[#This Row],[Year]]</f>
        <v>24,2022</v>
      </c>
      <c r="R382" s="7" t="str">
        <f>Rend_j[[#This Row],[Month]]&amp;","&amp;Rend_j[[#This Row],[Year]]</f>
        <v>6,2022</v>
      </c>
    </row>
    <row r="383" spans="1:18" x14ac:dyDescent="0.25">
      <c r="A383" s="1">
        <v>44728</v>
      </c>
      <c r="B383" s="6">
        <f>(Indices!B387-Indices!B386)/Indices!B386</f>
        <v>-2.3705269285245582E-2</v>
      </c>
      <c r="C383" s="6">
        <f>(Indices!C387-Indices!C386)/Indices!C386</f>
        <v>-3.3803210048848585E-2</v>
      </c>
      <c r="D383" s="6">
        <f>(Indices!D387-Indices!D386)/Indices!D386</f>
        <v>-1.3652724273676295E-2</v>
      </c>
      <c r="E383" s="6">
        <f>(Indices!E387-Indices!E386)/Indices!E386</f>
        <v>-1.9797014987423794E-2</v>
      </c>
      <c r="F383" s="6">
        <f>(Indices!F387-Indices!F386)/Indices!F386</f>
        <v>1.3789756365871811E-2</v>
      </c>
      <c r="G383" s="6">
        <f>(Indices!G387-Indices!G386)/Indices!G386</f>
        <v>-3.2141141710830608E-2</v>
      </c>
      <c r="H383" s="6">
        <f>(Indices!H387-Indices!H386)/Indices!H386</f>
        <v>-2.2233051105561286E-2</v>
      </c>
      <c r="I383" s="6">
        <f>(Indices!I387-Indices!I386)/Indices!I386</f>
        <v>-3.5149947342821369E-2</v>
      </c>
      <c r="J383" s="6">
        <f>(Indices!J387-Indices!J386)/Indices!J386</f>
        <v>-2.3861782713113702E-2</v>
      </c>
      <c r="K383" s="6">
        <f>(Indices!K387-Indices!K386)/Indices!K386</f>
        <v>-2.4739774513583581E-2</v>
      </c>
      <c r="L383" s="6">
        <f>(Indices!L387-Indices!L386)/Indices!L386</f>
        <v>-3.3132384151524003E-2</v>
      </c>
      <c r="M383" s="10">
        <f>WEEKNUM(Rend_j[[#This Row],[Date]])-1</f>
        <v>24</v>
      </c>
      <c r="N383" s="7" t="str">
        <f>TEXT(Rend_j[[#This Row],[Date]],"ddd")</f>
        <v>Thu</v>
      </c>
      <c r="O383" s="7">
        <f>MONTH(Rend_j[[#This Row],[Date]])</f>
        <v>6</v>
      </c>
      <c r="P383" s="7">
        <f>YEAR(Rend_j[[#This Row],[Date]])</f>
        <v>2022</v>
      </c>
      <c r="Q383" s="7" t="str">
        <f>Rend_j[[#This Row],[Week]]&amp;","&amp;Rend_j[[#This Row],[Year]]</f>
        <v>24,2022</v>
      </c>
      <c r="R383" s="7" t="str">
        <f>Rend_j[[#This Row],[Month]]&amp;","&amp;Rend_j[[#This Row],[Year]]</f>
        <v>6,2022</v>
      </c>
    </row>
    <row r="384" spans="1:18" x14ac:dyDescent="0.25">
      <c r="A384" s="1">
        <v>44729</v>
      </c>
      <c r="B384" s="6">
        <f>(Indices!B388-Indices!B387)/Indices!B387</f>
        <v>1.9077088763676611E-2</v>
      </c>
      <c r="C384" s="6">
        <f>(Indices!C388-Indices!C387)/Indices!C387</f>
        <v>1.7622927139307484E-3</v>
      </c>
      <c r="D384" s="6">
        <f>(Indices!D388-Indices!D387)/Indices!D387</f>
        <v>-8.5688502684511097E-3</v>
      </c>
      <c r="E384" s="6">
        <f>(Indices!E388-Indices!E387)/Indices!E387</f>
        <v>2.1736998226577357E-4</v>
      </c>
      <c r="F384" s="6">
        <f>(Indices!F388-Indices!F387)/Indices!F387</f>
        <v>-3.4257592585500304E-2</v>
      </c>
      <c r="G384" s="6">
        <f>(Indices!G388-Indices!G387)/Indices!G387</f>
        <v>1.5763924800239624E-3</v>
      </c>
      <c r="H384" s="6">
        <f>(Indices!H388-Indices!H387)/Indices!H387</f>
        <v>-8.6905058559681378E-3</v>
      </c>
      <c r="I384" s="6">
        <f>(Indices!I388-Indices!I387)/Indices!I387</f>
        <v>4.3470692778355075E-3</v>
      </c>
      <c r="J384" s="6">
        <f>(Indices!J388-Indices!J387)/Indices!J387</f>
        <v>-6.0995335855668065E-4</v>
      </c>
      <c r="K384" s="6">
        <f>(Indices!K388-Indices!K387)/Indices!K387</f>
        <v>9.1837518717270965E-4</v>
      </c>
      <c r="L384" s="6">
        <f>(Indices!L388-Indices!L387)/Indices!L387</f>
        <v>6.7315723256097535E-3</v>
      </c>
      <c r="M384" s="10">
        <f>WEEKNUM(Rend_j[[#This Row],[Date]])-1</f>
        <v>24</v>
      </c>
      <c r="N384" s="7" t="str">
        <f>TEXT(Rend_j[[#This Row],[Date]],"ddd")</f>
        <v>Fri</v>
      </c>
      <c r="O384" s="7">
        <f>MONTH(Rend_j[[#This Row],[Date]])</f>
        <v>6</v>
      </c>
      <c r="P384" s="7">
        <f>YEAR(Rend_j[[#This Row],[Date]])</f>
        <v>2022</v>
      </c>
      <c r="Q384" s="7" t="str">
        <f>Rend_j[[#This Row],[Week]]&amp;","&amp;Rend_j[[#This Row],[Year]]</f>
        <v>24,2022</v>
      </c>
      <c r="R384" s="7" t="str">
        <f>Rend_j[[#This Row],[Month]]&amp;","&amp;Rend_j[[#This Row],[Year]]</f>
        <v>6,2022</v>
      </c>
    </row>
    <row r="385" spans="1:18" x14ac:dyDescent="0.25">
      <c r="A385" s="1">
        <v>44732</v>
      </c>
      <c r="B385" s="6">
        <f>(Indices!B389-Indices!B388)/Indices!B388</f>
        <v>-2.4938257423467616E-3</v>
      </c>
      <c r="C385" s="6">
        <f>(Indices!C389-Indices!C388)/Indices!C388</f>
        <v>-3.8150169945410967E-3</v>
      </c>
      <c r="D385" s="6">
        <f>(Indices!D389-Indices!D388)/Indices!D388</f>
        <v>-1.6198046480296338E-2</v>
      </c>
      <c r="E385" s="6">
        <f>(Indices!E389-Indices!E388)/Indices!E388</f>
        <v>-1.1658570069357761E-2</v>
      </c>
      <c r="F385" s="6">
        <f>(Indices!F389-Indices!F388)/Indices!F388</f>
        <v>-1.3377484319129676E-2</v>
      </c>
      <c r="G385" s="6">
        <f>(Indices!G389-Indices!G388)/Indices!G388</f>
        <v>-4.7550444276042237E-3</v>
      </c>
      <c r="H385" s="6">
        <f>(Indices!H389-Indices!H388)/Indices!H388</f>
        <v>1.4139827179890114E-2</v>
      </c>
      <c r="I385" s="6">
        <f>(Indices!I389-Indices!I388)/Indices!I388</f>
        <v>0</v>
      </c>
      <c r="J385" s="6">
        <f>(Indices!J389-Indices!J388)/Indices!J388</f>
        <v>6.3644688403556087E-3</v>
      </c>
      <c r="K385" s="6">
        <f>(Indices!K389-Indices!K388)/Indices!K388</f>
        <v>9.6466584004959843E-3</v>
      </c>
      <c r="L385" s="6">
        <f>(Indices!L389-Indices!L388)/Indices!L388</f>
        <v>1.0615349874338098E-2</v>
      </c>
      <c r="M385" s="10">
        <f>WEEKNUM(Rend_j[[#This Row],[Date]])-1</f>
        <v>25</v>
      </c>
      <c r="N385" s="7" t="str">
        <f>TEXT(Rend_j[[#This Row],[Date]],"ddd")</f>
        <v>Mon</v>
      </c>
      <c r="O385" s="7">
        <f>MONTH(Rend_j[[#This Row],[Date]])</f>
        <v>6</v>
      </c>
      <c r="P385" s="7">
        <f>YEAR(Rend_j[[#This Row],[Date]])</f>
        <v>2022</v>
      </c>
      <c r="Q385" s="7" t="str">
        <f>Rend_j[[#This Row],[Week]]&amp;","&amp;Rend_j[[#This Row],[Year]]</f>
        <v>25,2022</v>
      </c>
      <c r="R385" s="7" t="str">
        <f>Rend_j[[#This Row],[Month]]&amp;","&amp;Rend_j[[#This Row],[Year]]</f>
        <v>6,2022</v>
      </c>
    </row>
    <row r="386" spans="1:18" x14ac:dyDescent="0.25">
      <c r="A386" s="1">
        <v>44733</v>
      </c>
      <c r="B386" s="6">
        <f>(Indices!B390-Indices!B389)/Indices!B389</f>
        <v>6.0664755826659528E-3</v>
      </c>
      <c r="C386" s="6">
        <f>(Indices!C390-Indices!C389)/Indices!C389</f>
        <v>1.6679142593641772E-2</v>
      </c>
      <c r="D386" s="6">
        <f>(Indices!D390-Indices!D389)/Indices!D389</f>
        <v>1.2442432284755186E-2</v>
      </c>
      <c r="E386" s="6">
        <f>(Indices!E390-Indices!E389)/Indices!E389</f>
        <v>1.3858200150166271E-2</v>
      </c>
      <c r="F386" s="6">
        <f>(Indices!F390-Indices!F389)/Indices!F389</f>
        <v>9.0303131803716949E-3</v>
      </c>
      <c r="G386" s="6">
        <f>(Indices!G390-Indices!G389)/Indices!G389</f>
        <v>1.6345638931655443E-2</v>
      </c>
      <c r="H386" s="6">
        <f>(Indices!H390-Indices!H389)/Indices!H389</f>
        <v>3.6664084688872085E-3</v>
      </c>
      <c r="I386" s="6">
        <f>(Indices!I390-Indices!I389)/Indices!I389</f>
        <v>2.3358568258653123E-2</v>
      </c>
      <c r="J386" s="6">
        <f>(Indices!J390-Indices!J389)/Indices!J389</f>
        <v>7.5286546614105453E-3</v>
      </c>
      <c r="K386" s="6">
        <f>(Indices!K390-Indices!K389)/Indices!K389</f>
        <v>3.5367980226655234E-3</v>
      </c>
      <c r="L386" s="6">
        <f>(Indices!L390-Indices!L389)/Indices!L389</f>
        <v>2.0203217938070572E-3</v>
      </c>
      <c r="M386" s="10">
        <f>WEEKNUM(Rend_j[[#This Row],[Date]])-1</f>
        <v>25</v>
      </c>
      <c r="N386" s="7" t="str">
        <f>TEXT(Rend_j[[#This Row],[Date]],"ddd")</f>
        <v>Tue</v>
      </c>
      <c r="O386" s="7">
        <f>MONTH(Rend_j[[#This Row],[Date]])</f>
        <v>6</v>
      </c>
      <c r="P386" s="7">
        <f>YEAR(Rend_j[[#This Row],[Date]])</f>
        <v>2022</v>
      </c>
      <c r="Q386" s="7" t="str">
        <f>Rend_j[[#This Row],[Week]]&amp;","&amp;Rend_j[[#This Row],[Year]]</f>
        <v>25,2022</v>
      </c>
      <c r="R386" s="7" t="str">
        <f>Rend_j[[#This Row],[Month]]&amp;","&amp;Rend_j[[#This Row],[Year]]</f>
        <v>6,2022</v>
      </c>
    </row>
    <row r="387" spans="1:18" x14ac:dyDescent="0.25">
      <c r="A387" s="1">
        <v>44734</v>
      </c>
      <c r="B387" s="6">
        <f>(Indices!B391-Indices!B390)/Indices!B390</f>
        <v>-2.3923087166021678E-2</v>
      </c>
      <c r="C387" s="6">
        <f>(Indices!C391-Indices!C390)/Indices!C390</f>
        <v>-5.4101988349766674E-3</v>
      </c>
      <c r="D387" s="6">
        <f>(Indices!D391-Indices!D390)/Indices!D390</f>
        <v>-2.4687250105773852E-2</v>
      </c>
      <c r="E387" s="6">
        <f>(Indices!E391-Indices!E390)/Indices!E390</f>
        <v>-2.5951630308288048E-2</v>
      </c>
      <c r="F387" s="6">
        <f>(Indices!F391-Indices!F390)/Indices!F390</f>
        <v>-3.0207869980015279E-3</v>
      </c>
      <c r="G387" s="6">
        <f>(Indices!G391-Indices!G390)/Indices!G390</f>
        <v>-7.8540820232906264E-3</v>
      </c>
      <c r="H387" s="6">
        <f>(Indices!H391-Indices!H390)/Indices!H390</f>
        <v>-9.7653838238321907E-3</v>
      </c>
      <c r="I387" s="6">
        <f>(Indices!I391-Indices!I390)/Indices!I390</f>
        <v>-1.2669617760467948E-3</v>
      </c>
      <c r="J387" s="6">
        <f>(Indices!J391-Indices!J390)/Indices!J390</f>
        <v>-8.0524743646434669E-3</v>
      </c>
      <c r="K387" s="6">
        <f>(Indices!K391-Indices!K390)/Indices!K390</f>
        <v>-6.9508960065634328E-3</v>
      </c>
      <c r="L387" s="6">
        <f>(Indices!L391-Indices!L390)/Indices!L390</f>
        <v>-1.1143218354409004E-2</v>
      </c>
      <c r="M387" s="10">
        <f>WEEKNUM(Rend_j[[#This Row],[Date]])-1</f>
        <v>25</v>
      </c>
      <c r="N387" s="7" t="str">
        <f>TEXT(Rend_j[[#This Row],[Date]],"ddd")</f>
        <v>Wed</v>
      </c>
      <c r="O387" s="7">
        <f>MONTH(Rend_j[[#This Row],[Date]])</f>
        <v>6</v>
      </c>
      <c r="P387" s="7">
        <f>YEAR(Rend_j[[#This Row],[Date]])</f>
        <v>2022</v>
      </c>
      <c r="Q387" s="7" t="str">
        <f>Rend_j[[#This Row],[Week]]&amp;","&amp;Rend_j[[#This Row],[Year]]</f>
        <v>25,2022</v>
      </c>
      <c r="R387" s="7" t="str">
        <f>Rend_j[[#This Row],[Month]]&amp;","&amp;Rend_j[[#This Row],[Year]]</f>
        <v>6,2022</v>
      </c>
    </row>
    <row r="388" spans="1:18" x14ac:dyDescent="0.25">
      <c r="A388" s="1">
        <v>44735</v>
      </c>
      <c r="B388" s="6">
        <f>(Indices!B392-Indices!B391)/Indices!B391</f>
        <v>2.6180889986866095E-2</v>
      </c>
      <c r="C388" s="6">
        <f>(Indices!C392-Indices!C391)/Indices!C391</f>
        <v>1.1141013161446488E-2</v>
      </c>
      <c r="D388" s="6">
        <f>(Indices!D392-Indices!D391)/Indices!D391</f>
        <v>-1.4262312269748602E-3</v>
      </c>
      <c r="E388" s="6">
        <f>(Indices!E392-Indices!E391)/Indices!E391</f>
        <v>8.2302403632058731E-3</v>
      </c>
      <c r="F388" s="6">
        <f>(Indices!F392-Indices!F391)/Indices!F391</f>
        <v>1.5209631878962173E-2</v>
      </c>
      <c r="G388" s="6">
        <f>(Indices!G392-Indices!G391)/Indices!G391</f>
        <v>1.0799799189289024E-2</v>
      </c>
      <c r="H388" s="6">
        <f>(Indices!H392-Indices!H391)/Indices!H391</f>
        <v>-6.1622554062619045E-3</v>
      </c>
      <c r="I388" s="6">
        <f>(Indices!I392-Indices!I391)/Indices!I391</f>
        <v>1.0800583932769238E-2</v>
      </c>
      <c r="J388" s="6">
        <f>(Indices!J392-Indices!J391)/Indices!J391</f>
        <v>-5.6281710464395548E-3</v>
      </c>
      <c r="K388" s="6">
        <f>(Indices!K392-Indices!K391)/Indices!K391</f>
        <v>-8.2318629721462398E-3</v>
      </c>
      <c r="L388" s="6">
        <f>(Indices!L392-Indices!L391)/Indices!L391</f>
        <v>-1.7626711028735448E-2</v>
      </c>
      <c r="M388" s="10">
        <f>WEEKNUM(Rend_j[[#This Row],[Date]])-1</f>
        <v>25</v>
      </c>
      <c r="N388" s="7" t="str">
        <f>TEXT(Rend_j[[#This Row],[Date]],"ddd")</f>
        <v>Thu</v>
      </c>
      <c r="O388" s="7">
        <f>MONTH(Rend_j[[#This Row],[Date]])</f>
        <v>6</v>
      </c>
      <c r="P388" s="7">
        <f>YEAR(Rend_j[[#This Row],[Date]])</f>
        <v>2022</v>
      </c>
      <c r="Q388" s="7" t="str">
        <f>Rend_j[[#This Row],[Week]]&amp;","&amp;Rend_j[[#This Row],[Year]]</f>
        <v>25,2022</v>
      </c>
      <c r="R388" s="7" t="str">
        <f>Rend_j[[#This Row],[Month]]&amp;","&amp;Rend_j[[#This Row],[Year]]</f>
        <v>6,2022</v>
      </c>
    </row>
    <row r="389" spans="1:18" x14ac:dyDescent="0.25">
      <c r="A389" s="1">
        <v>44736</v>
      </c>
      <c r="B389" s="6">
        <f>(Indices!B393-Indices!B392)/Indices!B392</f>
        <v>1.9752652828318579E-2</v>
      </c>
      <c r="C389" s="6">
        <f>(Indices!C393-Indices!C392)/Indices!C392</f>
        <v>2.6065219677541961E-2</v>
      </c>
      <c r="D389" s="6">
        <f>(Indices!D393-Indices!D392)/Indices!D392</f>
        <v>8.8282089371483907E-3</v>
      </c>
      <c r="E389" s="6">
        <f>(Indices!E393-Indices!E392)/Indices!E392</f>
        <v>1.4373550727565031E-2</v>
      </c>
      <c r="F389" s="6">
        <f>(Indices!F393-Indices!F392)/Indices!F392</f>
        <v>6.1658751607059331E-4</v>
      </c>
      <c r="G389" s="6">
        <f>(Indices!G393-Indices!G392)/Indices!G392</f>
        <v>2.4705901668951612E-2</v>
      </c>
      <c r="H389" s="6">
        <f>(Indices!H393-Indices!H392)/Indices!H392</f>
        <v>2.6788515025408285E-2</v>
      </c>
      <c r="I389" s="6">
        <f>(Indices!I393-Indices!I392)/Indices!I392</f>
        <v>3.1178458600332526E-2</v>
      </c>
      <c r="J389" s="6">
        <f>(Indices!J393-Indices!J392)/Indices!J392</f>
        <v>3.2298038267571758E-2</v>
      </c>
      <c r="K389" s="6">
        <f>(Indices!K393-Indices!K392)/Indices!K392</f>
        <v>2.616798995280311E-2</v>
      </c>
      <c r="L389" s="6">
        <f>(Indices!L393-Indices!L392)/Indices!L392</f>
        <v>1.5917801350995273E-2</v>
      </c>
      <c r="M389" s="10">
        <f>WEEKNUM(Rend_j[[#This Row],[Date]])-1</f>
        <v>25</v>
      </c>
      <c r="N389" s="7" t="str">
        <f>TEXT(Rend_j[[#This Row],[Date]],"ddd")</f>
        <v>Fri</v>
      </c>
      <c r="O389" s="7">
        <f>MONTH(Rend_j[[#This Row],[Date]])</f>
        <v>6</v>
      </c>
      <c r="P389" s="7">
        <f>YEAR(Rend_j[[#This Row],[Date]])</f>
        <v>2022</v>
      </c>
      <c r="Q389" s="7" t="str">
        <f>Rend_j[[#This Row],[Week]]&amp;","&amp;Rend_j[[#This Row],[Year]]</f>
        <v>25,2022</v>
      </c>
      <c r="R389" s="7" t="str">
        <f>Rend_j[[#This Row],[Month]]&amp;","&amp;Rend_j[[#This Row],[Year]]</f>
        <v>6,2022</v>
      </c>
    </row>
    <row r="390" spans="1:18" x14ac:dyDescent="0.25">
      <c r="A390" s="1">
        <v>44739</v>
      </c>
      <c r="B390" s="6">
        <f>(Indices!B394-Indices!B393)/Indices!B393</f>
        <v>9.5933168775437453E-3</v>
      </c>
      <c r="C390" s="6">
        <f>(Indices!C394-Indices!C393)/Indices!C393</f>
        <v>-3.587337879922721E-3</v>
      </c>
      <c r="D390" s="6">
        <f>(Indices!D394-Indices!D393)/Indices!D393</f>
        <v>1.1048344042465364E-2</v>
      </c>
      <c r="E390" s="6">
        <f>(Indices!E394-Indices!E393)/Indices!E393</f>
        <v>1.110597805885662E-2</v>
      </c>
      <c r="F390" s="6">
        <f>(Indices!F394-Indices!F393)/Indices!F393</f>
        <v>7.433823240203051E-3</v>
      </c>
      <c r="G390" s="6">
        <f>(Indices!G394-Indices!G393)/Indices!G393</f>
        <v>-1.8946904604538971E-3</v>
      </c>
      <c r="H390" s="6">
        <f>(Indices!H394-Indices!H393)/Indices!H393</f>
        <v>3.0142566191445242E-3</v>
      </c>
      <c r="I390" s="6">
        <f>(Indices!I394-Indices!I393)/Indices!I393</f>
        <v>-2.6925333585678807E-3</v>
      </c>
      <c r="J390" s="6">
        <f>(Indices!J394-Indices!J393)/Indices!J393</f>
        <v>-4.2875906344629639E-3</v>
      </c>
      <c r="K390" s="6">
        <f>(Indices!K394-Indices!K393)/Indices!K393</f>
        <v>5.2309181619557494E-3</v>
      </c>
      <c r="L390" s="6">
        <f>(Indices!L394-Indices!L393)/Indices!L393</f>
        <v>5.1791246634614613E-3</v>
      </c>
      <c r="M390" s="10">
        <f>WEEKNUM(Rend_j[[#This Row],[Date]])-1</f>
        <v>26</v>
      </c>
      <c r="N390" s="7" t="str">
        <f>TEXT(Rend_j[[#This Row],[Date]],"ddd")</f>
        <v>Mon</v>
      </c>
      <c r="O390" s="7">
        <f>MONTH(Rend_j[[#This Row],[Date]])</f>
        <v>6</v>
      </c>
      <c r="P390" s="7">
        <f>YEAR(Rend_j[[#This Row],[Date]])</f>
        <v>2022</v>
      </c>
      <c r="Q390" s="7" t="str">
        <f>Rend_j[[#This Row],[Week]]&amp;","&amp;Rend_j[[#This Row],[Year]]</f>
        <v>26,2022</v>
      </c>
      <c r="R390" s="7" t="str">
        <f>Rend_j[[#This Row],[Month]]&amp;","&amp;Rend_j[[#This Row],[Year]]</f>
        <v>6,2022</v>
      </c>
    </row>
    <row r="391" spans="1:18" x14ac:dyDescent="0.25">
      <c r="A391" s="1">
        <v>44740</v>
      </c>
      <c r="B391" s="6">
        <f>(Indices!B395-Indices!B394)/Indices!B394</f>
        <v>1.429652865188614E-2</v>
      </c>
      <c r="C391" s="6">
        <f>(Indices!C395-Indices!C394)/Indices!C394</f>
        <v>-7.0659914543440474E-3</v>
      </c>
      <c r="D391" s="6">
        <f>(Indices!D395-Indices!D394)/Indices!D394</f>
        <v>9.9820973106750418E-3</v>
      </c>
      <c r="E391" s="6">
        <f>(Indices!E395-Indices!E394)/Indices!E394</f>
        <v>1.0372163738390368E-2</v>
      </c>
      <c r="F391" s="6">
        <f>(Indices!F395-Indices!F394)/Indices!F394</f>
        <v>1.0033836543466955E-2</v>
      </c>
      <c r="G391" s="6">
        <f>(Indices!G395-Indices!G394)/Indices!G394</f>
        <v>-5.0326681970686545E-3</v>
      </c>
      <c r="H391" s="6">
        <f>(Indices!H395-Indices!H394)/Indices!H394</f>
        <v>8.8937621832359155E-3</v>
      </c>
      <c r="I391" s="6">
        <f>(Indices!I395-Indices!I394)/Indices!I394</f>
        <v>-2.0252398783416885E-2</v>
      </c>
      <c r="J391" s="6">
        <f>(Indices!J395-Indices!J394)/Indices!J394</f>
        <v>6.4011867462275863E-3</v>
      </c>
      <c r="K391" s="6">
        <f>(Indices!K395-Indices!K394)/Indices!K394</f>
        <v>2.6500421850687234E-3</v>
      </c>
      <c r="L391" s="6">
        <f>(Indices!L395-Indices!L394)/Indices!L394</f>
        <v>3.4695704576445567E-3</v>
      </c>
      <c r="M391" s="10">
        <f>WEEKNUM(Rend_j[[#This Row],[Date]])-1</f>
        <v>26</v>
      </c>
      <c r="N391" s="7" t="str">
        <f>TEXT(Rend_j[[#This Row],[Date]],"ddd")</f>
        <v>Tue</v>
      </c>
      <c r="O391" s="7">
        <f>MONTH(Rend_j[[#This Row],[Date]])</f>
        <v>6</v>
      </c>
      <c r="P391" s="7">
        <f>YEAR(Rend_j[[#This Row],[Date]])</f>
        <v>2022</v>
      </c>
      <c r="Q391" s="7" t="str">
        <f>Rend_j[[#This Row],[Week]]&amp;","&amp;Rend_j[[#This Row],[Year]]</f>
        <v>26,2022</v>
      </c>
      <c r="R391" s="7" t="str">
        <f>Rend_j[[#This Row],[Month]]&amp;","&amp;Rend_j[[#This Row],[Year]]</f>
        <v>6,2022</v>
      </c>
    </row>
    <row r="392" spans="1:18" x14ac:dyDescent="0.25">
      <c r="A392" s="1">
        <v>44741</v>
      </c>
      <c r="B392" s="6">
        <f>(Indices!B396-Indices!B395)/Indices!B395</f>
        <v>-1.6637885688813751E-2</v>
      </c>
      <c r="C392" s="6">
        <f>(Indices!C396-Indices!C395)/Indices!C395</f>
        <v>-3.745407890856985E-4</v>
      </c>
      <c r="D392" s="6">
        <f>(Indices!D396-Indices!D395)/Indices!D395</f>
        <v>-1.0678860601569978E-2</v>
      </c>
      <c r="E392" s="6">
        <f>(Indices!E396-Indices!E395)/Indices!E395</f>
        <v>-1.2997138602359227E-2</v>
      </c>
      <c r="F392" s="6">
        <f>(Indices!F396-Indices!F395)/Indices!F395</f>
        <v>-9.03222481349303E-3</v>
      </c>
      <c r="G392" s="6">
        <f>(Indices!G396-Indices!G395)/Indices!G395</f>
        <v>-1.8675529812276393E-3</v>
      </c>
      <c r="H392" s="6">
        <f>(Indices!H396-Indices!H395)/Indices!H395</f>
        <v>-4.176226703699294E-3</v>
      </c>
      <c r="I392" s="6">
        <f>(Indices!I396-Indices!I395)/Indices!I395</f>
        <v>-2.1718108532914203E-3</v>
      </c>
      <c r="J392" s="6">
        <f>(Indices!J396-Indices!J395)/Indices!J395</f>
        <v>-8.9615281942499857E-3</v>
      </c>
      <c r="K392" s="6">
        <f>(Indices!K396-Indices!K395)/Indices!K395</f>
        <v>-6.6555875602220971E-3</v>
      </c>
      <c r="L392" s="6">
        <f>(Indices!L396-Indices!L395)/Indices!L395</f>
        <v>-1.7266762595569127E-2</v>
      </c>
      <c r="M392" s="10">
        <f>WEEKNUM(Rend_j[[#This Row],[Date]])-1</f>
        <v>26</v>
      </c>
      <c r="N392" s="7" t="str">
        <f>TEXT(Rend_j[[#This Row],[Date]],"ddd")</f>
        <v>Wed</v>
      </c>
      <c r="O392" s="7">
        <f>MONTH(Rend_j[[#This Row],[Date]])</f>
        <v>6</v>
      </c>
      <c r="P392" s="7">
        <f>YEAR(Rend_j[[#This Row],[Date]])</f>
        <v>2022</v>
      </c>
      <c r="Q392" s="7" t="str">
        <f>Rend_j[[#This Row],[Week]]&amp;","&amp;Rend_j[[#This Row],[Year]]</f>
        <v>26,2022</v>
      </c>
      <c r="R392" s="7" t="str">
        <f>Rend_j[[#This Row],[Month]]&amp;","&amp;Rend_j[[#This Row],[Year]]</f>
        <v>6,2022</v>
      </c>
    </row>
    <row r="393" spans="1:18" x14ac:dyDescent="0.25">
      <c r="A393" s="1">
        <v>44742</v>
      </c>
      <c r="B393" s="6">
        <f>(Indices!B397-Indices!B396)/Indices!B396</f>
        <v>6.4867980842671985E-3</v>
      </c>
      <c r="C393" s="6">
        <f>(Indices!C397-Indices!C396)/Indices!C396</f>
        <v>-8.7093431122449074E-3</v>
      </c>
      <c r="D393" s="6">
        <f>(Indices!D397-Indices!D396)/Indices!D396</f>
        <v>-1.4712503583961723E-2</v>
      </c>
      <c r="E393" s="6">
        <f>(Indices!E397-Indices!E396)/Indices!E396</f>
        <v>-1.0105957195820752E-2</v>
      </c>
      <c r="F393" s="6">
        <f>(Indices!F397-Indices!F396)/Indices!F396</f>
        <v>-3.3870758028864034E-3</v>
      </c>
      <c r="G393" s="6">
        <f>(Indices!G397-Indices!G396)/Indices!G396</f>
        <v>-8.8743407892345125E-3</v>
      </c>
      <c r="H393" s="6">
        <f>(Indices!H397-Indices!H396)/Indices!H396</f>
        <v>-1.5269258364744241E-2</v>
      </c>
      <c r="I393" s="6">
        <f>(Indices!I397-Indices!I396)/Indices!I396</f>
        <v>-9.4082197790965189E-3</v>
      </c>
      <c r="J393" s="6">
        <f>(Indices!J397-Indices!J396)/Indices!J396</f>
        <v>-1.8008866374451662E-2</v>
      </c>
      <c r="K393" s="6">
        <f>(Indices!K397-Indices!K396)/Indices!K396</f>
        <v>-1.5045234397010113E-2</v>
      </c>
      <c r="L393" s="6">
        <f>(Indices!L397-Indices!L396)/Indices!L396</f>
        <v>-1.6886424389538485E-2</v>
      </c>
      <c r="M393" s="10">
        <f>WEEKNUM(Rend_j[[#This Row],[Date]])-1</f>
        <v>26</v>
      </c>
      <c r="N393" s="7" t="str">
        <f>TEXT(Rend_j[[#This Row],[Date]],"ddd")</f>
        <v>Thu</v>
      </c>
      <c r="O393" s="7">
        <f>MONTH(Rend_j[[#This Row],[Date]])</f>
        <v>6</v>
      </c>
      <c r="P393" s="7">
        <f>YEAR(Rend_j[[#This Row],[Date]])</f>
        <v>2022</v>
      </c>
      <c r="Q393" s="7" t="str">
        <f>Rend_j[[#This Row],[Week]]&amp;","&amp;Rend_j[[#This Row],[Year]]</f>
        <v>26,2022</v>
      </c>
      <c r="R393" s="7" t="str">
        <f>Rend_j[[#This Row],[Month]]&amp;","&amp;Rend_j[[#This Row],[Year]]</f>
        <v>6,2022</v>
      </c>
    </row>
    <row r="394" spans="1:18" x14ac:dyDescent="0.25">
      <c r="A394" s="1">
        <v>44743</v>
      </c>
      <c r="B394" s="6">
        <f>(Indices!B398-Indices!B397)/Indices!B397</f>
        <v>4.336096297087969E-3</v>
      </c>
      <c r="C394" s="6">
        <f>(Indices!C398-Indices!C397)/Indices!C397</f>
        <v>1.1504051146987347E-2</v>
      </c>
      <c r="D394" s="6">
        <f>(Indices!D398-Indices!D397)/Indices!D397</f>
        <v>-6.2440147579264846E-3</v>
      </c>
      <c r="E394" s="6">
        <f>(Indices!E398-Indices!E397)/Indices!E397</f>
        <v>-1.8114689124270045E-3</v>
      </c>
      <c r="F394" s="6">
        <f>(Indices!F398-Indices!F397)/Indices!F397</f>
        <v>-2.8506382950965877E-3</v>
      </c>
      <c r="G394" s="6">
        <f>(Indices!G398-Indices!G397)/Indices!G397</f>
        <v>9.9445891893876325E-3</v>
      </c>
      <c r="H394" s="6">
        <f>(Indices!H398-Indices!H397)/Indices!H397</f>
        <v>-5.5928411633109796E-3</v>
      </c>
      <c r="I394" s="6">
        <f>(Indices!I398-Indices!I397)/Indices!I397</f>
        <v>1.1244773154284004E-2</v>
      </c>
      <c r="J394" s="6">
        <f>(Indices!J398-Indices!J397)/Indices!J397</f>
        <v>1.3844994123914979E-3</v>
      </c>
      <c r="K394" s="6">
        <f>(Indices!K398-Indices!K397)/Indices!K397</f>
        <v>-1.7192288294930685E-4</v>
      </c>
      <c r="L394" s="6">
        <f>(Indices!L398-Indices!L397)/Indices!L397</f>
        <v>2.2888976472340795E-3</v>
      </c>
      <c r="M394" s="10">
        <f>WEEKNUM(Rend_j[[#This Row],[Date]])-1</f>
        <v>26</v>
      </c>
      <c r="N394" s="7" t="str">
        <f>TEXT(Rend_j[[#This Row],[Date]],"ddd")</f>
        <v>Fri</v>
      </c>
      <c r="O394" s="7">
        <f>MONTH(Rend_j[[#This Row],[Date]])</f>
        <v>7</v>
      </c>
      <c r="P394" s="7">
        <f>YEAR(Rend_j[[#This Row],[Date]])</f>
        <v>2022</v>
      </c>
      <c r="Q394" s="7" t="str">
        <f>Rend_j[[#This Row],[Week]]&amp;","&amp;Rend_j[[#This Row],[Year]]</f>
        <v>26,2022</v>
      </c>
      <c r="R394" s="7" t="str">
        <f>Rend_j[[#This Row],[Month]]&amp;","&amp;Rend_j[[#This Row],[Year]]</f>
        <v>7,2022</v>
      </c>
    </row>
    <row r="395" spans="1:18" x14ac:dyDescent="0.25">
      <c r="A395" s="1">
        <v>44746</v>
      </c>
      <c r="B395" s="6">
        <f>(Indices!B399-Indices!B398)/Indices!B398</f>
        <v>1.422734019930002E-3</v>
      </c>
      <c r="C395" s="6">
        <f>(Indices!C399-Indices!C398)/Indices!C398</f>
        <v>-3.5777321948252285E-5</v>
      </c>
      <c r="D395" s="6">
        <f>(Indices!D399-Indices!D398)/Indices!D398</f>
        <v>-4.2746569376955522E-3</v>
      </c>
      <c r="E395" s="6">
        <f>(Indices!E399-Indices!E398)/Indices!E398</f>
        <v>-3.155170989481944E-3</v>
      </c>
      <c r="F395" s="6">
        <f>(Indices!F399-Indices!F398)/Indices!F398</f>
        <v>6.1035443733563136E-3</v>
      </c>
      <c r="G395" s="6">
        <f>(Indices!G399-Indices!G398)/Indices!G398</f>
        <v>-3.9968025579543623E-4</v>
      </c>
      <c r="H395" s="6">
        <f>(Indices!H399-Indices!H398)/Indices!H398</f>
        <v>1.5355878680302573E-2</v>
      </c>
      <c r="I395" s="6">
        <f>(Indices!I399-Indices!I398)/Indices!I398</f>
        <v>0</v>
      </c>
      <c r="J395" s="6">
        <f>(Indices!J399-Indices!J398)/Indices!J398</f>
        <v>3.9773400986226207E-3</v>
      </c>
      <c r="K395" s="6">
        <f>(Indices!K399-Indices!K398)/Indices!K398</f>
        <v>5.3545377968396719E-3</v>
      </c>
      <c r="L395" s="6">
        <f>(Indices!L399-Indices!L398)/Indices!L398</f>
        <v>-3.0945365120095734E-3</v>
      </c>
      <c r="M395" s="10">
        <f>WEEKNUM(Rend_j[[#This Row],[Date]])-1</f>
        <v>27</v>
      </c>
      <c r="N395" s="7" t="str">
        <f>TEXT(Rend_j[[#This Row],[Date]],"ddd")</f>
        <v>Mon</v>
      </c>
      <c r="O395" s="7">
        <f>MONTH(Rend_j[[#This Row],[Date]])</f>
        <v>7</v>
      </c>
      <c r="P395" s="7">
        <f>YEAR(Rend_j[[#This Row],[Date]])</f>
        <v>2022</v>
      </c>
      <c r="Q395" s="7" t="str">
        <f>Rend_j[[#This Row],[Week]]&amp;","&amp;Rend_j[[#This Row],[Year]]</f>
        <v>27,2022</v>
      </c>
      <c r="R395" s="7" t="str">
        <f>Rend_j[[#This Row],[Month]]&amp;","&amp;Rend_j[[#This Row],[Year]]</f>
        <v>7,2022</v>
      </c>
    </row>
    <row r="396" spans="1:18" x14ac:dyDescent="0.25">
      <c r="A396" s="1">
        <v>44747</v>
      </c>
      <c r="B396" s="6">
        <f>(Indices!B400-Indices!B399)/Indices!B399</f>
        <v>1.8399640589363175E-2</v>
      </c>
      <c r="C396" s="6">
        <f>(Indices!C400-Indices!C399)/Indices!C399</f>
        <v>1.2256158888796123E-2</v>
      </c>
      <c r="D396" s="6">
        <f>(Indices!D400-Indices!D399)/Indices!D399</f>
        <v>1.4700834057360926E-2</v>
      </c>
      <c r="E396" s="6">
        <f>(Indices!E400-Indices!E399)/Indices!E399</f>
        <v>1.6408561965178009E-2</v>
      </c>
      <c r="F396" s="6">
        <f>(Indices!F400-Indices!F399)/Indices!F399</f>
        <v>2.1931792320946841E-2</v>
      </c>
      <c r="G396" s="6">
        <f>(Indices!G400-Indices!G399)/Indices!G399</f>
        <v>1.2738339007831197E-2</v>
      </c>
      <c r="H396" s="6">
        <f>(Indices!H400-Indices!H399)/Indices!H399</f>
        <v>-2.7675858073565124E-2</v>
      </c>
      <c r="I396" s="6">
        <f>(Indices!I400-Indices!I399)/Indices!I399</f>
        <v>3.2213364409968866E-3</v>
      </c>
      <c r="J396" s="6">
        <f>(Indices!J400-Indices!J399)/Indices!J399</f>
        <v>-2.6817687627003088E-2</v>
      </c>
      <c r="K396" s="6">
        <f>(Indices!K400-Indices!K399)/Indices!K399</f>
        <v>-2.1084276079667084E-2</v>
      </c>
      <c r="L396" s="6">
        <f>(Indices!L400-Indices!L399)/Indices!L399</f>
        <v>-2.913713390633154E-2</v>
      </c>
      <c r="M396" s="10">
        <f>WEEKNUM(Rend_j[[#This Row],[Date]])-1</f>
        <v>27</v>
      </c>
      <c r="N396" s="7" t="str">
        <f>TEXT(Rend_j[[#This Row],[Date]],"ddd")</f>
        <v>Tue</v>
      </c>
      <c r="O396" s="7">
        <f>MONTH(Rend_j[[#This Row],[Date]])</f>
        <v>7</v>
      </c>
      <c r="P396" s="7">
        <f>YEAR(Rend_j[[#This Row],[Date]])</f>
        <v>2022</v>
      </c>
      <c r="Q396" s="7" t="str">
        <f>Rend_j[[#This Row],[Week]]&amp;","&amp;Rend_j[[#This Row],[Year]]</f>
        <v>27,2022</v>
      </c>
      <c r="R396" s="7" t="str">
        <f>Rend_j[[#This Row],[Month]]&amp;","&amp;Rend_j[[#This Row],[Year]]</f>
        <v>7,2022</v>
      </c>
    </row>
    <row r="397" spans="1:18" x14ac:dyDescent="0.25">
      <c r="A397" s="1">
        <v>44748</v>
      </c>
      <c r="B397" s="6">
        <f>(Indices!B401-Indices!B400)/Indices!B400</f>
        <v>-9.6224600350542921E-3</v>
      </c>
      <c r="C397" s="6">
        <f>(Indices!C401-Indices!C400)/Indices!C400</f>
        <v>7.5089345324587742E-3</v>
      </c>
      <c r="D397" s="6">
        <f>(Indices!D401-Indices!D400)/Indices!D400</f>
        <v>-4.4569948757508231E-3</v>
      </c>
      <c r="E397" s="6">
        <f>(Indices!E401-Indices!E400)/Indices!E400</f>
        <v>-5.9361775435218993E-3</v>
      </c>
      <c r="F397" s="6">
        <f>(Indices!F401-Indices!F400)/Indices!F400</f>
        <v>-5.6881808001629178E-3</v>
      </c>
      <c r="G397" s="6">
        <f>(Indices!G401-Indices!G400)/Indices!G400</f>
        <v>5.950078363967804E-3</v>
      </c>
      <c r="H397" s="6">
        <f>(Indices!H401-Indices!H400)/Indices!H400</f>
        <v>1.5209165220663541E-2</v>
      </c>
      <c r="I397" s="6">
        <f>(Indices!I401-Indices!I400)/Indices!I400</f>
        <v>1.7308312332257921E-3</v>
      </c>
      <c r="J397" s="6">
        <f>(Indices!J401-Indices!J400)/Indices!J400</f>
        <v>2.0262421619861828E-2</v>
      </c>
      <c r="K397" s="6">
        <f>(Indices!K401-Indices!K400)/Indices!K400</f>
        <v>1.6621750814495895E-2</v>
      </c>
      <c r="L397" s="6">
        <f>(Indices!L401-Indices!L400)/Indices!L400</f>
        <v>1.5588759707306417E-2</v>
      </c>
      <c r="M397" s="10">
        <f>WEEKNUM(Rend_j[[#This Row],[Date]])-1</f>
        <v>27</v>
      </c>
      <c r="N397" s="7" t="str">
        <f>TEXT(Rend_j[[#This Row],[Date]],"ddd")</f>
        <v>Wed</v>
      </c>
      <c r="O397" s="7">
        <f>MONTH(Rend_j[[#This Row],[Date]])</f>
        <v>7</v>
      </c>
      <c r="P397" s="7">
        <f>YEAR(Rend_j[[#This Row],[Date]])</f>
        <v>2022</v>
      </c>
      <c r="Q397" s="7" t="str">
        <f>Rend_j[[#This Row],[Week]]&amp;","&amp;Rend_j[[#This Row],[Year]]</f>
        <v>27,2022</v>
      </c>
      <c r="R397" s="7" t="str">
        <f>Rend_j[[#This Row],[Month]]&amp;","&amp;Rend_j[[#This Row],[Year]]</f>
        <v>7,2022</v>
      </c>
    </row>
    <row r="398" spans="1:18" x14ac:dyDescent="0.25">
      <c r="A398" s="1">
        <v>44749</v>
      </c>
      <c r="B398" s="6">
        <f>(Indices!B402-Indices!B401)/Indices!B401</f>
        <v>6.3941002353962483E-3</v>
      </c>
      <c r="C398" s="6">
        <f>(Indices!C402-Indices!C401)/Indices!C401</f>
        <v>1.8390750832222476E-2</v>
      </c>
      <c r="D398" s="6">
        <f>(Indices!D402-Indices!D401)/Indices!D401</f>
        <v>2.1305493491018221E-2</v>
      </c>
      <c r="E398" s="6">
        <f>(Indices!E402-Indices!E401)/Indices!E401</f>
        <v>1.6025759748540872E-2</v>
      </c>
      <c r="F398" s="6">
        <f>(Indices!F402-Indices!F401)/Indices!F401</f>
        <v>1.6055133931428045E-2</v>
      </c>
      <c r="G398" s="6">
        <f>(Indices!G402-Indices!G401)/Indices!G401</f>
        <v>1.8121270986540743E-2</v>
      </c>
      <c r="H398" s="6">
        <f>(Indices!H402-Indices!H401)/Indices!H401</f>
        <v>2.1323915528052614E-2</v>
      </c>
      <c r="I398" s="6">
        <f>(Indices!I402-Indices!I401)/Indices!I401</f>
        <v>1.6612338861920425E-2</v>
      </c>
      <c r="J398" s="6">
        <f>(Indices!J402-Indices!J401)/Indices!J401</f>
        <v>1.5953019573590337E-2</v>
      </c>
      <c r="K398" s="6">
        <f>(Indices!K402-Indices!K401)/Indices!K401</f>
        <v>1.8829513613487732E-2</v>
      </c>
      <c r="L398" s="6">
        <f>(Indices!L402-Indices!L401)/Indices!L401</f>
        <v>1.974670009503738E-2</v>
      </c>
      <c r="M398" s="10">
        <f>WEEKNUM(Rend_j[[#This Row],[Date]])-1</f>
        <v>27</v>
      </c>
      <c r="N398" s="7" t="str">
        <f>TEXT(Rend_j[[#This Row],[Date]],"ddd")</f>
        <v>Thu</v>
      </c>
      <c r="O398" s="7">
        <f>MONTH(Rend_j[[#This Row],[Date]])</f>
        <v>7</v>
      </c>
      <c r="P398" s="7">
        <f>YEAR(Rend_j[[#This Row],[Date]])</f>
        <v>2022</v>
      </c>
      <c r="Q398" s="7" t="str">
        <f>Rend_j[[#This Row],[Week]]&amp;","&amp;Rend_j[[#This Row],[Year]]</f>
        <v>27,2022</v>
      </c>
      <c r="R398" s="7" t="str">
        <f>Rend_j[[#This Row],[Month]]&amp;","&amp;Rend_j[[#This Row],[Year]]</f>
        <v>7,2022</v>
      </c>
    </row>
    <row r="399" spans="1:18" x14ac:dyDescent="0.25">
      <c r="A399" s="1">
        <v>44750</v>
      </c>
      <c r="B399" s="6">
        <f>(Indices!B403-Indices!B402)/Indices!B402</f>
        <v>-1.4007321352497851E-4</v>
      </c>
      <c r="C399" s="6">
        <f>(Indices!C403-Indices!C402)/Indices!C402</f>
        <v>2.6410472326424567E-4</v>
      </c>
      <c r="D399" s="6">
        <f>(Indices!D403-Indices!D402)/Indices!D402</f>
        <v>5.7979543772144395E-3</v>
      </c>
      <c r="E399" s="6">
        <f>(Indices!E403-Indices!E402)/Indices!E402</f>
        <v>4.9165258286871386E-3</v>
      </c>
      <c r="F399" s="6">
        <f>(Indices!F403-Indices!F402)/Indices!F402</f>
        <v>9.8877083818803453E-4</v>
      </c>
      <c r="G399" s="6">
        <f>(Indices!G403-Indices!G402)/Indices!G402</f>
        <v>7.9823686997710795E-4</v>
      </c>
      <c r="H399" s="6">
        <f>(Indices!H403-Indices!H402)/Indices!H402</f>
        <v>2.3489797564320118E-3</v>
      </c>
      <c r="I399" s="6">
        <f>(Indices!I403-Indices!I402)/Indices!I402</f>
        <v>-1.107890167111971E-3</v>
      </c>
      <c r="J399" s="6">
        <f>(Indices!J403-Indices!J402)/Indices!J402</f>
        <v>4.4000344851569968E-3</v>
      </c>
      <c r="K399" s="6">
        <f>(Indices!K403-Indices!K402)/Indices!K402</f>
        <v>5.084178571981901E-3</v>
      </c>
      <c r="L399" s="6">
        <f>(Indices!L403-Indices!L402)/Indices!L402</f>
        <v>1.3393116649573954E-2</v>
      </c>
      <c r="M399" s="10">
        <f>WEEKNUM(Rend_j[[#This Row],[Date]])-1</f>
        <v>27</v>
      </c>
      <c r="N399" s="7" t="str">
        <f>TEXT(Rend_j[[#This Row],[Date]],"ddd")</f>
        <v>Fri</v>
      </c>
      <c r="O399" s="7">
        <f>MONTH(Rend_j[[#This Row],[Date]])</f>
        <v>7</v>
      </c>
      <c r="P399" s="7">
        <f>YEAR(Rend_j[[#This Row],[Date]])</f>
        <v>2022</v>
      </c>
      <c r="Q399" s="7" t="str">
        <f>Rend_j[[#This Row],[Week]]&amp;","&amp;Rend_j[[#This Row],[Year]]</f>
        <v>27,2022</v>
      </c>
      <c r="R399" s="7" t="str">
        <f>Rend_j[[#This Row],[Month]]&amp;","&amp;Rend_j[[#This Row],[Year]]</f>
        <v>7,2022</v>
      </c>
    </row>
    <row r="400" spans="1:18" x14ac:dyDescent="0.25">
      <c r="A400" s="1">
        <v>44753</v>
      </c>
      <c r="B400" s="6">
        <f>(Indices!B404-Indices!B403)/Indices!B403</f>
        <v>-1.7881695209980418E-2</v>
      </c>
      <c r="C400" s="6">
        <f>(Indices!C404-Indices!C403)/Indices!C403</f>
        <v>-3.1952060429572666E-3</v>
      </c>
      <c r="D400" s="6">
        <f>(Indices!D404-Indices!D403)/Indices!D403</f>
        <v>-1.0646523042772583E-3</v>
      </c>
      <c r="E400" s="6">
        <f>(Indices!E404-Indices!E403)/Indices!E403</f>
        <v>-9.67092425738348E-3</v>
      </c>
      <c r="F400" s="6">
        <f>(Indices!F404-Indices!F403)/Indices!F403</f>
        <v>1.3092991065810928E-2</v>
      </c>
      <c r="G400" s="6">
        <f>(Indices!G404-Indices!G403)/Indices!G403</f>
        <v>-3.9413121884983469E-3</v>
      </c>
      <c r="H400" s="6">
        <f>(Indices!H404-Indices!H403)/Indices!H403</f>
        <v>-1.840583354287078E-3</v>
      </c>
      <c r="I400" s="6">
        <f>(Indices!I404-Indices!I403)/Indices!I403</f>
        <v>-1.2782267309577282E-2</v>
      </c>
      <c r="J400" s="6">
        <f>(Indices!J404-Indices!J403)/Indices!J403</f>
        <v>-6.1046386725037722E-3</v>
      </c>
      <c r="K400" s="6">
        <f>(Indices!K404-Indices!K403)/Indices!K403</f>
        <v>-5.0345368842843593E-3</v>
      </c>
      <c r="L400" s="6">
        <f>(Indices!L404-Indices!L403)/Indices!L403</f>
        <v>-1.4044318340833795E-2</v>
      </c>
      <c r="M400" s="10">
        <f>WEEKNUM(Rend_j[[#This Row],[Date]])-1</f>
        <v>28</v>
      </c>
      <c r="N400" s="7" t="str">
        <f>TEXT(Rend_j[[#This Row],[Date]],"ddd")</f>
        <v>Mon</v>
      </c>
      <c r="O400" s="7">
        <f>MONTH(Rend_j[[#This Row],[Date]])</f>
        <v>7</v>
      </c>
      <c r="P400" s="7">
        <f>YEAR(Rend_j[[#This Row],[Date]])</f>
        <v>2022</v>
      </c>
      <c r="Q400" s="7" t="str">
        <f>Rend_j[[#This Row],[Week]]&amp;","&amp;Rend_j[[#This Row],[Year]]</f>
        <v>28,2022</v>
      </c>
      <c r="R400" s="7" t="str">
        <f>Rend_j[[#This Row],[Month]]&amp;","&amp;Rend_j[[#This Row],[Year]]</f>
        <v>7,2022</v>
      </c>
    </row>
    <row r="401" spans="1:18" x14ac:dyDescent="0.25">
      <c r="A401" s="1">
        <v>44754</v>
      </c>
      <c r="B401" s="6">
        <f>(Indices!B405-Indices!B404)/Indices!B404</f>
        <v>-1.2211096270790442E-2</v>
      </c>
      <c r="C401" s="6">
        <f>(Indices!C405-Indices!C404)/Indices!C404</f>
        <v>-3.6968221916820433E-3</v>
      </c>
      <c r="D401" s="6">
        <f>(Indices!D405-Indices!D404)/Indices!D404</f>
        <v>-9.5858802640088354E-3</v>
      </c>
      <c r="E401" s="6">
        <f>(Indices!E405-Indices!E404)/Indices!E404</f>
        <v>-1.0770160688913448E-2</v>
      </c>
      <c r="F401" s="6">
        <f>(Indices!F405-Indices!F404)/Indices!F404</f>
        <v>-7.0425596661304194E-3</v>
      </c>
      <c r="G401" s="6">
        <f>(Indices!G405-Indices!G404)/Indices!G404</f>
        <v>-4.5037655073278636E-3</v>
      </c>
      <c r="H401" s="6">
        <f>(Indices!H405-Indices!H404)/Indices!H404</f>
        <v>5.3908627395658753E-3</v>
      </c>
      <c r="I401" s="6">
        <f>(Indices!I405-Indices!I404)/Indices!I404</f>
        <v>-8.5506614264961103E-3</v>
      </c>
      <c r="J401" s="6">
        <f>(Indices!J405-Indices!J404)/Indices!J404</f>
        <v>7.9883247265353664E-3</v>
      </c>
      <c r="K401" s="6">
        <f>(Indices!K405-Indices!K404)/Indices!K404</f>
        <v>4.8672836334155171E-3</v>
      </c>
      <c r="L401" s="6">
        <f>(Indices!L405-Indices!L404)/Indices!L404</f>
        <v>5.6918277079428346E-3</v>
      </c>
      <c r="M401" s="10">
        <f>WEEKNUM(Rend_j[[#This Row],[Date]])-1</f>
        <v>28</v>
      </c>
      <c r="N401" s="7" t="str">
        <f>TEXT(Rend_j[[#This Row],[Date]],"ddd")</f>
        <v>Tue</v>
      </c>
      <c r="O401" s="7">
        <f>MONTH(Rend_j[[#This Row],[Date]])</f>
        <v>7</v>
      </c>
      <c r="P401" s="7">
        <f>YEAR(Rend_j[[#This Row],[Date]])</f>
        <v>2022</v>
      </c>
      <c r="Q401" s="7" t="str">
        <f>Rend_j[[#This Row],[Week]]&amp;","&amp;Rend_j[[#This Row],[Year]]</f>
        <v>28,2022</v>
      </c>
      <c r="R401" s="7" t="str">
        <f>Rend_j[[#This Row],[Month]]&amp;","&amp;Rend_j[[#This Row],[Year]]</f>
        <v>7,2022</v>
      </c>
    </row>
    <row r="402" spans="1:18" x14ac:dyDescent="0.25">
      <c r="A402" s="1">
        <v>44755</v>
      </c>
      <c r="B402" s="6">
        <f>(Indices!B406-Indices!B405)/Indices!B405</f>
        <v>-4.6630778323480402E-3</v>
      </c>
      <c r="C402" s="6">
        <f>(Indices!C406-Indices!C405)/Indices!C405</f>
        <v>-9.6366137378580321E-3</v>
      </c>
      <c r="D402" s="6">
        <f>(Indices!D406-Indices!D405)/Indices!D405</f>
        <v>-5.6990948704602196E-4</v>
      </c>
      <c r="E402" s="6">
        <f>(Indices!E406-Indices!E405)/Indices!E405</f>
        <v>-2.6980486759722415E-3</v>
      </c>
      <c r="F402" s="6">
        <f>(Indices!F406-Indices!F405)/Indices!F405</f>
        <v>-6.8048058941627141E-3</v>
      </c>
      <c r="G402" s="6">
        <f>(Indices!G406-Indices!G405)/Indices!G405</f>
        <v>-8.8481685664397233E-3</v>
      </c>
      <c r="H402" s="6">
        <f>(Indices!H406-Indices!H405)/Indices!H405</f>
        <v>-8.1682151197169459E-3</v>
      </c>
      <c r="I402" s="6">
        <f>(Indices!I406-Indices!I405)/Indices!I405</f>
        <v>-4.0969323573230047E-3</v>
      </c>
      <c r="J402" s="6">
        <f>(Indices!J406-Indices!J405)/Indices!J405</f>
        <v>-7.2730815627791217E-3</v>
      </c>
      <c r="K402" s="6">
        <f>(Indices!K406-Indices!K405)/Indices!K405</f>
        <v>-1.0142938108367416E-2</v>
      </c>
      <c r="L402" s="6">
        <f>(Indices!L406-Indices!L405)/Indices!L405</f>
        <v>-1.1557892815129049E-2</v>
      </c>
      <c r="M402" s="10">
        <f>WEEKNUM(Rend_j[[#This Row],[Date]])-1</f>
        <v>28</v>
      </c>
      <c r="N402" s="7" t="str">
        <f>TEXT(Rend_j[[#This Row],[Date]],"ddd")</f>
        <v>Wed</v>
      </c>
      <c r="O402" s="7">
        <f>MONTH(Rend_j[[#This Row],[Date]])</f>
        <v>7</v>
      </c>
      <c r="P402" s="7">
        <f>YEAR(Rend_j[[#This Row],[Date]])</f>
        <v>2022</v>
      </c>
      <c r="Q402" s="7" t="str">
        <f>Rend_j[[#This Row],[Week]]&amp;","&amp;Rend_j[[#This Row],[Year]]</f>
        <v>28,2022</v>
      </c>
      <c r="R402" s="7" t="str">
        <f>Rend_j[[#This Row],[Month]]&amp;","&amp;Rend_j[[#This Row],[Year]]</f>
        <v>7,2022</v>
      </c>
    </row>
    <row r="403" spans="1:18" x14ac:dyDescent="0.25">
      <c r="A403" s="1">
        <v>44756</v>
      </c>
      <c r="B403" s="6">
        <f>(Indices!B407-Indices!B406)/Indices!B406</f>
        <v>1.0441147161356436E-2</v>
      </c>
      <c r="C403" s="6">
        <f>(Indices!C407-Indices!C406)/Indices!C406</f>
        <v>1.8597050927907587E-3</v>
      </c>
      <c r="D403" s="6">
        <f>(Indices!D407-Indices!D406)/Indices!D406</f>
        <v>3.9491393355528493E-3</v>
      </c>
      <c r="E403" s="6">
        <f>(Indices!E407-Indices!E406)/Indices!E406</f>
        <v>6.0870326312690891E-3</v>
      </c>
      <c r="F403" s="6">
        <f>(Indices!F407-Indices!F406)/Indices!F406</f>
        <v>-1.3035346570192106E-3</v>
      </c>
      <c r="G403" s="6">
        <f>(Indices!G407-Indices!G406)/Indices!G406</f>
        <v>2.3396674584323365E-3</v>
      </c>
      <c r="H403" s="6">
        <f>(Indices!H407-Indices!H406)/Indices!H406</f>
        <v>-1.9340757058264803E-2</v>
      </c>
      <c r="I403" s="6">
        <f>(Indices!I407-Indices!I406)/Indices!I406</f>
        <v>-4.4120714716457208E-3</v>
      </c>
      <c r="J403" s="6">
        <f>(Indices!J407-Indices!J406)/Indices!J406</f>
        <v>-1.4137780270749066E-2</v>
      </c>
      <c r="K403" s="6">
        <f>(Indices!K407-Indices!K406)/Indices!K406</f>
        <v>-1.528547765454074E-2</v>
      </c>
      <c r="L403" s="6">
        <f>(Indices!L407-Indices!L406)/Indices!L406</f>
        <v>-1.8552383779080545E-2</v>
      </c>
      <c r="M403" s="10">
        <f>WEEKNUM(Rend_j[[#This Row],[Date]])-1</f>
        <v>28</v>
      </c>
      <c r="N403" s="7" t="str">
        <f>TEXT(Rend_j[[#This Row],[Date]],"ddd")</f>
        <v>Thu</v>
      </c>
      <c r="O403" s="7">
        <f>MONTH(Rend_j[[#This Row],[Date]])</f>
        <v>7</v>
      </c>
      <c r="P403" s="7">
        <f>YEAR(Rend_j[[#This Row],[Date]])</f>
        <v>2022</v>
      </c>
      <c r="Q403" s="7" t="str">
        <f>Rend_j[[#This Row],[Week]]&amp;","&amp;Rend_j[[#This Row],[Year]]</f>
        <v>28,2022</v>
      </c>
      <c r="R403" s="7" t="str">
        <f>Rend_j[[#This Row],[Month]]&amp;","&amp;Rend_j[[#This Row],[Year]]</f>
        <v>7,2022</v>
      </c>
    </row>
    <row r="404" spans="1:18" x14ac:dyDescent="0.25">
      <c r="A404" s="1">
        <v>44757</v>
      </c>
      <c r="B404" s="6">
        <f>(Indices!B408-Indices!B407)/Indices!B407</f>
        <v>-3.0328474905689535E-2</v>
      </c>
      <c r="C404" s="6">
        <f>(Indices!C408-Indices!C407)/Indices!C407</f>
        <v>1.0539478385137545E-2</v>
      </c>
      <c r="D404" s="6">
        <f>(Indices!D408-Indices!D407)/Indices!D407</f>
        <v>-9.4032019734516139E-4</v>
      </c>
      <c r="E404" s="6">
        <f>(Indices!E408-Indices!E407)/Indices!E407</f>
        <v>-1.1931689364820789E-2</v>
      </c>
      <c r="F404" s="6">
        <f>(Indices!F408-Indices!F407)/Indices!F407</f>
        <v>-3.2347154963680716E-3</v>
      </c>
      <c r="G404" s="6">
        <f>(Indices!G408-Indices!G407)/Indices!G407</f>
        <v>7.9702675055590474E-3</v>
      </c>
      <c r="H404" s="6">
        <f>(Indices!H408-Indices!H407)/Indices!H407</f>
        <v>1.4384634407715778E-2</v>
      </c>
      <c r="I404" s="6">
        <f>(Indices!I408-Indices!I407)/Indices!I407</f>
        <v>1.9599863889766849E-2</v>
      </c>
      <c r="J404" s="6">
        <f>(Indices!J408-Indices!J407)/Indices!J407</f>
        <v>2.0385711357256576E-2</v>
      </c>
      <c r="K404" s="6">
        <f>(Indices!K408-Indices!K407)/Indices!K407</f>
        <v>1.7908976629766236E-2</v>
      </c>
      <c r="L404" s="6">
        <f>(Indices!L408-Indices!L407)/Indices!L407</f>
        <v>2.7561416651105109E-2</v>
      </c>
      <c r="M404" s="10">
        <f>WEEKNUM(Rend_j[[#This Row],[Date]])-1</f>
        <v>28</v>
      </c>
      <c r="N404" s="7" t="str">
        <f>TEXT(Rend_j[[#This Row],[Date]],"ddd")</f>
        <v>Fri</v>
      </c>
      <c r="O404" s="7">
        <f>MONTH(Rend_j[[#This Row],[Date]])</f>
        <v>7</v>
      </c>
      <c r="P404" s="7">
        <f>YEAR(Rend_j[[#This Row],[Date]])</f>
        <v>2022</v>
      </c>
      <c r="Q404" s="7" t="str">
        <f>Rend_j[[#This Row],[Week]]&amp;","&amp;Rend_j[[#This Row],[Year]]</f>
        <v>28,2022</v>
      </c>
      <c r="R404" s="7" t="str">
        <f>Rend_j[[#This Row],[Month]]&amp;","&amp;Rend_j[[#This Row],[Year]]</f>
        <v>7,2022</v>
      </c>
    </row>
    <row r="405" spans="1:18" x14ac:dyDescent="0.25">
      <c r="A405" s="1">
        <v>44760</v>
      </c>
      <c r="B405" s="6">
        <f>(Indices!B409-Indices!B408)/Indices!B408</f>
        <v>7.585035402556433E-3</v>
      </c>
      <c r="C405" s="6">
        <f>(Indices!C409-Indices!C408)/Indices!C408</f>
        <v>-1.1743818739384E-2</v>
      </c>
      <c r="D405" s="6">
        <f>(Indices!D409-Indices!D408)/Indices!D408</f>
        <v>6.2203751239321712E-3</v>
      </c>
      <c r="E405" s="6">
        <f>(Indices!E409-Indices!E408)/Indices!E408</f>
        <v>7.7641408751333192E-3</v>
      </c>
      <c r="F405" s="6">
        <f>(Indices!F409-Indices!F408)/Indices!F408</f>
        <v>-7.3634069041429639E-3</v>
      </c>
      <c r="G405" s="6">
        <f>(Indices!G409-Indices!G408)/Indices!G408</f>
        <v>-9.5568729942909266E-3</v>
      </c>
      <c r="H405" s="6">
        <f>(Indices!H409-Indices!H408)/Indices!H408</f>
        <v>1.174271667140701E-2</v>
      </c>
      <c r="I405" s="6">
        <f>(Indices!I409-Indices!I408)/Indices!I408</f>
        <v>-7.2730337700664931E-3</v>
      </c>
      <c r="J405" s="6">
        <f>(Indices!J409-Indices!J408)/Indices!J408</f>
        <v>9.2627826375082691E-3</v>
      </c>
      <c r="K405" s="6">
        <f>(Indices!K409-Indices!K408)/Indices!K408</f>
        <v>9.3044758308871468E-3</v>
      </c>
      <c r="L405" s="6">
        <f>(Indices!L409-Indices!L408)/Indices!L408</f>
        <v>7.3915205302337922E-3</v>
      </c>
      <c r="M405" s="10">
        <f>WEEKNUM(Rend_j[[#This Row],[Date]])-1</f>
        <v>29</v>
      </c>
      <c r="N405" s="7" t="str">
        <f>TEXT(Rend_j[[#This Row],[Date]],"ddd")</f>
        <v>Mon</v>
      </c>
      <c r="O405" s="7">
        <f>MONTH(Rend_j[[#This Row],[Date]])</f>
        <v>7</v>
      </c>
      <c r="P405" s="7">
        <f>YEAR(Rend_j[[#This Row],[Date]])</f>
        <v>2022</v>
      </c>
      <c r="Q405" s="7" t="str">
        <f>Rend_j[[#This Row],[Week]]&amp;","&amp;Rend_j[[#This Row],[Year]]</f>
        <v>29,2022</v>
      </c>
      <c r="R405" s="7" t="str">
        <f>Rend_j[[#This Row],[Month]]&amp;","&amp;Rend_j[[#This Row],[Year]]</f>
        <v>7,2022</v>
      </c>
    </row>
    <row r="406" spans="1:18" x14ac:dyDescent="0.25">
      <c r="A406" s="1">
        <v>44761</v>
      </c>
      <c r="B406" s="6">
        <f>(Indices!B410-Indices!B409)/Indices!B409</f>
        <v>-1.1289820412807468E-2</v>
      </c>
      <c r="C406" s="6">
        <f>(Indices!C410-Indices!C409)/Indices!C409</f>
        <v>1.8427785943709418E-2</v>
      </c>
      <c r="D406" s="6">
        <f>(Indices!D410-Indices!D409)/Indices!D409</f>
        <v>-1.8691538326561956E-3</v>
      </c>
      <c r="E406" s="6">
        <f>(Indices!E410-Indices!E409)/Indices!E409</f>
        <v>-5.6207143046252163E-3</v>
      </c>
      <c r="F406" s="6">
        <f>(Indices!F410-Indices!F409)/Indices!F409</f>
        <v>1.8672529713539584E-3</v>
      </c>
      <c r="G406" s="6">
        <f>(Indices!G410-Indices!G409)/Indices!G409</f>
        <v>1.5682240772243422E-2</v>
      </c>
      <c r="H406" s="6">
        <f>(Indices!H410-Indices!H409)/Indices!H409</f>
        <v>5.4417670682731087E-3</v>
      </c>
      <c r="I406" s="6">
        <f>(Indices!I410-Indices!I409)/Indices!I409</f>
        <v>2.838169151581213E-2</v>
      </c>
      <c r="J406" s="6">
        <f>(Indices!J410-Indices!J409)/Indices!J409</f>
        <v>1.7943478515082743E-2</v>
      </c>
      <c r="K406" s="6">
        <f>(Indices!K410-Indices!K409)/Indices!K409</f>
        <v>1.3839999355410377E-2</v>
      </c>
      <c r="L406" s="6">
        <f>(Indices!L410-Indices!L409)/Indices!L409</f>
        <v>2.6898588911904824E-2</v>
      </c>
      <c r="M406" s="10">
        <f>WEEKNUM(Rend_j[[#This Row],[Date]])-1</f>
        <v>29</v>
      </c>
      <c r="N406" s="7" t="str">
        <f>TEXT(Rend_j[[#This Row],[Date]],"ddd")</f>
        <v>Tue</v>
      </c>
      <c r="O406" s="7">
        <f>MONTH(Rend_j[[#This Row],[Date]])</f>
        <v>7</v>
      </c>
      <c r="P406" s="7">
        <f>YEAR(Rend_j[[#This Row],[Date]])</f>
        <v>2022</v>
      </c>
      <c r="Q406" s="7" t="str">
        <f>Rend_j[[#This Row],[Week]]&amp;","&amp;Rend_j[[#This Row],[Year]]</f>
        <v>29,2022</v>
      </c>
      <c r="R406" s="7" t="str">
        <f>Rend_j[[#This Row],[Month]]&amp;","&amp;Rend_j[[#This Row],[Year]]</f>
        <v>7,2022</v>
      </c>
    </row>
    <row r="407" spans="1:18" x14ac:dyDescent="0.25">
      <c r="A407" s="1">
        <v>44762</v>
      </c>
      <c r="B407" s="6">
        <f>(Indices!B411-Indices!B410)/Indices!B410</f>
        <v>1.0569810512653583E-2</v>
      </c>
      <c r="C407" s="6">
        <f>(Indices!C411-Indices!C410)/Indices!C410</f>
        <v>9.3812641988509221E-3</v>
      </c>
      <c r="D407" s="6">
        <f>(Indices!D411-Indices!D410)/Indices!D410</f>
        <v>8.8886160263924787E-3</v>
      </c>
      <c r="E407" s="6">
        <f>(Indices!E411-Indices!E410)/Indices!E410</f>
        <v>1.0210683543360225E-2</v>
      </c>
      <c r="F407" s="6">
        <f>(Indices!F411-Indices!F410)/Indices!F410</f>
        <v>2.5545773751971854E-2</v>
      </c>
      <c r="G407" s="6">
        <f>(Indices!G411-Indices!G410)/Indices!G410</f>
        <v>9.4728395927302835E-3</v>
      </c>
      <c r="H407" s="6">
        <f>(Indices!H411-Indices!H410)/Indices!H410</f>
        <v>-4.4436899602563681E-3</v>
      </c>
      <c r="I407" s="6">
        <f>(Indices!I411-Indices!I410)/Indices!I410</f>
        <v>7.9666652682226519E-3</v>
      </c>
      <c r="J407" s="6">
        <f>(Indices!J411-Indices!J410)/Indices!J410</f>
        <v>-2.6704516894825937E-3</v>
      </c>
      <c r="K407" s="6">
        <f>(Indices!K411-Indices!K410)/Indices!K410</f>
        <v>-2.1255851101713514E-3</v>
      </c>
      <c r="L407" s="6">
        <f>(Indices!L411-Indices!L410)/Indices!L410</f>
        <v>-1.9859389425369973E-3</v>
      </c>
      <c r="M407" s="10">
        <f>WEEKNUM(Rend_j[[#This Row],[Date]])-1</f>
        <v>29</v>
      </c>
      <c r="N407" s="7" t="str">
        <f>TEXT(Rend_j[[#This Row],[Date]],"ddd")</f>
        <v>Wed</v>
      </c>
      <c r="O407" s="7">
        <f>MONTH(Rend_j[[#This Row],[Date]])</f>
        <v>7</v>
      </c>
      <c r="P407" s="7">
        <f>YEAR(Rend_j[[#This Row],[Date]])</f>
        <v>2022</v>
      </c>
      <c r="Q407" s="7" t="str">
        <f>Rend_j[[#This Row],[Week]]&amp;","&amp;Rend_j[[#This Row],[Year]]</f>
        <v>29,2022</v>
      </c>
      <c r="R407" s="7" t="str">
        <f>Rend_j[[#This Row],[Month]]&amp;","&amp;Rend_j[[#This Row],[Year]]</f>
        <v>7,2022</v>
      </c>
    </row>
    <row r="408" spans="1:18" x14ac:dyDescent="0.25">
      <c r="A408" s="1">
        <v>44763</v>
      </c>
      <c r="B408" s="6">
        <f>(Indices!B412-Indices!B411)/Indices!B411</f>
        <v>-7.7238006785572133E-3</v>
      </c>
      <c r="C408" s="6">
        <f>(Indices!C412-Indices!C411)/Indices!C411</f>
        <v>9.5550797769723087E-3</v>
      </c>
      <c r="D408" s="6">
        <f>(Indices!D412-Indices!D411)/Indices!D411</f>
        <v>1.253950429068398E-2</v>
      </c>
      <c r="E408" s="6">
        <f>(Indices!E412-Indices!E411)/Indices!E411</f>
        <v>6.2015381290487946E-3</v>
      </c>
      <c r="F408" s="6">
        <f>(Indices!F412-Indices!F411)/Indices!F411</f>
        <v>5.3155857688681543E-3</v>
      </c>
      <c r="G408" s="6">
        <f>(Indices!G412-Indices!G411)/Indices!G411</f>
        <v>9.1833033654105684E-3</v>
      </c>
      <c r="H408" s="6">
        <f>(Indices!H412-Indices!H411)/Indices!H411</f>
        <v>-1.1434646980350894E-3</v>
      </c>
      <c r="I408" s="6">
        <f>(Indices!I412-Indices!I411)/Indices!I411</f>
        <v>9.541778819800761E-3</v>
      </c>
      <c r="J408" s="6">
        <f>(Indices!J412-Indices!J411)/Indices!J411</f>
        <v>2.6597592406174828E-3</v>
      </c>
      <c r="K408" s="6">
        <f>(Indices!K412-Indices!K411)/Indices!K411</f>
        <v>4.4496105547889454E-3</v>
      </c>
      <c r="L408" s="6">
        <f>(Indices!L412-Indices!L411)/Indices!L411</f>
        <v>-2.6608095140499221E-3</v>
      </c>
      <c r="M408" s="10">
        <f>WEEKNUM(Rend_j[[#This Row],[Date]])-1</f>
        <v>29</v>
      </c>
      <c r="N408" s="7" t="str">
        <f>TEXT(Rend_j[[#This Row],[Date]],"ddd")</f>
        <v>Thu</v>
      </c>
      <c r="O408" s="7">
        <f>MONTH(Rend_j[[#This Row],[Date]])</f>
        <v>7</v>
      </c>
      <c r="P408" s="7">
        <f>YEAR(Rend_j[[#This Row],[Date]])</f>
        <v>2022</v>
      </c>
      <c r="Q408" s="7" t="str">
        <f>Rend_j[[#This Row],[Week]]&amp;","&amp;Rend_j[[#This Row],[Year]]</f>
        <v>29,2022</v>
      </c>
      <c r="R408" s="7" t="str">
        <f>Rend_j[[#This Row],[Month]]&amp;","&amp;Rend_j[[#This Row],[Year]]</f>
        <v>7,2022</v>
      </c>
    </row>
    <row r="409" spans="1:18" x14ac:dyDescent="0.25">
      <c r="A409" s="1">
        <v>44764</v>
      </c>
      <c r="B409" s="6">
        <f>(Indices!B413-Indices!B412)/Indices!B412</f>
        <v>-7.222333648510452E-3</v>
      </c>
      <c r="C409" s="6">
        <f>(Indices!C413-Indices!C412)/Indices!C412</f>
        <v>-8.6328347471597601E-3</v>
      </c>
      <c r="D409" s="6">
        <f>(Indices!D413-Indices!D412)/Indices!D412</f>
        <v>-2.4058350037211382E-3</v>
      </c>
      <c r="E409" s="6">
        <f>(Indices!E413-Indices!E412)/Indices!E412</f>
        <v>-4.083557068954146E-3</v>
      </c>
      <c r="F409" s="6">
        <f>(Indices!F413-Indices!F412)/Indices!F412</f>
        <v>1.214824686422235E-2</v>
      </c>
      <c r="G409" s="6">
        <f>(Indices!G413-Indices!G412)/Indices!G412</f>
        <v>-8.1247658155735522E-3</v>
      </c>
      <c r="H409" s="6">
        <f>(Indices!H413-Indices!H412)/Indices!H412</f>
        <v>5.0611048070454282E-3</v>
      </c>
      <c r="I409" s="6">
        <f>(Indices!I413-Indices!I412)/Indices!I412</f>
        <v>-1.0660383131543496E-2</v>
      </c>
      <c r="J409" s="6">
        <f>(Indices!J413-Indices!J412)/Indices!J412</f>
        <v>2.5334111710770824E-3</v>
      </c>
      <c r="K409" s="6">
        <f>(Indices!K413-Indices!K412)/Indices!K412</f>
        <v>3.1102899534523614E-3</v>
      </c>
      <c r="L409" s="6">
        <f>(Indices!L413-Indices!L412)/Indices!L412</f>
        <v>5.314585574917245E-4</v>
      </c>
      <c r="M409" s="10">
        <f>WEEKNUM(Rend_j[[#This Row],[Date]])-1</f>
        <v>29</v>
      </c>
      <c r="N409" s="7" t="str">
        <f>TEXT(Rend_j[[#This Row],[Date]],"ddd")</f>
        <v>Fri</v>
      </c>
      <c r="O409" s="7">
        <f>MONTH(Rend_j[[#This Row],[Date]])</f>
        <v>7</v>
      </c>
      <c r="P409" s="7">
        <f>YEAR(Rend_j[[#This Row],[Date]])</f>
        <v>2022</v>
      </c>
      <c r="Q409" s="7" t="str">
        <f>Rend_j[[#This Row],[Week]]&amp;","&amp;Rend_j[[#This Row],[Year]]</f>
        <v>29,2022</v>
      </c>
      <c r="R409" s="7" t="str">
        <f>Rend_j[[#This Row],[Month]]&amp;","&amp;Rend_j[[#This Row],[Year]]</f>
        <v>7,2022</v>
      </c>
    </row>
    <row r="410" spans="1:18" x14ac:dyDescent="0.25">
      <c r="A410" s="1">
        <v>44767</v>
      </c>
      <c r="B410" s="6">
        <f>(Indices!B414-Indices!B413)/Indices!B413</f>
        <v>-4.9028926335394586E-3</v>
      </c>
      <c r="C410" s="6">
        <f>(Indices!C414-Indices!C413)/Indices!C413</f>
        <v>1.4248782995192814E-3</v>
      </c>
      <c r="D410" s="6">
        <f>(Indices!D414-Indices!D413)/Indices!D413</f>
        <v>-4.3524647158481371E-5</v>
      </c>
      <c r="E410" s="6">
        <f>(Indices!E414-Indices!E413)/Indices!E413</f>
        <v>-2.0593557346350903E-3</v>
      </c>
      <c r="F410" s="6">
        <f>(Indices!F414-Indices!F413)/Indices!F413</f>
        <v>-1.098445595854935E-2</v>
      </c>
      <c r="G410" s="6">
        <f>(Indices!G414-Indices!G413)/Indices!G413</f>
        <v>1.0330697977420067E-3</v>
      </c>
      <c r="H410" s="6">
        <f>(Indices!H414-Indices!H413)/Indices!H413</f>
        <v>6.334488994574723E-3</v>
      </c>
      <c r="I410" s="6">
        <f>(Indices!I414-Indices!I413)/Indices!I413</f>
        <v>1.4478280432060728E-3</v>
      </c>
      <c r="J410" s="6">
        <f>(Indices!J414-Indices!J413)/Indices!J413</f>
        <v>3.3344992434832222E-3</v>
      </c>
      <c r="K410" s="6">
        <f>(Indices!K414-Indices!K413)/Indices!K413</f>
        <v>1.2684903136323097E-3</v>
      </c>
      <c r="L410" s="6">
        <f>(Indices!L414-Indices!L413)/Indices!L413</f>
        <v>-3.2714975021402295E-3</v>
      </c>
      <c r="M410" s="10">
        <f>WEEKNUM(Rend_j[[#This Row],[Date]])-1</f>
        <v>30</v>
      </c>
      <c r="N410" s="7" t="str">
        <f>TEXT(Rend_j[[#This Row],[Date]],"ddd")</f>
        <v>Mon</v>
      </c>
      <c r="O410" s="7">
        <f>MONTH(Rend_j[[#This Row],[Date]])</f>
        <v>7</v>
      </c>
      <c r="P410" s="7">
        <f>YEAR(Rend_j[[#This Row],[Date]])</f>
        <v>2022</v>
      </c>
      <c r="Q410" s="7" t="str">
        <f>Rend_j[[#This Row],[Week]]&amp;","&amp;Rend_j[[#This Row],[Year]]</f>
        <v>30,2022</v>
      </c>
      <c r="R410" s="7" t="str">
        <f>Rend_j[[#This Row],[Month]]&amp;","&amp;Rend_j[[#This Row],[Year]]</f>
        <v>7,2022</v>
      </c>
    </row>
    <row r="411" spans="1:18" x14ac:dyDescent="0.25">
      <c r="A411" s="1">
        <v>44768</v>
      </c>
      <c r="B411" s="6">
        <f>(Indices!B415-Indices!B414)/Indices!B414</f>
        <v>1.9286685752006261E-2</v>
      </c>
      <c r="C411" s="6">
        <f>(Indices!C415-Indices!C414)/Indices!C414</f>
        <v>-1.8757477515559426E-3</v>
      </c>
      <c r="D411" s="6">
        <f>(Indices!D415-Indices!D414)/Indices!D414</f>
        <v>6.3978708089779922E-3</v>
      </c>
      <c r="E411" s="6">
        <f>(Indices!E415-Indices!E414)/Indices!E414</f>
        <v>1.1198287971789548E-2</v>
      </c>
      <c r="F411" s="6">
        <f>(Indices!F415-Indices!F414)/Indices!F414</f>
        <v>8.4561905231498331E-3</v>
      </c>
      <c r="G411" s="6">
        <f>(Indices!G415-Indices!G414)/Indices!G414</f>
        <v>-4.1588207432738421E-4</v>
      </c>
      <c r="H411" s="6">
        <f>(Indices!H415-Indices!H414)/Indices!H414</f>
        <v>8.9951450045173461E-3</v>
      </c>
      <c r="I411" s="6">
        <f>(Indices!I415-Indices!I414)/Indices!I414</f>
        <v>-1.1977205659724776E-2</v>
      </c>
      <c r="J411" s="6">
        <f>(Indices!J415-Indices!J414)/Indices!J414</f>
        <v>-4.1842728019707261E-3</v>
      </c>
      <c r="K411" s="6">
        <f>(Indices!K415-Indices!K414)/Indices!K414</f>
        <v>-2.8151319648097868E-4</v>
      </c>
      <c r="L411" s="6">
        <f>(Indices!L415-Indices!L414)/Indices!L414</f>
        <v>-8.5834875566312679E-3</v>
      </c>
      <c r="M411" s="10">
        <f>WEEKNUM(Rend_j[[#This Row],[Date]])-1</f>
        <v>30</v>
      </c>
      <c r="N411" s="7" t="str">
        <f>TEXT(Rend_j[[#This Row],[Date]],"ddd")</f>
        <v>Tue</v>
      </c>
      <c r="O411" s="7">
        <f>MONTH(Rend_j[[#This Row],[Date]])</f>
        <v>7</v>
      </c>
      <c r="P411" s="7">
        <f>YEAR(Rend_j[[#This Row],[Date]])</f>
        <v>2022</v>
      </c>
      <c r="Q411" s="7" t="str">
        <f>Rend_j[[#This Row],[Week]]&amp;","&amp;Rend_j[[#This Row],[Year]]</f>
        <v>30,2022</v>
      </c>
      <c r="R411" s="7" t="str">
        <f>Rend_j[[#This Row],[Month]]&amp;","&amp;Rend_j[[#This Row],[Year]]</f>
        <v>7,2022</v>
      </c>
    </row>
    <row r="412" spans="1:18" x14ac:dyDescent="0.25">
      <c r="A412" s="1">
        <v>44769</v>
      </c>
      <c r="B412" s="6">
        <f>(Indices!B416-Indices!B415)/Indices!B415</f>
        <v>-7.1651788847648962E-3</v>
      </c>
      <c r="C412" s="6">
        <f>(Indices!C416-Indices!C415)/Indices!C415</f>
        <v>2.0588813600338773E-2</v>
      </c>
      <c r="D412" s="6">
        <f>(Indices!D416-Indices!D415)/Indices!D415</f>
        <v>7.2177117567292105E-3</v>
      </c>
      <c r="E412" s="6">
        <f>(Indices!E416-Indices!E415)/Indices!E415</f>
        <v>1.2484296891696377E-3</v>
      </c>
      <c r="F412" s="6">
        <f>(Indices!F416-Indices!F415)/Indices!F415</f>
        <v>-1.6501650165017126E-3</v>
      </c>
      <c r="G412" s="6">
        <f>(Indices!G416-Indices!G415)/Indices!G415</f>
        <v>1.8402733636128942E-2</v>
      </c>
      <c r="H412" s="6">
        <f>(Indices!H416-Indices!H415)/Indices!H415</f>
        <v>4.6837946608676738E-3</v>
      </c>
      <c r="I412" s="6">
        <f>(Indices!I416-Indices!I415)/Indices!I415</f>
        <v>2.6171155797711679E-2</v>
      </c>
      <c r="J412" s="6">
        <f>(Indices!J416-Indices!J415)/Indices!J415</f>
        <v>7.4845236684698687E-3</v>
      </c>
      <c r="K412" s="6">
        <f>(Indices!K416-Indices!K415)/Indices!K415</f>
        <v>4.6699128825721491E-3</v>
      </c>
      <c r="L412" s="6">
        <f>(Indices!L416-Indices!L415)/Indices!L415</f>
        <v>5.3027840603761811E-3</v>
      </c>
      <c r="M412" s="10">
        <f>WEEKNUM(Rend_j[[#This Row],[Date]])-1</f>
        <v>30</v>
      </c>
      <c r="N412" s="7" t="str">
        <f>TEXT(Rend_j[[#This Row],[Date]],"ddd")</f>
        <v>Wed</v>
      </c>
      <c r="O412" s="7">
        <f>MONTH(Rend_j[[#This Row],[Date]])</f>
        <v>7</v>
      </c>
      <c r="P412" s="7">
        <f>YEAR(Rend_j[[#This Row],[Date]])</f>
        <v>2022</v>
      </c>
      <c r="Q412" s="7" t="str">
        <f>Rend_j[[#This Row],[Week]]&amp;","&amp;Rend_j[[#This Row],[Year]]</f>
        <v>30,2022</v>
      </c>
      <c r="R412" s="7" t="str">
        <f>Rend_j[[#This Row],[Month]]&amp;","&amp;Rend_j[[#This Row],[Year]]</f>
        <v>7,2022</v>
      </c>
    </row>
    <row r="413" spans="1:18" x14ac:dyDescent="0.25">
      <c r="A413" s="1">
        <v>44770</v>
      </c>
      <c r="B413" s="6">
        <f>(Indices!B417-Indices!B416)/Indices!B416</f>
        <v>-3.7853703422767895E-3</v>
      </c>
      <c r="C413" s="6">
        <f>(Indices!C417-Indices!C416)/Indices!C416</f>
        <v>9.4920880741287319E-3</v>
      </c>
      <c r="D413" s="6">
        <f>(Indices!D417-Indices!D416)/Indices!D416</f>
        <v>9.1629572085498694E-3</v>
      </c>
      <c r="E413" s="6">
        <f>(Indices!E417-Indices!E416)/Indices!E416</f>
        <v>4.3263111039381344E-3</v>
      </c>
      <c r="F413" s="6">
        <f>(Indices!F417-Indices!F416)/Indices!F416</f>
        <v>1.8126721763085479E-2</v>
      </c>
      <c r="G413" s="6">
        <f>(Indices!G417-Indices!G416)/Indices!G416</f>
        <v>8.9197224975223147E-3</v>
      </c>
      <c r="H413" s="6">
        <f>(Indices!H417-Indices!H416)/Indices!H416</f>
        <v>3.633585692878851E-3</v>
      </c>
      <c r="I413" s="6">
        <f>(Indices!I417-Indices!I416)/Indices!I416</f>
        <v>1.2422810536635933E-2</v>
      </c>
      <c r="J413" s="6">
        <f>(Indices!J417-Indices!J416)/Indices!J416</f>
        <v>1.2986705012546547E-2</v>
      </c>
      <c r="K413" s="6">
        <f>(Indices!K417-Indices!K416)/Indices!K416</f>
        <v>1.0861426829643852E-2</v>
      </c>
      <c r="L413" s="6">
        <f>(Indices!L417-Indices!L416)/Indices!L416</f>
        <v>8.7898474033699554E-3</v>
      </c>
      <c r="M413" s="10">
        <f>WEEKNUM(Rend_j[[#This Row],[Date]])-1</f>
        <v>30</v>
      </c>
      <c r="N413" s="7" t="str">
        <f>TEXT(Rend_j[[#This Row],[Date]],"ddd")</f>
        <v>Thu</v>
      </c>
      <c r="O413" s="7">
        <f>MONTH(Rend_j[[#This Row],[Date]])</f>
        <v>7</v>
      </c>
      <c r="P413" s="7">
        <f>YEAR(Rend_j[[#This Row],[Date]])</f>
        <v>2022</v>
      </c>
      <c r="Q413" s="7" t="str">
        <f>Rend_j[[#This Row],[Week]]&amp;","&amp;Rend_j[[#This Row],[Year]]</f>
        <v>30,2022</v>
      </c>
      <c r="R413" s="7" t="str">
        <f>Rend_j[[#This Row],[Month]]&amp;","&amp;Rend_j[[#This Row],[Year]]</f>
        <v>7,2022</v>
      </c>
    </row>
    <row r="414" spans="1:18" x14ac:dyDescent="0.25">
      <c r="A414" s="1">
        <v>44771</v>
      </c>
      <c r="B414" s="6">
        <f>(Indices!B418-Indices!B417)/Indices!B417</f>
        <v>-2.4882135134834466E-2</v>
      </c>
      <c r="C414" s="6">
        <f>(Indices!C418-Indices!C417)/Indices!C417</f>
        <v>9.4101757618242719E-3</v>
      </c>
      <c r="D414" s="6">
        <f>(Indices!D418-Indices!D417)/Indices!D417</f>
        <v>4.1346168565029404E-3</v>
      </c>
      <c r="E414" s="6">
        <f>(Indices!E418-Indices!E417)/Indices!E417</f>
        <v>-7.840382766190656E-3</v>
      </c>
      <c r="F414" s="6">
        <f>(Indices!F418-Indices!F417)/Indices!F417</f>
        <v>-1.1364251312300025E-3</v>
      </c>
      <c r="G414" s="6">
        <f>(Indices!G418-Indices!G417)/Indices!G417</f>
        <v>7.5023620630182523E-3</v>
      </c>
      <c r="H414" s="6">
        <f>(Indices!H418-Indices!H417)/Indices!H417</f>
        <v>1.0178191541268929E-2</v>
      </c>
      <c r="I414" s="6">
        <f>(Indices!I418-Indices!I417)/Indices!I417</f>
        <v>1.3610951213860354E-2</v>
      </c>
      <c r="J414" s="6">
        <f>(Indices!J418-Indices!J417)/Indices!J417</f>
        <v>1.7240324846845761E-2</v>
      </c>
      <c r="K414" s="6">
        <f>(Indices!K418-Indices!K417)/Indices!K417</f>
        <v>1.2755089632613107E-2</v>
      </c>
      <c r="L414" s="6">
        <f>(Indices!L418-Indices!L417)/Indices!L417</f>
        <v>1.5203868562950133E-2</v>
      </c>
      <c r="M414" s="10">
        <f>WEEKNUM(Rend_j[[#This Row],[Date]])-1</f>
        <v>30</v>
      </c>
      <c r="N414" s="7" t="str">
        <f>TEXT(Rend_j[[#This Row],[Date]],"ddd")</f>
        <v>Fri</v>
      </c>
      <c r="O414" s="7">
        <f>MONTH(Rend_j[[#This Row],[Date]])</f>
        <v>7</v>
      </c>
      <c r="P414" s="7">
        <f>YEAR(Rend_j[[#This Row],[Date]])</f>
        <v>2022</v>
      </c>
      <c r="Q414" s="7" t="str">
        <f>Rend_j[[#This Row],[Week]]&amp;","&amp;Rend_j[[#This Row],[Year]]</f>
        <v>30,2022</v>
      </c>
      <c r="R414" s="7" t="str">
        <f>Rend_j[[#This Row],[Month]]&amp;","&amp;Rend_j[[#This Row],[Year]]</f>
        <v>7,2022</v>
      </c>
    </row>
  </sheetData>
  <pageMargins left="0.7" right="0.7" top="0.75" bottom="0.75" header="0.3" footer="0.3"/>
  <ignoredErrors>
    <ignoredError sqref="M393:R393" calculatedColumn="1"/>
  </ignoredErrors>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755284-22E6-401B-A46E-B1A61111E546}">
  <sheetPr codeName="Sheet4">
    <tabColor theme="4" tint="-0.249977111117893"/>
  </sheetPr>
  <dimension ref="A3:P86"/>
  <sheetViews>
    <sheetView topLeftCell="A12" workbookViewId="0">
      <selection activeCell="L7" sqref="L7"/>
    </sheetView>
  </sheetViews>
  <sheetFormatPr defaultRowHeight="15" x14ac:dyDescent="0.25"/>
  <cols>
    <col min="1" max="1" width="13" style="58" customWidth="1"/>
    <col min="2" max="3" width="9.140625" style="11"/>
    <col min="4" max="4" width="14" style="11" customWidth="1"/>
    <col min="5" max="6" width="9.140625" style="11"/>
    <col min="7" max="7" width="9.5703125" style="11" customWidth="1"/>
    <col min="8" max="10" width="9.140625" style="11"/>
    <col min="11" max="11" width="9.42578125" style="11" customWidth="1"/>
    <col min="12" max="12" width="12.7109375" style="11" customWidth="1"/>
    <col min="13" max="14" width="9.140625" style="9"/>
  </cols>
  <sheetData>
    <row r="3" spans="1:14" x14ac:dyDescent="0.25">
      <c r="M3" s="25" t="s">
        <v>23</v>
      </c>
      <c r="N3" s="25"/>
    </row>
    <row r="4" spans="1:14" x14ac:dyDescent="0.25">
      <c r="A4" s="60" t="s">
        <v>28</v>
      </c>
      <c r="B4" s="13" t="s">
        <v>15</v>
      </c>
      <c r="C4" s="13" t="s">
        <v>1</v>
      </c>
      <c r="D4" s="13" t="s">
        <v>2</v>
      </c>
      <c r="E4" s="13" t="s">
        <v>3</v>
      </c>
      <c r="F4" s="13" t="s">
        <v>4</v>
      </c>
      <c r="G4" s="13" t="s">
        <v>5</v>
      </c>
      <c r="H4" s="13" t="s">
        <v>6</v>
      </c>
      <c r="I4" s="13" t="s">
        <v>7</v>
      </c>
      <c r="J4" s="13" t="s">
        <v>8</v>
      </c>
      <c r="K4" s="13" t="s">
        <v>9</v>
      </c>
      <c r="L4" s="14" t="s">
        <v>10</v>
      </c>
      <c r="M4" s="24" t="s">
        <v>24</v>
      </c>
      <c r="N4" s="24" t="s">
        <v>27</v>
      </c>
    </row>
    <row r="5" spans="1:14" x14ac:dyDescent="0.25">
      <c r="A5" s="61" t="s">
        <v>29</v>
      </c>
      <c r="B5" s="6" cm="1">
        <f t="array" ref="B5">PRODUCT(1+IF(Rend_j[[Week,Year]:[Week,Year]]='Rend hebdo'!$A5,Rend_j[Chine]))-1</f>
        <v>4.6536457246461715E-2</v>
      </c>
      <c r="C5" s="6" cm="1">
        <f t="array" ref="C5">PRODUCT(1+IF(Rend_j[[Week,Year]:[Week,Year]]='Rend hebdo'!$A5,Rend_j[DM]))-1</f>
        <v>2.1808366109727917E-2</v>
      </c>
      <c r="D5" s="6" cm="1">
        <f t="array" ref="D5">PRODUCT(1+IF(Rend_j[[Week,Year]:[Week,Year]]='Rend hebdo'!$A5,Rend_j[EM ex China]))-1</f>
        <v>5.2073363287481245E-2</v>
      </c>
      <c r="E5" s="6" cm="1">
        <f t="array" ref="E5">PRODUCT(1+IF(Rend_j[[Week,Year]:[Week,Year]]='Rend hebdo'!$A5,Rend_j[EM]))-1</f>
        <v>4.607203578878849E-2</v>
      </c>
      <c r="F5" s="6" cm="1">
        <f t="array" ref="F5">PRODUCT(1+IF(Rend_j[[Week,Year]:[Week,Year]]='Rend hebdo'!$A5,Rend_j[Japon]))-1</f>
        <v>2.1696916500838714E-2</v>
      </c>
      <c r="G5" s="6" cm="1">
        <f t="array" ref="G5">PRODUCT(1+IF(Rend_j[[Week,Year]:[Week,Year]]='Rend hebdo'!$A5,Rend_j[Monde]))-1</f>
        <v>2.5036241303188822E-2</v>
      </c>
      <c r="H5" s="6" cm="1">
        <f t="array" ref="H5">PRODUCT(1+IF(Rend_j[[Week,Year]:[Week,Year]]='Rend hebdo'!$A5,Rend_j[RU]))-1</f>
        <v>5.6049430957847202E-2</v>
      </c>
      <c r="I5" s="6" cm="1">
        <f t="array" ref="I5">PRODUCT(1+IF(Rend_j[[Week,Year]:[Week,Year]]='Rend hebdo'!$A5,Rend_j[US]))-1</f>
        <v>2.2804518292204756E-2</v>
      </c>
      <c r="J5" s="6" cm="1">
        <f t="array" ref="J5">PRODUCT(1+IF(Rend_j[[Week,Year]:[Week,Year]]='Rend hebdo'!$A5,Rend_j[France]))-1</f>
        <v>2.8005476626658643E-2</v>
      </c>
      <c r="K5" s="6" cm="1">
        <f t="array" ref="K5">PRODUCT(1+IF(Rend_j[[Week,Year]:[Week,Year]]='Rend hebdo'!$A5,Rend_j[Europe]))-1</f>
        <v>2.728298063710155E-2</v>
      </c>
      <c r="L5" s="6" cm="1">
        <f t="array" ref="L5">PRODUCT(1+IF(Rend_j[[Week,Year]:[Week,Year]]='Rend hebdo'!$A5,Rend_j[Allemagne]))-1</f>
        <v>2.410930636689268E-2</v>
      </c>
      <c r="M5" s="10">
        <f>VALUE(LEFT(Rend_h[[#This Row],[Week,Year]],FIND(",",Rend_h[[#This Row],[Week,Year]])-1))</f>
        <v>1</v>
      </c>
      <c r="N5" s="10">
        <f>VALUE(RIGHT(Rend_h[[#This Row],[Week,Year]],4))</f>
        <v>2021</v>
      </c>
    </row>
    <row r="6" spans="1:14" x14ac:dyDescent="0.25">
      <c r="A6" s="62" t="s">
        <v>30</v>
      </c>
      <c r="B6" s="6" cm="1">
        <f t="array" ref="B6">PRODUCT(1+IF(Rend_j[[Week,Year]:[Week,Year]]='Rend hebdo'!$A6,Rend_j[Chine]))-1</f>
        <v>2.0069218058524685E-2</v>
      </c>
      <c r="C6" s="6" cm="1">
        <f t="array" ref="C6">PRODUCT(1+IF(Rend_j[[Week,Year]:[Week,Year]]='Rend hebdo'!$A6,Rend_j[DM]))-1</f>
        <v>-6.495289825060313E-4</v>
      </c>
      <c r="D6" s="6" cm="1">
        <f t="array" ref="D6">PRODUCT(1+IF(Rend_j[[Week,Year]:[Week,Year]]='Rend hebdo'!$A6,Rend_j[EM ex China]))-1</f>
        <v>8.834157403333931E-3</v>
      </c>
      <c r="E6" s="6" cm="1">
        <f t="array" ref="E6">PRODUCT(1+IF(Rend_j[[Week,Year]:[Week,Year]]='Rend hebdo'!$A6,Rend_j[EM]))-1</f>
        <v>1.6889563098402505E-2</v>
      </c>
      <c r="F6" s="6" cm="1">
        <f t="array" ref="F6">PRODUCT(1+IF(Rend_j[[Week,Year]:[Week,Year]]='Rend hebdo'!$A6,Rend_j[Japon]))-1</f>
        <v>1.5387240652913192E-2</v>
      </c>
      <c r="G6" s="6" cm="1">
        <f t="array" ref="G6">PRODUCT(1+IF(Rend_j[[Week,Year]:[Week,Year]]='Rend hebdo'!$A6,Rend_j[Monde]))-1</f>
        <v>1.7151478938928211E-3</v>
      </c>
      <c r="H6" s="6" cm="1">
        <f t="array" ref="H6">PRODUCT(1+IF(Rend_j[[Week,Year]:[Week,Year]]='Rend hebdo'!$A6,Rend_j[RU]))-1</f>
        <v>-6.0590643139613043E-3</v>
      </c>
      <c r="I6" s="6" cm="1">
        <f t="array" ref="I6">PRODUCT(1+IF(Rend_j[[Week,Year]:[Week,Year]]='Rend hebdo'!$A6,Rend_j[US]))-1</f>
        <v>-1.0799579774932178E-2</v>
      </c>
      <c r="J6" s="6" cm="1">
        <f t="array" ref="J6">PRODUCT(1+IF(Rend_j[[Week,Year]:[Week,Year]]='Rend hebdo'!$A6,Rend_j[France]))-1</f>
        <v>-1.6679857286563515E-2</v>
      </c>
      <c r="K6" s="6" cm="1">
        <f t="array" ref="K6">PRODUCT(1+IF(Rend_j[[Week,Year]:[Week,Year]]='Rend hebdo'!$A6,Rend_j[Europe]))-1</f>
        <v>-8.0745358246736565E-3</v>
      </c>
      <c r="L6" s="6" cm="1">
        <f t="array" ref="L6">PRODUCT(1+IF(Rend_j[[Week,Year]:[Week,Year]]='Rend hebdo'!$A6,Rend_j[Allemagne]))-1</f>
        <v>-1.863406071013074E-2</v>
      </c>
      <c r="M6" s="10">
        <f>VALUE(LEFT(Rend_h[[#This Row],[Week,Year]],FIND(",",Rend_h[[#This Row],[Week,Year]])-1))</f>
        <v>2</v>
      </c>
      <c r="N6" s="10">
        <f>VALUE(RIGHT(Rend_h[[#This Row],[Week,Year]],4))</f>
        <v>2021</v>
      </c>
    </row>
    <row r="7" spans="1:14" x14ac:dyDescent="0.25">
      <c r="A7" s="61" t="s">
        <v>31</v>
      </c>
      <c r="B7" s="6" cm="1">
        <f t="array" ref="B7">PRODUCT(1+IF(Rend_j[[Week,Year]:[Week,Year]]='Rend hebdo'!$A7,Rend_j[Chine]))-1</f>
        <v>4.1173794703212918E-2</v>
      </c>
      <c r="C7" s="6" cm="1">
        <f t="array" ref="C7">PRODUCT(1+IF(Rend_j[[Week,Year]:[Week,Year]]='Rend hebdo'!$A7,Rend_j[DM]))-1</f>
        <v>8.3752093802342831E-3</v>
      </c>
      <c r="D7" s="6" cm="1">
        <f t="array" ref="D7">PRODUCT(1+IF(Rend_j[[Week,Year]:[Week,Year]]='Rend hebdo'!$A7,Rend_j[EM ex China]))-1</f>
        <v>-2.3253986197141474E-3</v>
      </c>
      <c r="E7" s="6" cm="1">
        <f t="array" ref="E7">PRODUCT(1+IF(Rend_j[[Week,Year]:[Week,Year]]='Rend hebdo'!$A7,Rend_j[EM]))-1</f>
        <v>1.89033859686909E-2</v>
      </c>
      <c r="F7" s="6" cm="1">
        <f t="array" ref="F7">PRODUCT(1+IF(Rend_j[[Week,Year]:[Week,Year]]='Rend hebdo'!$A7,Rend_j[Japon]))-1</f>
        <v>-4.7055823737692792E-3</v>
      </c>
      <c r="G7" s="6" cm="1">
        <f t="array" ref="G7">PRODUCT(1+IF(Rend_j[[Week,Year]:[Week,Year]]='Rend hebdo'!$A7,Rend_j[Monde]))-1</f>
        <v>9.8183940403033798E-3</v>
      </c>
      <c r="H7" s="6" cm="1">
        <f t="array" ref="H7">PRODUCT(1+IF(Rend_j[[Week,Year]:[Week,Year]]='Rend hebdo'!$A7,Rend_j[RU]))-1</f>
        <v>-6.7125805626001567E-3</v>
      </c>
      <c r="I7" s="6" cm="1">
        <f t="array" ref="I7">PRODUCT(1+IF(Rend_j[[Week,Year]:[Week,Year]]='Rend hebdo'!$A7,Rend_j[US]))-1</f>
        <v>1.9337379415903522E-2</v>
      </c>
      <c r="J7" s="6" cm="1">
        <f t="array" ref="J7">PRODUCT(1+IF(Rend_j[[Week,Year]:[Week,Year]]='Rend hebdo'!$A7,Rend_j[France]))-1</f>
        <v>-9.2877756162541569E-3</v>
      </c>
      <c r="K7" s="6" cm="1">
        <f t="array" ref="K7">PRODUCT(1+IF(Rend_j[[Week,Year]:[Week,Year]]='Rend hebdo'!$A7,Rend_j[Europe]))-1</f>
        <v>1.6918057860710878E-3</v>
      </c>
      <c r="L7" s="6" cm="1">
        <f t="array" ref="L7">PRODUCT(1+IF(Rend_j[[Week,Year]:[Week,Year]]='Rend hebdo'!$A7,Rend_j[Allemagne]))-1</f>
        <v>6.2547828438948017E-3</v>
      </c>
      <c r="M7" s="10">
        <f>VALUE(LEFT(Rend_h[[#This Row],[Week,Year]],FIND(",",Rend_h[[#This Row],[Week,Year]])-1))</f>
        <v>3</v>
      </c>
      <c r="N7" s="10">
        <f>VALUE(RIGHT(Rend_h[[#This Row],[Week,Year]],4))</f>
        <v>2021</v>
      </c>
    </row>
    <row r="8" spans="1:14" x14ac:dyDescent="0.25">
      <c r="A8" s="62" t="s">
        <v>32</v>
      </c>
      <c r="B8" s="6" cm="1">
        <f t="array" ref="B8">PRODUCT(1+IF(Rend_j[[Week,Year]:[Week,Year]]='Rend hebdo'!$A8,Rend_j[Chine]))-1</f>
        <v>-3.7040228136904441E-2</v>
      </c>
      <c r="C8" s="6" cm="1">
        <f t="array" ref="C8">PRODUCT(1+IF(Rend_j[[Week,Year]:[Week,Year]]='Rend hebdo'!$A8,Rend_j[DM]))-1</f>
        <v>-3.2231969822812845E-2</v>
      </c>
      <c r="D8" s="6" cm="1">
        <f t="array" ref="D8">PRODUCT(1+IF(Rend_j[[Week,Year]:[Week,Year]]='Rend hebdo'!$A8,Rend_j[EM ex China]))-1</f>
        <v>-4.753202541827739E-2</v>
      </c>
      <c r="E8" s="6" cm="1">
        <f t="array" ref="E8">PRODUCT(1+IF(Rend_j[[Week,Year]:[Week,Year]]='Rend hebdo'!$A8,Rend_j[EM]))-1</f>
        <v>-4.3591449480778643E-2</v>
      </c>
      <c r="F8" s="6" cm="1">
        <f t="array" ref="F8">PRODUCT(1+IF(Rend_j[[Week,Year]:[Week,Year]]='Rend hebdo'!$A8,Rend_j[Japon]))-1</f>
        <v>-3.4428148053263552E-2</v>
      </c>
      <c r="G8" s="6" cm="1">
        <f t="array" ref="G8">PRODUCT(1+IF(Rend_j[[Week,Year]:[Week,Year]]='Rend hebdo'!$A8,Rend_j[Monde]))-1</f>
        <v>-3.3800781913989275E-2</v>
      </c>
      <c r="H8" s="6" cm="1">
        <f t="array" ref="H8">PRODUCT(1+IF(Rend_j[[Week,Year]:[Week,Year]]='Rend hebdo'!$A8,Rend_j[RU]))-1</f>
        <v>-3.668263430974128E-2</v>
      </c>
      <c r="I8" s="6" cm="1">
        <f t="array" ref="I8">PRODUCT(1+IF(Rend_j[[Week,Year]:[Week,Year]]='Rend hebdo'!$A8,Rend_j[US]))-1</f>
        <v>-3.5049722154871676E-2</v>
      </c>
      <c r="J8" s="6" cm="1">
        <f t="array" ref="J8">PRODUCT(1+IF(Rend_j[[Week,Year]:[Week,Year]]='Rend hebdo'!$A8,Rend_j[France]))-1</f>
        <v>-2.8843933627336726E-2</v>
      </c>
      <c r="K8" s="6" cm="1">
        <f t="array" ref="K8">PRODUCT(1+IF(Rend_j[[Week,Year]:[Week,Year]]='Rend hebdo'!$A8,Rend_j[Europe]))-1</f>
        <v>-3.1061836589914016E-2</v>
      </c>
      <c r="L8" s="6" cm="1">
        <f t="array" ref="L8">PRODUCT(1+IF(Rend_j[[Week,Year]:[Week,Year]]='Rend hebdo'!$A8,Rend_j[Allemagne]))-1</f>
        <v>-3.1793323654599193E-2</v>
      </c>
      <c r="M8" s="10">
        <f>VALUE(LEFT(Rend_h[[#This Row],[Week,Year]],FIND(",",Rend_h[[#This Row],[Week,Year]])-1))</f>
        <v>4</v>
      </c>
      <c r="N8" s="10">
        <f>VALUE(RIGHT(Rend_h[[#This Row],[Week,Year]],4))</f>
        <v>2021</v>
      </c>
    </row>
    <row r="9" spans="1:14" x14ac:dyDescent="0.25">
      <c r="A9" s="61" t="s">
        <v>33</v>
      </c>
      <c r="B9" s="6" cm="1">
        <f t="array" ref="B9">PRODUCT(1+IF(Rend_j[[Week,Year]:[Week,Year]]='Rend hebdo'!$A9,Rend_j[Chine]))-1</f>
        <v>5.3617795618805308E-2</v>
      </c>
      <c r="C9" s="6" cm="1">
        <f t="array" ref="C9">PRODUCT(1+IF(Rend_j[[Week,Year]:[Week,Year]]='Rend hebdo'!$A9,Rend_j[DM]))-1</f>
        <v>5.2687100220367489E-2</v>
      </c>
      <c r="D9" s="6" cm="1">
        <f t="array" ref="D9">PRODUCT(1+IF(Rend_j[[Week,Year]:[Week,Year]]='Rend hebdo'!$A9,Rend_j[EM ex China]))-1</f>
        <v>5.671109535720853E-2</v>
      </c>
      <c r="E9" s="6" cm="1">
        <f t="array" ref="E9">PRODUCT(1+IF(Rend_j[[Week,Year]:[Week,Year]]='Rend hebdo'!$A9,Rend_j[EM]))-1</f>
        <v>6.0256100057697326E-2</v>
      </c>
      <c r="F9" s="6" cm="1">
        <f t="array" ref="F9">PRODUCT(1+IF(Rend_j[[Week,Year]:[Week,Year]]='Rend hebdo'!$A9,Rend_j[Japon]))-1</f>
        <v>4.749873368870472E-2</v>
      </c>
      <c r="G9" s="6" cm="1">
        <f t="array" ref="G9">PRODUCT(1+IF(Rend_j[[Week,Year]:[Week,Year]]='Rend hebdo'!$A9,Rend_j[Monde]))-1</f>
        <v>5.3723951690225924E-2</v>
      </c>
      <c r="H9" s="6" cm="1">
        <f t="array" ref="H9">PRODUCT(1+IF(Rend_j[[Week,Year]:[Week,Year]]='Rend hebdo'!$A9,Rend_j[RU]))-1</f>
        <v>2.0608153290617492E-2</v>
      </c>
      <c r="I9" s="6" cm="1">
        <f t="array" ref="I9">PRODUCT(1+IF(Rend_j[[Week,Year]:[Week,Year]]='Rend hebdo'!$A9,Rend_j[US]))-1</f>
        <v>5.1212804492019259E-2</v>
      </c>
      <c r="J9" s="6" cm="1">
        <f t="array" ref="J9">PRODUCT(1+IF(Rend_j[[Week,Year]:[Week,Year]]='Rend hebdo'!$A9,Rend_j[France]))-1</f>
        <v>4.8164417920105285E-2</v>
      </c>
      <c r="K9" s="6" cm="1">
        <f t="array" ref="K9">PRODUCT(1+IF(Rend_j[[Week,Year]:[Week,Year]]='Rend hebdo'!$A9,Rend_j[Europe]))-1</f>
        <v>3.4583814052032702E-2</v>
      </c>
      <c r="L9" s="6" cm="1">
        <f t="array" ref="L9">PRODUCT(1+IF(Rend_j[[Week,Year]:[Week,Year]]='Rend hebdo'!$A9,Rend_j[Allemagne]))-1</f>
        <v>4.644201904931422E-2</v>
      </c>
      <c r="M9" s="10">
        <f>VALUE(LEFT(Rend_h[[#This Row],[Week,Year]],FIND(",",Rend_h[[#This Row],[Week,Year]])-1))</f>
        <v>5</v>
      </c>
      <c r="N9" s="10">
        <f>VALUE(RIGHT(Rend_h[[#This Row],[Week,Year]],4))</f>
        <v>2021</v>
      </c>
    </row>
    <row r="10" spans="1:14" x14ac:dyDescent="0.25">
      <c r="A10" s="62" t="s">
        <v>34</v>
      </c>
      <c r="B10" s="6" cm="1">
        <f t="array" ref="B10">PRODUCT(1+IF(Rend_j[[Week,Year]:[Week,Year]]='Rend hebdo'!$A10,Rend_j[Chine]))-1</f>
        <v>4.2249132863400929E-2</v>
      </c>
      <c r="C10" s="6" cm="1">
        <f t="array" ref="C10">PRODUCT(1+IF(Rend_j[[Week,Year]:[Week,Year]]='Rend hebdo'!$A10,Rend_j[DM]))-1</f>
        <v>8.5688565799308947E-3</v>
      </c>
      <c r="D10" s="6" cm="1">
        <f t="array" ref="D10">PRODUCT(1+IF(Rend_j[[Week,Year]:[Week,Year]]='Rend hebdo'!$A10,Rend_j[EM ex China]))-1</f>
        <v>3.4555367110753465E-3</v>
      </c>
      <c r="E10" s="6" cm="1">
        <f t="array" ref="E10">PRODUCT(1+IF(Rend_j[[Week,Year]:[Week,Year]]='Rend hebdo'!$A10,Rend_j[EM]))-1</f>
        <v>1.6163008083698527E-2</v>
      </c>
      <c r="F10" s="6" cm="1">
        <f t="array" ref="F10">PRODUCT(1+IF(Rend_j[[Week,Year]:[Week,Year]]='Rend hebdo'!$A10,Rend_j[Japon]))-1</f>
        <v>2.1449171909989406E-2</v>
      </c>
      <c r="G10" s="6" cm="1">
        <f t="array" ref="G10">PRODUCT(1+IF(Rend_j[[Week,Year]:[Week,Year]]='Rend hebdo'!$A10,Rend_j[Monde]))-1</f>
        <v>9.6126153576452378E-3</v>
      </c>
      <c r="H10" s="6" cm="1">
        <f t="array" ref="H10">PRODUCT(1+IF(Rend_j[[Week,Year]:[Week,Year]]='Rend hebdo'!$A10,Rend_j[RU]))-1</f>
        <v>1.6737348708662836E-2</v>
      </c>
      <c r="I10" s="6" cm="1">
        <f t="array" ref="I10">PRODUCT(1+IF(Rend_j[[Week,Year]:[Week,Year]]='Rend hebdo'!$A10,Rend_j[US]))-1</f>
        <v>1.5591817961751575E-2</v>
      </c>
      <c r="J10" s="6" cm="1">
        <f t="array" ref="J10">PRODUCT(1+IF(Rend_j[[Week,Year]:[Week,Year]]='Rend hebdo'!$A10,Rend_j[France]))-1</f>
        <v>7.8473436167054711E-3</v>
      </c>
      <c r="K10" s="6" cm="1">
        <f t="array" ref="K10">PRODUCT(1+IF(Rend_j[[Week,Year]:[Week,Year]]='Rend hebdo'!$A10,Rend_j[Europe]))-1</f>
        <v>1.0890244913775771E-2</v>
      </c>
      <c r="L10" s="6" cm="1">
        <f t="array" ref="L10">PRODUCT(1+IF(Rend_j[[Week,Year]:[Week,Year]]='Rend hebdo'!$A10,Rend_j[Allemagne]))-1</f>
        <v>-4.8589430046253046E-4</v>
      </c>
      <c r="M10" s="10">
        <f>VALUE(LEFT(Rend_h[[#This Row],[Week,Year]],FIND(",",Rend_h[[#This Row],[Week,Year]])-1))</f>
        <v>6</v>
      </c>
      <c r="N10" s="10">
        <f>VALUE(RIGHT(Rend_h[[#This Row],[Week,Year]],4))</f>
        <v>2021</v>
      </c>
    </row>
    <row r="11" spans="1:14" x14ac:dyDescent="0.25">
      <c r="A11" s="61" t="s">
        <v>35</v>
      </c>
      <c r="B11" s="6" cm="1">
        <f t="array" ref="B11">PRODUCT(1+IF(Rend_j[[Week,Year]:[Week,Year]]='Rend hebdo'!$A11,Rend_j[Chine]))-1</f>
        <v>-6.4610002989367032E-3</v>
      </c>
      <c r="C11" s="6" cm="1">
        <f t="array" ref="C11">PRODUCT(1+IF(Rend_j[[Week,Year]:[Week,Year]]='Rend hebdo'!$A11,Rend_j[DM]))-1</f>
        <v>-5.0900548159752423E-3</v>
      </c>
      <c r="D11" s="6" cm="1">
        <f t="array" ref="D11">PRODUCT(1+IF(Rend_j[[Week,Year]:[Week,Year]]='Rend hebdo'!$A11,Rend_j[EM ex China]))-1</f>
        <v>3.6669999382079599E-3</v>
      </c>
      <c r="E11" s="6" cm="1">
        <f t="array" ref="E11">PRODUCT(1+IF(Rend_j[[Week,Year]:[Week,Year]]='Rend hebdo'!$A11,Rend_j[EM]))-1</f>
        <v>1.0796850774608124E-4</v>
      </c>
      <c r="F11" s="6" cm="1">
        <f t="array" ref="F11">PRODUCT(1+IF(Rend_j[[Week,Year]:[Week,Year]]='Rend hebdo'!$A11,Rend_j[Japon]))-1</f>
        <v>-6.030241378727319E-3</v>
      </c>
      <c r="G11" s="6" cm="1">
        <f t="array" ref="G11">PRODUCT(1+IF(Rend_j[[Week,Year]:[Week,Year]]='Rend hebdo'!$A11,Rend_j[Monde]))-1</f>
        <v>-4.369863240230476E-3</v>
      </c>
      <c r="H11" s="6" cm="1">
        <f t="array" ref="H11">PRODUCT(1+IF(Rend_j[[Week,Year]:[Week,Year]]='Rend hebdo'!$A11,Rend_j[RU]))-1</f>
        <v>1.8090428710353601E-2</v>
      </c>
      <c r="I11" s="6" cm="1">
        <f t="array" ref="I11">PRODUCT(1+IF(Rend_j[[Week,Year]:[Week,Year]]='Rend hebdo'!$A11,Rend_j[US]))-1</f>
        <v>-7.6903156238504744E-3</v>
      </c>
      <c r="J11" s="6" cm="1">
        <f t="array" ref="J11">PRODUCT(1+IF(Rend_j[[Week,Year]:[Week,Year]]='Rend hebdo'!$A11,Rend_j[France]))-1</f>
        <v>1.2251740362895447E-2</v>
      </c>
      <c r="K11" s="6" cm="1">
        <f t="array" ref="K11">PRODUCT(1+IF(Rend_j[[Week,Year]:[Week,Year]]='Rend hebdo'!$A11,Rend_j[Europe]))-1</f>
        <v>2.1256159420288689E-3</v>
      </c>
      <c r="L11" s="6" cm="1">
        <f t="array" ref="L11">PRODUCT(1+IF(Rend_j[[Week,Year]:[Week,Year]]='Rend hebdo'!$A11,Rend_j[Allemagne]))-1</f>
        <v>-4.0327135238388268E-3</v>
      </c>
      <c r="M11" s="10">
        <f>VALUE(LEFT(Rend_h[[#This Row],[Week,Year]],FIND(",",Rend_h[[#This Row],[Week,Year]])-1))</f>
        <v>7</v>
      </c>
      <c r="N11" s="10">
        <f>VALUE(RIGHT(Rend_h[[#This Row],[Week,Year]],4))</f>
        <v>2021</v>
      </c>
    </row>
    <row r="12" spans="1:14" x14ac:dyDescent="0.25">
      <c r="A12" s="62" t="s">
        <v>36</v>
      </c>
      <c r="B12" s="6" cm="1">
        <f t="array" ref="B12">PRODUCT(1+IF(Rend_j[[Week,Year]:[Week,Year]]='Rend hebdo'!$A12,Rend_j[Chine]))-1</f>
        <v>-9.2112765494118065E-2</v>
      </c>
      <c r="C12" s="6" cm="1">
        <f t="array" ref="C12">PRODUCT(1+IF(Rend_j[[Week,Year]:[Week,Year]]='Rend hebdo'!$A12,Rend_j[DM]))-1</f>
        <v>-2.9228184653404821E-2</v>
      </c>
      <c r="D12" s="6" cm="1">
        <f t="array" ref="D12">PRODUCT(1+IF(Rend_j[[Week,Year]:[Week,Year]]='Rend hebdo'!$A12,Rend_j[EM ex China]))-1</f>
        <v>-4.1460310475442741E-2</v>
      </c>
      <c r="E12" s="6" cm="1">
        <f t="array" ref="E12">PRODUCT(1+IF(Rend_j[[Week,Year]:[Week,Year]]='Rend hebdo'!$A12,Rend_j[EM]))-1</f>
        <v>-6.4320692305699256E-2</v>
      </c>
      <c r="F12" s="6" cm="1">
        <f t="array" ref="F12">PRODUCT(1+IF(Rend_j[[Week,Year]:[Week,Year]]='Rend hebdo'!$A12,Rend_j[Japon]))-1</f>
        <v>-4.49625501080122E-2</v>
      </c>
      <c r="G12" s="6" cm="1">
        <f t="array" ref="G12">PRODUCT(1+IF(Rend_j[[Week,Year]:[Week,Year]]='Rend hebdo'!$A12,Rend_j[Monde]))-1</f>
        <v>-3.4107471338346573E-2</v>
      </c>
      <c r="H12" s="6" cm="1">
        <f t="array" ref="H12">PRODUCT(1+IF(Rend_j[[Week,Year]:[Week,Year]]='Rend hebdo'!$A12,Rend_j[RU]))-1</f>
        <v>-2.256798591371012E-2</v>
      </c>
      <c r="I12" s="6" cm="1">
        <f t="array" ref="I12">PRODUCT(1+IF(Rend_j[[Week,Year]:[Week,Year]]='Rend hebdo'!$A12,Rend_j[US]))-1</f>
        <v>-2.7738432828952053E-2</v>
      </c>
      <c r="J12" s="6" cm="1">
        <f t="array" ref="J12">PRODUCT(1+IF(Rend_j[[Week,Year]:[Week,Year]]='Rend hebdo'!$A12,Rend_j[France]))-1</f>
        <v>-1.2181342913001769E-2</v>
      </c>
      <c r="K12" s="6" cm="1">
        <f t="array" ref="K12">PRODUCT(1+IF(Rend_j[[Week,Year]:[Week,Year]]='Rend hebdo'!$A12,Rend_j[Europe]))-1</f>
        <v>-2.3838254147726334E-2</v>
      </c>
      <c r="L12" s="6" cm="1">
        <f t="array" ref="L12">PRODUCT(1+IF(Rend_j[[Week,Year]:[Week,Year]]='Rend hebdo'!$A12,Rend_j[Allemagne]))-1</f>
        <v>-1.4788610138570912E-2</v>
      </c>
      <c r="M12" s="10">
        <f>VALUE(LEFT(Rend_h[[#This Row],[Week,Year]],FIND(",",Rend_h[[#This Row],[Week,Year]])-1))</f>
        <v>8</v>
      </c>
      <c r="N12" s="10">
        <f>VALUE(RIGHT(Rend_h[[#This Row],[Week,Year]],4))</f>
        <v>2021</v>
      </c>
    </row>
    <row r="13" spans="1:14" x14ac:dyDescent="0.25">
      <c r="A13" s="61" t="s">
        <v>37</v>
      </c>
      <c r="B13" s="6" cm="1">
        <f t="array" ref="B13">PRODUCT(1+IF(Rend_j[[Week,Year]:[Week,Year]]='Rend hebdo'!$A13,Rend_j[Chine]))-1</f>
        <v>3.2948521939741848E-3</v>
      </c>
      <c r="C13" s="6" cm="1">
        <f t="array" ref="C13">PRODUCT(1+IF(Rend_j[[Week,Year]:[Week,Year]]='Rend hebdo'!$A13,Rend_j[DM]))-1</f>
        <v>1.9842549889715233E-2</v>
      </c>
      <c r="D13" s="6" cm="1">
        <f t="array" ref="D13">PRODUCT(1+IF(Rend_j[[Week,Year]:[Week,Year]]='Rend hebdo'!$A13,Rend_j[EM ex China]))-1</f>
        <v>2.9762330950886762E-2</v>
      </c>
      <c r="E13" s="6" cm="1">
        <f t="array" ref="E13">PRODUCT(1+IF(Rend_j[[Week,Year]:[Week,Year]]='Rend hebdo'!$A13,Rend_j[EM]))-1</f>
        <v>1.9270441528712601E-2</v>
      </c>
      <c r="F13" s="6" cm="1">
        <f t="array" ref="F13">PRODUCT(1+IF(Rend_j[[Week,Year]:[Week,Year]]='Rend hebdo'!$A13,Rend_j[Japon]))-1</f>
        <v>1.6255142811344214E-2</v>
      </c>
      <c r="G13" s="6" cm="1">
        <f t="array" ref="G13">PRODUCT(1+IF(Rend_j[[Week,Year]:[Week,Year]]='Rend hebdo'!$A13,Rend_j[Monde]))-1</f>
        <v>1.976673702673537E-2</v>
      </c>
      <c r="H13" s="6" cm="1">
        <f t="array" ref="H13">PRODUCT(1+IF(Rend_j[[Week,Year]:[Week,Year]]='Rend hebdo'!$A13,Rend_j[RU]))-1</f>
        <v>3.0895304478877117E-2</v>
      </c>
      <c r="I13" s="6" cm="1">
        <f t="array" ref="I13">PRODUCT(1+IF(Rend_j[[Week,Year]:[Week,Year]]='Rend hebdo'!$A13,Rend_j[US]))-1</f>
        <v>2.7713548698782287E-3</v>
      </c>
      <c r="J13" s="6" cm="1">
        <f t="array" ref="J13">PRODUCT(1+IF(Rend_j[[Week,Year]:[Week,Year]]='Rend hebdo'!$A13,Rend_j[France]))-1</f>
        <v>1.3927164655345603E-2</v>
      </c>
      <c r="K13" s="6" cm="1">
        <f t="array" ref="K13">PRODUCT(1+IF(Rend_j[[Week,Year]:[Week,Year]]='Rend hebdo'!$A13,Rend_j[Europe]))-1</f>
        <v>9.1113437149397125E-3</v>
      </c>
      <c r="L13" s="6" cm="1">
        <f t="array" ref="L13">PRODUCT(1+IF(Rend_j[[Week,Year]:[Week,Year]]='Rend hebdo'!$A13,Rend_j[Allemagne]))-1</f>
        <v>9.7488439319095566E-3</v>
      </c>
      <c r="M13" s="10">
        <f>VALUE(LEFT(Rend_h[[#This Row],[Week,Year]],FIND(",",Rend_h[[#This Row],[Week,Year]])-1))</f>
        <v>9</v>
      </c>
      <c r="N13" s="10">
        <f>VALUE(RIGHT(Rend_h[[#This Row],[Week,Year]],4))</f>
        <v>2021</v>
      </c>
    </row>
    <row r="14" spans="1:14" x14ac:dyDescent="0.25">
      <c r="A14" s="62" t="s">
        <v>38</v>
      </c>
      <c r="B14" s="6" cm="1">
        <f t="array" ref="B14">PRODUCT(1+IF(Rend_j[[Week,Year]:[Week,Year]]='Rend hebdo'!$A14,Rend_j[Chine]))-1</f>
        <v>-1.6396738536989308E-2</v>
      </c>
      <c r="C14" s="6" cm="1">
        <f t="array" ref="C14">PRODUCT(1+IF(Rend_j[[Week,Year]:[Week,Year]]='Rend hebdo'!$A14,Rend_j[DM]))-1</f>
        <v>2.6329512134656508E-2</v>
      </c>
      <c r="D14" s="6" cm="1">
        <f t="array" ref="D14">PRODUCT(1+IF(Rend_j[[Week,Year]:[Week,Year]]='Rend hebdo'!$A14,Rend_j[EM ex China]))-1</f>
        <v>1.2675743105757808E-2</v>
      </c>
      <c r="E14" s="6" cm="1">
        <f t="array" ref="E14">PRODUCT(1+IF(Rend_j[[Week,Year]:[Week,Year]]='Rend hebdo'!$A14,Rend_j[EM]))-1</f>
        <v>4.1928056707019046E-3</v>
      </c>
      <c r="F14" s="6" cm="1">
        <f t="array" ref="F14">PRODUCT(1+IF(Rend_j[[Week,Year]:[Week,Year]]='Rend hebdo'!$A14,Rend_j[Japon]))-1</f>
        <v>1.818585440801046E-2</v>
      </c>
      <c r="G14" s="6" cm="1">
        <f t="array" ref="G14">PRODUCT(1+IF(Rend_j[[Week,Year]:[Week,Year]]='Rend hebdo'!$A14,Rend_j[Monde]))-1</f>
        <v>2.3325225221427326E-2</v>
      </c>
      <c r="H14" s="6" cm="1">
        <f t="array" ref="H14">PRODUCT(1+IF(Rend_j[[Week,Year]:[Week,Year]]='Rend hebdo'!$A14,Rend_j[RU]))-1</f>
        <v>1.971309790305642E-2</v>
      </c>
      <c r="I14" s="6" cm="1">
        <f t="array" ref="I14">PRODUCT(1+IF(Rend_j[[Week,Year]:[Week,Year]]='Rend hebdo'!$A14,Rend_j[US]))-1</f>
        <v>3.1911456767650392E-2</v>
      </c>
      <c r="J14" s="6" cm="1">
        <f t="array" ref="J14">PRODUCT(1+IF(Rend_j[[Week,Year]:[Week,Year]]='Rend hebdo'!$A14,Rend_j[France]))-1</f>
        <v>4.5636500129244695E-2</v>
      </c>
      <c r="K14" s="6" cm="1">
        <f t="array" ref="K14">PRODUCT(1+IF(Rend_j[[Week,Year]:[Week,Year]]='Rend hebdo'!$A14,Rend_j[Europe]))-1</f>
        <v>3.523537791584519E-2</v>
      </c>
      <c r="L14" s="6" cm="1">
        <f t="array" ref="L14">PRODUCT(1+IF(Rend_j[[Week,Year]:[Week,Year]]='Rend hebdo'!$A14,Rend_j[Allemagne]))-1</f>
        <v>4.1786664456412437E-2</v>
      </c>
      <c r="M14" s="10">
        <f>VALUE(LEFT(Rend_h[[#This Row],[Week,Year]],FIND(",",Rend_h[[#This Row],[Week,Year]])-1))</f>
        <v>10</v>
      </c>
      <c r="N14" s="10">
        <f>VALUE(RIGHT(Rend_h[[#This Row],[Week,Year]],4))</f>
        <v>2021</v>
      </c>
    </row>
    <row r="15" spans="1:14" x14ac:dyDescent="0.25">
      <c r="A15" s="61" t="s">
        <v>39</v>
      </c>
      <c r="B15" s="6" cm="1">
        <f t="array" ref="B15">PRODUCT(1+IF(Rend_j[[Week,Year]:[Week,Year]]='Rend hebdo'!$A15,Rend_j[Chine]))-1</f>
        <v>-7.9045858781832123E-3</v>
      </c>
      <c r="C15" s="6" cm="1">
        <f t="array" ref="C15">PRODUCT(1+IF(Rend_j[[Week,Year]:[Week,Year]]='Rend hebdo'!$A15,Rend_j[DM]))-1</f>
        <v>-1.5617321483601954E-3</v>
      </c>
      <c r="D15" s="6" cm="1">
        <f t="array" ref="D15">PRODUCT(1+IF(Rend_j[[Week,Year]:[Week,Year]]='Rend hebdo'!$A15,Rend_j[EM ex China]))-1</f>
        <v>-8.9379224833125992E-3</v>
      </c>
      <c r="E15" s="6" cm="1">
        <f t="array" ref="E15">PRODUCT(1+IF(Rend_j[[Week,Year]:[Week,Year]]='Rend hebdo'!$A15,Rend_j[EM]))-1</f>
        <v>-6.0577913748052215E-3</v>
      </c>
      <c r="F15" s="6" cm="1">
        <f t="array" ref="F15">PRODUCT(1+IF(Rend_j[[Week,Year]:[Week,Year]]='Rend hebdo'!$A15,Rend_j[Japon]))-1</f>
        <v>3.0150897928739706E-2</v>
      </c>
      <c r="G15" s="6" cm="1">
        <f t="array" ref="G15">PRODUCT(1+IF(Rend_j[[Week,Year]:[Week,Year]]='Rend hebdo'!$A15,Rend_j[Monde]))-1</f>
        <v>-2.1586527370398567E-3</v>
      </c>
      <c r="H15" s="6" cm="1">
        <f t="array" ref="H15">PRODUCT(1+IF(Rend_j[[Week,Year]:[Week,Year]]='Rend hebdo'!$A15,Rend_j[RU]))-1</f>
        <v>-6.6866781658115881E-3</v>
      </c>
      <c r="I15" s="6" cm="1">
        <f t="array" ref="I15">PRODUCT(1+IF(Rend_j[[Week,Year]:[Week,Year]]='Rend hebdo'!$A15,Rend_j[US]))-1</f>
        <v>-9.8068581621253426E-3</v>
      </c>
      <c r="J15" s="6" cm="1">
        <f t="array" ref="J15">PRODUCT(1+IF(Rend_j[[Week,Year]:[Week,Year]]='Rend hebdo'!$A15,Rend_j[France]))-1</f>
        <v>-8.0359619232476254E-3</v>
      </c>
      <c r="K15" s="6" cm="1">
        <f t="array" ref="K15">PRODUCT(1+IF(Rend_j[[Week,Year]:[Week,Year]]='Rend hebdo'!$A15,Rend_j[Europe]))-1</f>
        <v>6.3822210526809364E-4</v>
      </c>
      <c r="L15" s="6" cm="1">
        <f t="array" ref="L15">PRODUCT(1+IF(Rend_j[[Week,Year]:[Week,Year]]='Rend hebdo'!$A15,Rend_j[Allemagne]))-1</f>
        <v>8.1786762638802468E-3</v>
      </c>
      <c r="M15" s="10">
        <f>VALUE(LEFT(Rend_h[[#This Row],[Week,Year]],FIND(",",Rend_h[[#This Row],[Week,Year]])-1))</f>
        <v>11</v>
      </c>
      <c r="N15" s="10">
        <f>VALUE(RIGHT(Rend_h[[#This Row],[Week,Year]],4))</f>
        <v>2021</v>
      </c>
    </row>
    <row r="16" spans="1:14" x14ac:dyDescent="0.25">
      <c r="A16" s="62" t="s">
        <v>40</v>
      </c>
      <c r="B16" s="6" cm="1">
        <f t="array" ref="B16">PRODUCT(1+IF(Rend_j[[Week,Year]:[Week,Year]]='Rend hebdo'!$A16,Rend_j[Chine]))-1</f>
        <v>-1.8355449703686522E-2</v>
      </c>
      <c r="C16" s="6" cm="1">
        <f t="array" ref="C16">PRODUCT(1+IF(Rend_j[[Week,Year]:[Week,Year]]='Rend hebdo'!$A16,Rend_j[DM]))-1</f>
        <v>1.6296617628043242E-2</v>
      </c>
      <c r="D16" s="6" cm="1">
        <f t="array" ref="D16">PRODUCT(1+IF(Rend_j[[Week,Year]:[Week,Year]]='Rend hebdo'!$A16,Rend_j[EM ex China]))-1</f>
        <v>-1.4263376818812734E-4</v>
      </c>
      <c r="E16" s="6" cm="1">
        <f t="array" ref="E16">PRODUCT(1+IF(Rend_j[[Week,Year]:[Week,Year]]='Rend hebdo'!$A16,Rend_j[EM]))-1</f>
        <v>-1.2636263422202254E-2</v>
      </c>
      <c r="F16" s="6" cm="1">
        <f t="array" ref="F16">PRODUCT(1+IF(Rend_j[[Week,Year]:[Week,Year]]='Rend hebdo'!$A16,Rend_j[Japon]))-1</f>
        <v>-1.0476482218942595E-2</v>
      </c>
      <c r="G16" s="6" cm="1">
        <f t="array" ref="G16">PRODUCT(1+IF(Rend_j[[Week,Year]:[Week,Year]]='Rend hebdo'!$A16,Rend_j[Monde]))-1</f>
        <v>1.245974733713151E-2</v>
      </c>
      <c r="H16" s="6" cm="1">
        <f t="array" ref="H16">PRODUCT(1+IF(Rend_j[[Week,Year]:[Week,Year]]='Rend hebdo'!$A16,Rend_j[RU]))-1</f>
        <v>8.9643118903988128E-3</v>
      </c>
      <c r="I16" s="6" cm="1">
        <f t="array" ref="I16">PRODUCT(1+IF(Rend_j[[Week,Year]:[Week,Year]]='Rend hebdo'!$A16,Rend_j[US]))-1</f>
        <v>9.6398766286140969E-3</v>
      </c>
      <c r="J16" s="6" cm="1">
        <f t="array" ref="J16">PRODUCT(1+IF(Rend_j[[Week,Year]:[Week,Year]]='Rend hebdo'!$A16,Rend_j[France]))-1</f>
        <v>-1.5255023473804696E-3</v>
      </c>
      <c r="K16" s="6" cm="1">
        <f t="array" ref="K16">PRODUCT(1+IF(Rend_j[[Week,Year]:[Week,Year]]='Rend hebdo'!$A16,Rend_j[Europe]))-1</f>
        <v>8.4563291585260103E-3</v>
      </c>
      <c r="L16" s="6" cm="1">
        <f t="array" ref="L16">PRODUCT(1+IF(Rend_j[[Week,Year]:[Week,Year]]='Rend hebdo'!$A16,Rend_j[Allemagne]))-1</f>
        <v>8.7504568770946367E-3</v>
      </c>
      <c r="M16" s="10">
        <f>VALUE(LEFT(Rend_h[[#This Row],[Week,Year]],FIND(",",Rend_h[[#This Row],[Week,Year]])-1))</f>
        <v>12</v>
      </c>
      <c r="N16" s="10">
        <f>VALUE(RIGHT(Rend_h[[#This Row],[Week,Year]],4))</f>
        <v>2021</v>
      </c>
    </row>
    <row r="17" spans="1:14" x14ac:dyDescent="0.25">
      <c r="A17" s="61" t="s">
        <v>41</v>
      </c>
      <c r="B17" s="6" cm="1">
        <f t="array" ref="B17">PRODUCT(1+IF(Rend_j[[Week,Year]:[Week,Year]]='Rend hebdo'!$A17,Rend_j[Chine]))-1</f>
        <v>3.0642655923347251E-2</v>
      </c>
      <c r="C17" s="6" cm="1">
        <f t="array" ref="C17">PRODUCT(1+IF(Rend_j[[Week,Year]:[Week,Year]]='Rend hebdo'!$A17,Rend_j[DM]))-1</f>
        <v>1.2735481223065781E-2</v>
      </c>
      <c r="D17" s="6" cm="1">
        <f t="array" ref="D17">PRODUCT(1+IF(Rend_j[[Week,Year]:[Week,Year]]='Rend hebdo'!$A17,Rend_j[EM ex China]))-1</f>
        <v>2.2702638260496011E-2</v>
      </c>
      <c r="E17" s="6" cm="1">
        <f t="array" ref="E17">PRODUCT(1+IF(Rend_j[[Week,Year]:[Week,Year]]='Rend hebdo'!$A17,Rend_j[EM]))-1</f>
        <v>2.6694049891684557E-2</v>
      </c>
      <c r="F17" s="6" cm="1">
        <f t="array" ref="F17">PRODUCT(1+IF(Rend_j[[Week,Year]:[Week,Year]]='Rend hebdo'!$A17,Rend_j[Japon]))-1</f>
        <v>-8.2740453890488563E-3</v>
      </c>
      <c r="G17" s="6" cm="1">
        <f t="array" ref="G17">PRODUCT(1+IF(Rend_j[[Week,Year]:[Week,Year]]='Rend hebdo'!$A17,Rend_j[Monde]))-1</f>
        <v>1.4540976520767579E-2</v>
      </c>
      <c r="H17" s="6" cm="1">
        <f t="array" ref="H17">PRODUCT(1+IF(Rend_j[[Week,Year]:[Week,Year]]='Rend hebdo'!$A17,Rend_j[RU]))-1</f>
        <v>4.5932051855166467E-3</v>
      </c>
      <c r="I17" s="6" cm="1">
        <f t="array" ref="I17">PRODUCT(1+IF(Rend_j[[Week,Year]:[Week,Year]]='Rend hebdo'!$A17,Rend_j[US]))-1</f>
        <v>1.2748298709497785E-2</v>
      </c>
      <c r="J17" s="6" cm="1">
        <f t="array" ref="J17">PRODUCT(1+IF(Rend_j[[Week,Year]:[Week,Year]]='Rend hebdo'!$A17,Rend_j[France]))-1</f>
        <v>1.9060531370243439E-2</v>
      </c>
      <c r="K17" s="6" cm="1">
        <f t="array" ref="K17">PRODUCT(1+IF(Rend_j[[Week,Year]:[Week,Year]]='Rend hebdo'!$A17,Rend_j[Europe]))-1</f>
        <v>1.2390809000856429E-2</v>
      </c>
      <c r="L17" s="6" cm="1">
        <f t="array" ref="L17">PRODUCT(1+IF(Rend_j[[Week,Year]:[Week,Year]]='Rend hebdo'!$A17,Rend_j[Allemagne]))-1</f>
        <v>2.4288489854589201E-2</v>
      </c>
      <c r="M17" s="10">
        <f>VALUE(LEFT(Rend_h[[#This Row],[Week,Year]],FIND(",",Rend_h[[#This Row],[Week,Year]])-1))</f>
        <v>13</v>
      </c>
      <c r="N17" s="10">
        <f>VALUE(RIGHT(Rend_h[[#This Row],[Week,Year]],4))</f>
        <v>2021</v>
      </c>
    </row>
    <row r="18" spans="1:14" x14ac:dyDescent="0.25">
      <c r="A18" s="62" t="s">
        <v>42</v>
      </c>
      <c r="B18" s="6" cm="1">
        <f t="array" ref="B18">PRODUCT(1+IF(Rend_j[[Week,Year]:[Week,Year]]='Rend hebdo'!$A18,Rend_j[Chine]))-1</f>
        <v>-3.2192880004855429E-2</v>
      </c>
      <c r="C18" s="6" cm="1">
        <f t="array" ref="C18">PRODUCT(1+IF(Rend_j[[Week,Year]:[Week,Year]]='Rend hebdo'!$A18,Rend_j[DM]))-1</f>
        <v>1.2891433944065556E-2</v>
      </c>
      <c r="D18" s="6" cm="1">
        <f t="array" ref="D18">PRODUCT(1+IF(Rend_j[[Week,Year]:[Week,Year]]='Rend hebdo'!$A18,Rend_j[EM ex China]))-1</f>
        <v>-6.800009963384368E-3</v>
      </c>
      <c r="E18" s="6" cm="1">
        <f t="array" ref="E18">PRODUCT(1+IF(Rend_j[[Week,Year]:[Week,Year]]='Rend hebdo'!$A18,Rend_j[EM]))-1</f>
        <v>-1.6660588065505966E-2</v>
      </c>
      <c r="F18" s="6" cm="1">
        <f t="array" ref="F18">PRODUCT(1+IF(Rend_j[[Week,Year]:[Week,Year]]='Rend hebdo'!$A18,Rend_j[Japon]))-1</f>
        <v>-7.5201198678728209E-3</v>
      </c>
      <c r="G18" s="6" cm="1">
        <f t="array" ref="G18">PRODUCT(1+IF(Rend_j[[Week,Year]:[Week,Year]]='Rend hebdo'!$A18,Rend_j[Monde]))-1</f>
        <v>9.0231668301152812E-3</v>
      </c>
      <c r="H18" s="6" cm="1">
        <f t="array" ref="H18">PRODUCT(1+IF(Rend_j[[Week,Year]:[Week,Year]]='Rend hebdo'!$A18,Rend_j[RU]))-1</f>
        <v>8.7550477800895088E-3</v>
      </c>
      <c r="I18" s="6" cm="1">
        <f t="array" ref="I18">PRODUCT(1+IF(Rend_j[[Week,Year]:[Week,Year]]='Rend hebdo'!$A18,Rend_j[US]))-1</f>
        <v>2.4391004842745367E-2</v>
      </c>
      <c r="J18" s="6" cm="1">
        <f t="array" ref="J18">PRODUCT(1+IF(Rend_j[[Week,Year]:[Week,Year]]='Rend hebdo'!$A18,Rend_j[France]))-1</f>
        <v>1.0888191209616371E-2</v>
      </c>
      <c r="K18" s="6" cm="1">
        <f t="array" ref="K18">PRODUCT(1+IF(Rend_j[[Week,Year]:[Week,Year]]='Rend hebdo'!$A18,Rend_j[Europe]))-1</f>
        <v>1.1591342345121936E-2</v>
      </c>
      <c r="L18" s="6" cm="1">
        <f t="array" ref="L18">PRODUCT(1+IF(Rend_j[[Week,Year]:[Week,Year]]='Rend hebdo'!$A18,Rend_j[Allemagne]))-1</f>
        <v>8.4059582749433925E-3</v>
      </c>
      <c r="M18" s="10">
        <f>VALUE(LEFT(Rend_h[[#This Row],[Week,Year]],FIND(",",Rend_h[[#This Row],[Week,Year]])-1))</f>
        <v>14</v>
      </c>
      <c r="N18" s="10">
        <f>VALUE(RIGHT(Rend_h[[#This Row],[Week,Year]],4))</f>
        <v>2021</v>
      </c>
    </row>
    <row r="19" spans="1:14" x14ac:dyDescent="0.25">
      <c r="A19" s="61" t="s">
        <v>43</v>
      </c>
      <c r="B19" s="6" cm="1">
        <f t="array" ref="B19">PRODUCT(1+IF(Rend_j[[Week,Year]:[Week,Year]]='Rend hebdo'!$A19,Rend_j[Chine]))-1</f>
        <v>-2.7548411064057809E-3</v>
      </c>
      <c r="C19" s="6" cm="1">
        <f t="array" ref="C19">PRODUCT(1+IF(Rend_j[[Week,Year]:[Week,Year]]='Rend hebdo'!$A19,Rend_j[DM]))-1</f>
        <v>7.2379108084532628E-3</v>
      </c>
      <c r="D19" s="6" cm="1">
        <f t="array" ref="D19">PRODUCT(1+IF(Rend_j[[Week,Year]:[Week,Year]]='Rend hebdo'!$A19,Rend_j[EM ex China]))-1</f>
        <v>8.4528765611675549E-3</v>
      </c>
      <c r="E19" s="6" cm="1">
        <f t="array" ref="E19">PRODUCT(1+IF(Rend_j[[Week,Year]:[Week,Year]]='Rend hebdo'!$A19,Rend_j[EM]))-1</f>
        <v>6.1618696769112358E-3</v>
      </c>
      <c r="F19" s="6" cm="1">
        <f t="array" ref="F19">PRODUCT(1+IF(Rend_j[[Week,Year]:[Week,Year]]='Rend hebdo'!$A19,Rend_j[Japon]))-1</f>
        <v>-5.0323384933859128E-4</v>
      </c>
      <c r="G19" s="6" cm="1">
        <f t="array" ref="G19">PRODUCT(1+IF(Rend_j[[Week,Year]:[Week,Year]]='Rend hebdo'!$A19,Rend_j[Monde]))-1</f>
        <v>7.1021991722728384E-3</v>
      </c>
      <c r="H19" s="6" cm="1">
        <f t="array" ref="H19">PRODUCT(1+IF(Rend_j[[Week,Year]:[Week,Year]]='Rend hebdo'!$A19,Rend_j[RU]))-1</f>
        <v>1.3046163347228745E-2</v>
      </c>
      <c r="I19" s="6" cm="1">
        <f t="array" ref="I19">PRODUCT(1+IF(Rend_j[[Week,Year]:[Week,Year]]='Rend hebdo'!$A19,Rend_j[US]))-1</f>
        <v>1.4112506956799997E-2</v>
      </c>
      <c r="J19" s="6" cm="1">
        <f t="array" ref="J19">PRODUCT(1+IF(Rend_j[[Week,Year]:[Week,Year]]='Rend hebdo'!$A19,Rend_j[France]))-1</f>
        <v>1.9071461456581895E-2</v>
      </c>
      <c r="K19" s="6" cm="1">
        <f t="array" ref="K19">PRODUCT(1+IF(Rend_j[[Week,Year]:[Week,Year]]='Rend hebdo'!$A19,Rend_j[Europe]))-1</f>
        <v>1.203023321287966E-2</v>
      </c>
      <c r="L19" s="6" cm="1">
        <f t="array" ref="L19">PRODUCT(1+IF(Rend_j[[Week,Year]:[Week,Year]]='Rend hebdo'!$A19,Rend_j[Allemagne]))-1</f>
        <v>1.4808157301137603E-2</v>
      </c>
      <c r="M19" s="10">
        <f>VALUE(LEFT(Rend_h[[#This Row],[Week,Year]],FIND(",",Rend_h[[#This Row],[Week,Year]])-1))</f>
        <v>15</v>
      </c>
      <c r="N19" s="10">
        <f>VALUE(RIGHT(Rend_h[[#This Row],[Week,Year]],4))</f>
        <v>2021</v>
      </c>
    </row>
    <row r="20" spans="1:14" x14ac:dyDescent="0.25">
      <c r="A20" s="62" t="s">
        <v>44</v>
      </c>
      <c r="B20" s="6" cm="1">
        <f t="array" ref="B20">PRODUCT(1+IF(Rend_j[[Week,Year]:[Week,Year]]='Rend hebdo'!$A20,Rend_j[Chine]))-1</f>
        <v>9.9431006551802259E-3</v>
      </c>
      <c r="C20" s="6" cm="1">
        <f t="array" ref="C20">PRODUCT(1+IF(Rend_j[[Week,Year]:[Week,Year]]='Rend hebdo'!$A20,Rend_j[DM]))-1</f>
        <v>-7.5910750249262859E-3</v>
      </c>
      <c r="D20" s="6" cm="1">
        <f t="array" ref="D20">PRODUCT(1+IF(Rend_j[[Week,Year]:[Week,Year]]='Rend hebdo'!$A20,Rend_j[EM ex China]))-1</f>
        <v>-2.0337693246010868E-3</v>
      </c>
      <c r="E20" s="6" cm="1">
        <f t="array" ref="E20">PRODUCT(1+IF(Rend_j[[Week,Year]:[Week,Year]]='Rend hebdo'!$A20,Rend_j[EM]))-1</f>
        <v>2.5554914798098238E-4</v>
      </c>
      <c r="F20" s="6" cm="1">
        <f t="array" ref="F20">PRODUCT(1+IF(Rend_j[[Week,Year]:[Week,Year]]='Rend hebdo'!$A20,Rend_j[Japon]))-1</f>
        <v>-2.2090501828001985E-2</v>
      </c>
      <c r="G20" s="6" cm="1">
        <f t="array" ref="G20">PRODUCT(1+IF(Rend_j[[Week,Year]:[Week,Year]]='Rend hebdo'!$A20,Rend_j[Monde]))-1</f>
        <v>-6.5893557777496614E-3</v>
      </c>
      <c r="H20" s="6" cm="1">
        <f t="array" ref="H20">PRODUCT(1+IF(Rend_j[[Week,Year]:[Week,Year]]='Rend hebdo'!$A20,Rend_j[RU]))-1</f>
        <v>-1.1713349517205596E-2</v>
      </c>
      <c r="I20" s="6" cm="1">
        <f t="array" ref="I20">PRODUCT(1+IF(Rend_j[[Week,Year]:[Week,Year]]='Rend hebdo'!$A20,Rend_j[US]))-1</f>
        <v>3.2754404114039293E-3</v>
      </c>
      <c r="J20" s="6" cm="1">
        <f t="array" ref="J20">PRODUCT(1+IF(Rend_j[[Week,Year]:[Week,Year]]='Rend hebdo'!$A20,Rend_j[France]))-1</f>
        <v>-1.8370726464511655E-3</v>
      </c>
      <c r="K20" s="6" cm="1">
        <f t="array" ref="K20">PRODUCT(1+IF(Rend_j[[Week,Year]:[Week,Year]]='Rend hebdo'!$A20,Rend_j[Europe]))-1</f>
        <v>-5.1752085962439853E-3</v>
      </c>
      <c r="L20" s="6" cm="1">
        <f t="array" ref="L20">PRODUCT(1+IF(Rend_j[[Week,Year]:[Week,Year]]='Rend hebdo'!$A20,Rend_j[Allemagne]))-1</f>
        <v>-1.0570038972169682E-2</v>
      </c>
      <c r="M20" s="10">
        <f>VALUE(LEFT(Rend_h[[#This Row],[Week,Year]],FIND(",",Rend_h[[#This Row],[Week,Year]])-1))</f>
        <v>16</v>
      </c>
      <c r="N20" s="10">
        <f>VALUE(RIGHT(Rend_h[[#This Row],[Week,Year]],4))</f>
        <v>2021</v>
      </c>
    </row>
    <row r="21" spans="1:14" x14ac:dyDescent="0.25">
      <c r="A21" s="61" t="s">
        <v>45</v>
      </c>
      <c r="B21" s="6" cm="1">
        <f t="array" ref="B21">PRODUCT(1+IF(Rend_j[[Week,Year]:[Week,Year]]='Rend hebdo'!$A21,Rend_j[Chine]))-1</f>
        <v>4.140493584792182E-5</v>
      </c>
      <c r="C21" s="6" cm="1">
        <f t="array" ref="C21">PRODUCT(1+IF(Rend_j[[Week,Year]:[Week,Year]]='Rend hebdo'!$A21,Rend_j[DM]))-1</f>
        <v>-2.2014793941528277E-3</v>
      </c>
      <c r="D21" s="6" cm="1">
        <f t="array" ref="D21">PRODUCT(1+IF(Rend_j[[Week,Year]:[Week,Year]]='Rend hebdo'!$A21,Rend_j[EM ex China]))-1</f>
        <v>-3.8341091178584197E-3</v>
      </c>
      <c r="E21" s="6" cm="1">
        <f t="array" ref="E21">PRODUCT(1+IF(Rend_j[[Week,Year]:[Week,Year]]='Rend hebdo'!$A21,Rend_j[EM]))-1</f>
        <v>-5.9123034696064725E-3</v>
      </c>
      <c r="F21" s="6" cm="1">
        <f t="array" ref="F21">PRODUCT(1+IF(Rend_j[[Week,Year]:[Week,Year]]='Rend hebdo'!$A21,Rend_j[Japon]))-1</f>
        <v>-1.8102036040252734E-2</v>
      </c>
      <c r="G21" s="6" cm="1">
        <f t="array" ref="G21">PRODUCT(1+IF(Rend_j[[Week,Year]:[Week,Year]]='Rend hebdo'!$A21,Rend_j[Monde]))-1</f>
        <v>-2.6795027989456877E-3</v>
      </c>
      <c r="H21" s="6" cm="1">
        <f t="array" ref="H21">PRODUCT(1+IF(Rend_j[[Week,Year]:[Week,Year]]='Rend hebdo'!$A21,Rend_j[RU]))-1</f>
        <v>2.2030071046978961E-3</v>
      </c>
      <c r="I21" s="6" cm="1">
        <f t="array" ref="I21">PRODUCT(1+IF(Rend_j[[Week,Year]:[Week,Year]]='Rend hebdo'!$A21,Rend_j[US]))-1</f>
        <v>-4.0974578470174272E-3</v>
      </c>
      <c r="J21" s="6" cm="1">
        <f t="array" ref="J21">PRODUCT(1+IF(Rend_j[[Week,Year]:[Week,Year]]='Rend hebdo'!$A21,Rend_j[France]))-1</f>
        <v>-9.6247641322955158E-4</v>
      </c>
      <c r="K21" s="6" cm="1">
        <f t="array" ref="K21">PRODUCT(1+IF(Rend_j[[Week,Year]:[Week,Year]]='Rend hebdo'!$A21,Rend_j[Europe]))-1</f>
        <v>-6.3834550735994977E-3</v>
      </c>
      <c r="L21" s="6" cm="1">
        <f t="array" ref="L21">PRODUCT(1+IF(Rend_j[[Week,Year]:[Week,Year]]='Rend hebdo'!$A21,Rend_j[Allemagne]))-1</f>
        <v>-1.0488109029878956E-2</v>
      </c>
      <c r="M21" s="10">
        <f>VALUE(LEFT(Rend_h[[#This Row],[Week,Year]],FIND(",",Rend_h[[#This Row],[Week,Year]])-1))</f>
        <v>17</v>
      </c>
      <c r="N21" s="10">
        <f>VALUE(RIGHT(Rend_h[[#This Row],[Week,Year]],4))</f>
        <v>2021</v>
      </c>
    </row>
    <row r="22" spans="1:14" x14ac:dyDescent="0.25">
      <c r="A22" s="62" t="s">
        <v>46</v>
      </c>
      <c r="B22" s="6" cm="1">
        <f t="array" ref="B22">PRODUCT(1+IF(Rend_j[[Week,Year]:[Week,Year]]='Rend hebdo'!$A22,Rend_j[Chine]))-1</f>
        <v>-3.1732250739174073E-2</v>
      </c>
      <c r="C22" s="6" cm="1">
        <f t="array" ref="C22">PRODUCT(1+IF(Rend_j[[Week,Year]:[Week,Year]]='Rend hebdo'!$A22,Rend_j[DM]))-1</f>
        <v>5.1467815566301756E-3</v>
      </c>
      <c r="D22" s="6" cm="1">
        <f t="array" ref="D22">PRODUCT(1+IF(Rend_j[[Week,Year]:[Week,Year]]='Rend hebdo'!$A22,Rend_j[EM ex China]))-1</f>
        <v>5.8273323525634968E-3</v>
      </c>
      <c r="E22" s="6" cm="1">
        <f t="array" ref="E22">PRODUCT(1+IF(Rend_j[[Week,Year]:[Week,Year]]='Rend hebdo'!$A22,Rend_j[EM]))-1</f>
        <v>-7.8602083773992026E-3</v>
      </c>
      <c r="F22" s="6" cm="1">
        <f t="array" ref="F22">PRODUCT(1+IF(Rend_j[[Week,Year]:[Week,Year]]='Rend hebdo'!$A22,Rend_j[Japon]))-1</f>
        <v>1.4830836699915251E-2</v>
      </c>
      <c r="G22" s="6" cm="1">
        <f t="array" ref="G22">PRODUCT(1+IF(Rend_j[[Week,Year]:[Week,Year]]='Rend hebdo'!$A22,Rend_j[Monde]))-1</f>
        <v>3.4851273289076001E-3</v>
      </c>
      <c r="H22" s="6" cm="1">
        <f t="array" ref="H22">PRODUCT(1+IF(Rend_j[[Week,Year]:[Week,Year]]='Rend hebdo'!$A22,Rend_j[RU]))-1</f>
        <v>2.4982139913172441E-2</v>
      </c>
      <c r="I22" s="6" cm="1">
        <f t="array" ref="I22">PRODUCT(1+IF(Rend_j[[Week,Year]:[Week,Year]]='Rend hebdo'!$A22,Rend_j[US]))-1</f>
        <v>8.0810965484401365E-3</v>
      </c>
      <c r="J22" s="6" cm="1">
        <f t="array" ref="J22">PRODUCT(1+IF(Rend_j[[Week,Year]:[Week,Year]]='Rend hebdo'!$A22,Rend_j[France]))-1</f>
        <v>1.8507082943105546E-2</v>
      </c>
      <c r="K22" s="6" cm="1">
        <f t="array" ref="K22">PRODUCT(1+IF(Rend_j[[Week,Year]:[Week,Year]]='Rend hebdo'!$A22,Rend_j[Europe]))-1</f>
        <v>1.7238569106338586E-2</v>
      </c>
      <c r="L22" s="6" cm="1">
        <f t="array" ref="L22">PRODUCT(1+IF(Rend_j[[Week,Year]:[Week,Year]]='Rend hebdo'!$A22,Rend_j[Allemagne]))-1</f>
        <v>1.7424801496046971E-2</v>
      </c>
      <c r="M22" s="10">
        <f>VALUE(LEFT(Rend_h[[#This Row],[Week,Year]],FIND(",",Rend_h[[#This Row],[Week,Year]])-1))</f>
        <v>18</v>
      </c>
      <c r="N22" s="10">
        <f>VALUE(RIGHT(Rend_h[[#This Row],[Week,Year]],4))</f>
        <v>2021</v>
      </c>
    </row>
    <row r="23" spans="1:14" x14ac:dyDescent="0.25">
      <c r="A23" s="61" t="s">
        <v>47</v>
      </c>
      <c r="B23" s="6" cm="1">
        <f t="array" ref="B23">PRODUCT(1+IF(Rend_j[[Week,Year]:[Week,Year]]='Rend hebdo'!$A23,Rend_j[Chine]))-1</f>
        <v>-1.0693940861808193E-2</v>
      </c>
      <c r="C23" s="6" cm="1">
        <f t="array" ref="C23">PRODUCT(1+IF(Rend_j[[Week,Year]:[Week,Year]]='Rend hebdo'!$A23,Rend_j[DM]))-1</f>
        <v>-1.2994632131383188E-2</v>
      </c>
      <c r="D23" s="6" cm="1">
        <f t="array" ref="D23">PRODUCT(1+IF(Rend_j[[Week,Year]:[Week,Year]]='Rend hebdo'!$A23,Rend_j[EM ex China]))-1</f>
        <v>-2.9079276051049763E-2</v>
      </c>
      <c r="E23" s="6" cm="1">
        <f t="array" ref="E23">PRODUCT(1+IF(Rend_j[[Week,Year]:[Week,Year]]='Rend hebdo'!$A23,Rend_j[EM]))-1</f>
        <v>-2.9750565645867644E-2</v>
      </c>
      <c r="F23" s="6" cm="1">
        <f t="array" ref="F23">PRODUCT(1+IF(Rend_j[[Week,Year]:[Week,Year]]='Rend hebdo'!$A23,Rend_j[Japon]))-1</f>
        <v>-3.2639520887766671E-2</v>
      </c>
      <c r="G23" s="6" cm="1">
        <f t="array" ref="G23">PRODUCT(1+IF(Rend_j[[Week,Year]:[Week,Year]]='Rend hebdo'!$A23,Rend_j[Monde]))-1</f>
        <v>-1.5117398534408188E-2</v>
      </c>
      <c r="H23" s="6" cm="1">
        <f t="array" ref="H23">PRODUCT(1+IF(Rend_j[[Week,Year]:[Week,Year]]='Rend hebdo'!$A23,Rend_j[RU]))-1</f>
        <v>-1.1795234725187065E-4</v>
      </c>
      <c r="I23" s="6" cm="1">
        <f t="array" ref="I23">PRODUCT(1+IF(Rend_j[[Week,Year]:[Week,Year]]='Rend hebdo'!$A23,Rend_j[US]))-1</f>
        <v>-1.4985186047979049E-2</v>
      </c>
      <c r="J23" s="6" cm="1">
        <f t="array" ref="J23">PRODUCT(1+IF(Rend_j[[Week,Year]:[Week,Year]]='Rend hebdo'!$A23,Rend_j[France]))-1</f>
        <v>-5.788558995978299E-5</v>
      </c>
      <c r="K23" s="6" cm="1">
        <f t="array" ref="K23">PRODUCT(1+IF(Rend_j[[Week,Year]:[Week,Year]]='Rend hebdo'!$A23,Rend_j[Europe]))-1</f>
        <v>-5.3940935377668753E-3</v>
      </c>
      <c r="L23" s="6" cm="1">
        <f t="array" ref="L23">PRODUCT(1+IF(Rend_j[[Week,Year]:[Week,Year]]='Rend hebdo'!$A23,Rend_j[Allemagne]))-1</f>
        <v>1.10322374662708E-3</v>
      </c>
      <c r="M23" s="10">
        <f>VALUE(LEFT(Rend_h[[#This Row],[Week,Year]],FIND(",",Rend_h[[#This Row],[Week,Year]])-1))</f>
        <v>19</v>
      </c>
      <c r="N23" s="10">
        <f>VALUE(RIGHT(Rend_h[[#This Row],[Week,Year]],4))</f>
        <v>2021</v>
      </c>
    </row>
    <row r="24" spans="1:14" x14ac:dyDescent="0.25">
      <c r="A24" s="62" t="s">
        <v>48</v>
      </c>
      <c r="B24" s="6" cm="1">
        <f t="array" ref="B24">PRODUCT(1+IF(Rend_j[[Week,Year]:[Week,Year]]='Rend hebdo'!$A24,Rend_j[Chine]))-1</f>
        <v>1.4227399514721961E-2</v>
      </c>
      <c r="C24" s="6" cm="1">
        <f t="array" ref="C24">PRODUCT(1+IF(Rend_j[[Week,Year]:[Week,Year]]='Rend hebdo'!$A24,Rend_j[DM]))-1</f>
        <v>-2.9881646037952514E-3</v>
      </c>
      <c r="D24" s="6" cm="1">
        <f t="array" ref="D24">PRODUCT(1+IF(Rend_j[[Week,Year]:[Week,Year]]='Rend hebdo'!$A24,Rend_j[EM ex China]))-1</f>
        <v>8.2650407424551542E-3</v>
      </c>
      <c r="E24" s="6" cm="1">
        <f t="array" ref="E24">PRODUCT(1+IF(Rend_j[[Week,Year]:[Week,Year]]='Rend hebdo'!$A24,Rend_j[EM]))-1</f>
        <v>1.262377465747111E-2</v>
      </c>
      <c r="F24" s="6" cm="1">
        <f t="array" ref="F24">PRODUCT(1+IF(Rend_j[[Week,Year]:[Week,Year]]='Rend hebdo'!$A24,Rend_j[Japon]))-1</f>
        <v>1.1859962611377117E-2</v>
      </c>
      <c r="G24" s="6" cm="1">
        <f t="array" ref="G24">PRODUCT(1+IF(Rend_j[[Week,Year]:[Week,Year]]='Rend hebdo'!$A24,Rend_j[Monde]))-1</f>
        <v>-1.0421463367346062E-3</v>
      </c>
      <c r="H24" s="6" cm="1">
        <f t="array" ref="H24">PRODUCT(1+IF(Rend_j[[Week,Year]:[Week,Year]]='Rend hebdo'!$A24,Rend_j[RU]))-1</f>
        <v>-3.6569541111241E-3</v>
      </c>
      <c r="I24" s="6" cm="1">
        <f t="array" ref="I24">PRODUCT(1+IF(Rend_j[[Week,Year]:[Week,Year]]='Rend hebdo'!$A24,Rend_j[US]))-1</f>
        <v>-3.2620256110652557E-3</v>
      </c>
      <c r="J24" s="6" cm="1">
        <f t="array" ref="J24">PRODUCT(1+IF(Rend_j[[Week,Year]:[Week,Year]]='Rend hebdo'!$A24,Rend_j[France]))-1</f>
        <v>1.9890229074848165E-4</v>
      </c>
      <c r="K24" s="6" cm="1">
        <f t="array" ref="K24">PRODUCT(1+IF(Rend_j[[Week,Year]:[Week,Year]]='Rend hebdo'!$A24,Rend_j[Europe]))-1</f>
        <v>4.316098353368325E-3</v>
      </c>
      <c r="L24" s="6" cm="1">
        <f t="array" ref="L24">PRODUCT(1+IF(Rend_j[[Week,Year]:[Week,Year]]='Rend hebdo'!$A24,Rend_j[Allemagne]))-1</f>
        <v>1.3537398858511906E-3</v>
      </c>
      <c r="M24" s="10">
        <f>VALUE(LEFT(Rend_h[[#This Row],[Week,Year]],FIND(",",Rend_h[[#This Row],[Week,Year]])-1))</f>
        <v>20</v>
      </c>
      <c r="N24" s="10">
        <f>VALUE(RIGHT(Rend_h[[#This Row],[Week,Year]],4))</f>
        <v>2021</v>
      </c>
    </row>
    <row r="25" spans="1:14" x14ac:dyDescent="0.25">
      <c r="A25" s="61" t="s">
        <v>49</v>
      </c>
      <c r="B25" s="6" cm="1">
        <f t="array" ref="B25">PRODUCT(1+IF(Rend_j[[Week,Year]:[Week,Year]]='Rend hebdo'!$A25,Rend_j[Chine]))-1</f>
        <v>3.1493222267151344E-2</v>
      </c>
      <c r="C25" s="6" cm="1">
        <f t="array" ref="C25">PRODUCT(1+IF(Rend_j[[Week,Year]:[Week,Year]]='Rend hebdo'!$A25,Rend_j[DM]))-1</f>
        <v>1.2868556596503877E-2</v>
      </c>
      <c r="D25" s="6" cm="1">
        <f t="array" ref="D25">PRODUCT(1+IF(Rend_j[[Week,Year]:[Week,Year]]='Rend hebdo'!$A25,Rend_j[EM ex China]))-1</f>
        <v>2.4780631165401523E-2</v>
      </c>
      <c r="E25" s="6" cm="1">
        <f t="array" ref="E25">PRODUCT(1+IF(Rend_j[[Week,Year]:[Week,Year]]='Rend hebdo'!$A25,Rend_j[EM]))-1</f>
        <v>2.3700862358606578E-2</v>
      </c>
      <c r="F25" s="6" cm="1">
        <f t="array" ref="F25">PRODUCT(1+IF(Rend_j[[Week,Year]:[Week,Year]]='Rend hebdo'!$A25,Rend_j[Japon]))-1</f>
        <v>1.648971267470456E-2</v>
      </c>
      <c r="G25" s="6" cm="1">
        <f t="array" ref="G25">PRODUCT(1+IF(Rend_j[[Week,Year]:[Week,Year]]='Rend hebdo'!$A25,Rend_j[Monde]))-1</f>
        <v>1.4241350866126323E-2</v>
      </c>
      <c r="H25" s="6" cm="1">
        <f t="array" ref="H25">PRODUCT(1+IF(Rend_j[[Week,Year]:[Week,Year]]='Rend hebdo'!$A25,Rend_j[RU]))-1</f>
        <v>6.7810475103868839E-4</v>
      </c>
      <c r="I25" s="6" cm="1">
        <f t="array" ref="I25">PRODUCT(1+IF(Rend_j[[Week,Year]:[Week,Year]]='Rend hebdo'!$A25,Rend_j[US]))-1</f>
        <v>1.3398644426759088E-2</v>
      </c>
      <c r="J25" s="6" cm="1">
        <f t="array" ref="J25">PRODUCT(1+IF(Rend_j[[Week,Year]:[Week,Year]]='Rend hebdo'!$A25,Rend_j[France]))-1</f>
        <v>1.5298063327206179E-2</v>
      </c>
      <c r="K25" s="6" cm="1">
        <f t="array" ref="K25">PRODUCT(1+IF(Rend_j[[Week,Year]:[Week,Year]]='Rend hebdo'!$A25,Rend_j[Europe]))-1</f>
        <v>1.0215122355255346E-2</v>
      </c>
      <c r="L25" s="6" cm="1">
        <f t="array" ref="L25">PRODUCT(1+IF(Rend_j[[Week,Year]:[Week,Year]]='Rend hebdo'!$A25,Rend_j[Allemagne]))-1</f>
        <v>5.3422281979873532E-3</v>
      </c>
      <c r="M25" s="10">
        <f>VALUE(LEFT(Rend_h[[#This Row],[Week,Year]],FIND(",",Rend_h[[#This Row],[Week,Year]])-1))</f>
        <v>21</v>
      </c>
      <c r="N25" s="10">
        <f>VALUE(RIGHT(Rend_h[[#This Row],[Week,Year]],4))</f>
        <v>2021</v>
      </c>
    </row>
    <row r="26" spans="1:14" x14ac:dyDescent="0.25">
      <c r="A26" s="62" t="s">
        <v>50</v>
      </c>
      <c r="B26" s="6" cm="1">
        <f t="array" ref="B26">PRODUCT(1+IF(Rend_j[[Week,Year]:[Week,Year]]='Rend hebdo'!$A26,Rend_j[Chine]))-1</f>
        <v>3.2455818330681119E-3</v>
      </c>
      <c r="C26" s="6" cm="1">
        <f t="array" ref="C26">PRODUCT(1+IF(Rend_j[[Week,Year]:[Week,Year]]='Rend hebdo'!$A26,Rend_j[DM]))-1</f>
        <v>7.5517632125825518E-3</v>
      </c>
      <c r="D26" s="6" cm="1">
        <f t="array" ref="D26">PRODUCT(1+IF(Rend_j[[Week,Year]:[Week,Year]]='Rend hebdo'!$A26,Rend_j[EM ex China]))-1</f>
        <v>2.150149241890853E-2</v>
      </c>
      <c r="E26" s="6" cm="1">
        <f t="array" ref="E26">PRODUCT(1+IF(Rend_j[[Week,Year]:[Week,Year]]='Rend hebdo'!$A26,Rend_j[EM]))-1</f>
        <v>1.6770370370370546E-2</v>
      </c>
      <c r="F26" s="6" cm="1">
        <f t="array" ref="F26">PRODUCT(1+IF(Rend_j[[Week,Year]:[Week,Year]]='Rend hebdo'!$A26,Rend_j[Japon]))-1</f>
        <v>1.1306569730731075E-2</v>
      </c>
      <c r="G26" s="6" cm="1">
        <f t="array" ref="G26">PRODUCT(1+IF(Rend_j[[Week,Year]:[Week,Year]]='Rend hebdo'!$A26,Rend_j[Monde]))-1</f>
        <v>8.7469600924929836E-3</v>
      </c>
      <c r="H26" s="6" cm="1">
        <f t="array" ref="H26">PRODUCT(1+IF(Rend_j[[Week,Year]:[Week,Year]]='Rend hebdo'!$A26,Rend_j[RU]))-1</f>
        <v>8.0026675558519944E-3</v>
      </c>
      <c r="I26" s="6" cm="1">
        <f t="array" ref="I26">PRODUCT(1+IF(Rend_j[[Week,Year]:[Week,Year]]='Rend hebdo'!$A26,Rend_j[US]))-1</f>
        <v>5.6656058209993976E-3</v>
      </c>
      <c r="J26" s="6" cm="1">
        <f t="array" ref="J26">PRODUCT(1+IF(Rend_j[[Week,Year]:[Week,Year]]='Rend hebdo'!$A26,Rend_j[France]))-1</f>
        <v>4.8657863093952702E-3</v>
      </c>
      <c r="K26" s="6" cm="1">
        <f t="array" ref="K26">PRODUCT(1+IF(Rend_j[[Week,Year]:[Week,Year]]='Rend hebdo'!$A26,Rend_j[Europe]))-1</f>
        <v>7.9958927169256899E-3</v>
      </c>
      <c r="L26" s="6" cm="1">
        <f t="array" ref="L26">PRODUCT(1+IF(Rend_j[[Week,Year]:[Week,Year]]='Rend hebdo'!$A26,Rend_j[Allemagne]))-1</f>
        <v>1.1141761443208997E-2</v>
      </c>
      <c r="M26" s="10">
        <f>VALUE(LEFT(Rend_h[[#This Row],[Week,Year]],FIND(",",Rend_h[[#This Row],[Week,Year]])-1))</f>
        <v>22</v>
      </c>
      <c r="N26" s="10">
        <f>VALUE(RIGHT(Rend_h[[#This Row],[Week,Year]],4))</f>
        <v>2021</v>
      </c>
    </row>
    <row r="27" spans="1:14" x14ac:dyDescent="0.25">
      <c r="A27" s="61" t="s">
        <v>51</v>
      </c>
      <c r="B27" s="6" cm="1">
        <f t="array" ref="B27">PRODUCT(1+IF(Rend_j[[Week,Year]:[Week,Year]]='Rend hebdo'!$A27,Rend_j[Chine]))-1</f>
        <v>-1.0977462565188167E-3</v>
      </c>
      <c r="C27" s="6" cm="1">
        <f t="array" ref="C27">PRODUCT(1+IF(Rend_j[[Week,Year]:[Week,Year]]='Rend hebdo'!$A27,Rend_j[DM]))-1</f>
        <v>9.5100326273998004E-3</v>
      </c>
      <c r="D27" s="6" cm="1">
        <f t="array" ref="D27">PRODUCT(1+IF(Rend_j[[Week,Year]:[Week,Year]]='Rend hebdo'!$A27,Rend_j[EM ex China]))-1</f>
        <v>9.1958380284098418E-3</v>
      </c>
      <c r="E27" s="6" cm="1">
        <f t="array" ref="E27">PRODUCT(1+IF(Rend_j[[Week,Year]:[Week,Year]]='Rend hebdo'!$A27,Rend_j[EM]))-1</f>
        <v>4.6916890080428431E-3</v>
      </c>
      <c r="F27" s="6" cm="1">
        <f t="array" ref="F27">PRODUCT(1+IF(Rend_j[[Week,Year]:[Week,Year]]='Rend hebdo'!$A27,Rend_j[Japon]))-1</f>
        <v>-1.3129102844638973E-3</v>
      </c>
      <c r="G27" s="6" cm="1">
        <f t="array" ref="G27">PRODUCT(1+IF(Rend_j[[Week,Year]:[Week,Year]]='Rend hebdo'!$A27,Rend_j[Monde]))-1</f>
        <v>8.8805804982927672E-3</v>
      </c>
      <c r="H27" s="6" cm="1">
        <f t="array" ref="H27">PRODUCT(1+IF(Rend_j[[Week,Year]:[Week,Year]]='Rend hebdo'!$A27,Rend_j[RU]))-1</f>
        <v>9.1556134154278102E-3</v>
      </c>
      <c r="I27" s="6" cm="1">
        <f t="array" ref="I27">PRODUCT(1+IF(Rend_j[[Week,Year]:[Week,Year]]='Rend hebdo'!$A27,Rend_j[US]))-1</f>
        <v>7.6071547227367642E-3</v>
      </c>
      <c r="J27" s="6" cm="1">
        <f t="array" ref="J27">PRODUCT(1+IF(Rend_j[[Week,Year]:[Week,Year]]='Rend hebdo'!$A27,Rend_j[France]))-1</f>
        <v>1.3045493160309674E-2</v>
      </c>
      <c r="K27" s="6" cm="1">
        <f t="array" ref="K27">PRODUCT(1+IF(Rend_j[[Week,Year]:[Week,Year]]='Rend hebdo'!$A27,Rend_j[Europe]))-1</f>
        <v>1.0915444955679865E-2</v>
      </c>
      <c r="L27" s="6" cm="1">
        <f t="array" ref="L27">PRODUCT(1+IF(Rend_j[[Week,Year]:[Week,Year]]='Rend hebdo'!$A27,Rend_j[Allemagne]))-1</f>
        <v>2.3522738998194015E-5</v>
      </c>
      <c r="M27" s="10">
        <f>VALUE(LEFT(Rend_h[[#This Row],[Week,Year]],FIND(",",Rend_h[[#This Row],[Week,Year]])-1))</f>
        <v>23</v>
      </c>
      <c r="N27" s="10">
        <f>VALUE(RIGHT(Rend_h[[#This Row],[Week,Year]],4))</f>
        <v>2021</v>
      </c>
    </row>
    <row r="28" spans="1:14" x14ac:dyDescent="0.25">
      <c r="A28" s="62" t="s">
        <v>52</v>
      </c>
      <c r="B28" s="6" cm="1">
        <f t="array" ref="B28">PRODUCT(1+IF(Rend_j[[Week,Year]:[Week,Year]]='Rend hebdo'!$A28,Rend_j[Chine]))-1</f>
        <v>4.4102869770652475E-3</v>
      </c>
      <c r="C28" s="6" cm="1">
        <f t="array" ref="C28">PRODUCT(1+IF(Rend_j[[Week,Year]:[Week,Year]]='Rend hebdo'!$A28,Rend_j[DM]))-1</f>
        <v>1.6337167646898187E-3</v>
      </c>
      <c r="D28" s="6" cm="1">
        <f t="array" ref="D28">PRODUCT(1+IF(Rend_j[[Week,Year]:[Week,Year]]='Rend hebdo'!$A28,Rend_j[EM ex China]))-1</f>
        <v>3.5600727405300514E-3</v>
      </c>
      <c r="E28" s="6" cm="1">
        <f t="array" ref="E28">PRODUCT(1+IF(Rend_j[[Week,Year]:[Week,Year]]='Rend hebdo'!$A28,Rend_j[EM]))-1</f>
        <v>6.131177752838779E-3</v>
      </c>
      <c r="F28" s="6" cm="1">
        <f t="array" ref="F28">PRODUCT(1+IF(Rend_j[[Week,Year]:[Week,Year]]='Rend hebdo'!$A28,Rend_j[Japon]))-1</f>
        <v>1.5167981302950828E-2</v>
      </c>
      <c r="G28" s="6" cm="1">
        <f t="array" ref="G28">PRODUCT(1+IF(Rend_j[[Week,Year]:[Week,Year]]='Rend hebdo'!$A28,Rend_j[Monde]))-1</f>
        <v>2.221168875430557E-3</v>
      </c>
      <c r="H28" s="6" cm="1">
        <f t="array" ref="H28">PRODUCT(1+IF(Rend_j[[Week,Year]:[Week,Year]]='Rend hebdo'!$A28,Rend_j[RU]))-1</f>
        <v>-1.7161709192035746E-2</v>
      </c>
      <c r="I28" s="6" cm="1">
        <f t="array" ref="I28">PRODUCT(1+IF(Rend_j[[Week,Year]:[Week,Year]]='Rend hebdo'!$A28,Rend_j[US]))-1</f>
        <v>-2.0005098139545097E-2</v>
      </c>
      <c r="J28" s="6" cm="1">
        <f t="array" ref="J28">PRODUCT(1+IF(Rend_j[[Week,Year]:[Week,Year]]='Rend hebdo'!$A28,Rend_j[France]))-1</f>
        <v>-4.7722499349354131E-3</v>
      </c>
      <c r="K28" s="6" cm="1">
        <f t="array" ref="K28">PRODUCT(1+IF(Rend_j[[Week,Year]:[Week,Year]]='Rend hebdo'!$A28,Rend_j[Europe]))-1</f>
        <v>-1.1934213198963706E-2</v>
      </c>
      <c r="L28" s="6" cm="1">
        <f t="array" ref="L28">PRODUCT(1+IF(Rend_j[[Week,Year]:[Week,Year]]='Rend hebdo'!$A28,Rend_j[Allemagne]))-1</f>
        <v>-1.5626411662095552E-2</v>
      </c>
      <c r="M28" s="10">
        <f>VALUE(LEFT(Rend_h[[#This Row],[Week,Year]],FIND(",",Rend_h[[#This Row],[Week,Year]])-1))</f>
        <v>24</v>
      </c>
      <c r="N28" s="10">
        <f>VALUE(RIGHT(Rend_h[[#This Row],[Week,Year]],4))</f>
        <v>2021</v>
      </c>
    </row>
    <row r="29" spans="1:14" x14ac:dyDescent="0.25">
      <c r="A29" s="61" t="s">
        <v>53</v>
      </c>
      <c r="B29" s="6" cm="1">
        <f t="array" ref="B29">PRODUCT(1+IF(Rend_j[[Week,Year]:[Week,Year]]='Rend hebdo'!$A29,Rend_j[Chine]))-1</f>
        <v>1.6829569007248413E-2</v>
      </c>
      <c r="C29" s="6" cm="1">
        <f t="array" ref="C29">PRODUCT(1+IF(Rend_j[[Week,Year]:[Week,Year]]='Rend hebdo'!$A29,Rend_j[DM]))-1</f>
        <v>1.5811379634251166E-2</v>
      </c>
      <c r="D29" s="6" cm="1">
        <f t="array" ref="D29">PRODUCT(1+IF(Rend_j[[Week,Year]:[Week,Year]]='Rend hebdo'!$A29,Rend_j[EM ex China]))-1</f>
        <v>-1.1583587058777711E-3</v>
      </c>
      <c r="E29" s="6" cm="1">
        <f t="array" ref="E29">PRODUCT(1+IF(Rend_j[[Week,Year]:[Week,Year]]='Rend hebdo'!$A29,Rend_j[EM]))-1</f>
        <v>5.4174640591286849E-3</v>
      </c>
      <c r="F29" s="6" cm="1">
        <f t="array" ref="F29">PRODUCT(1+IF(Rend_j[[Week,Year]:[Week,Year]]='Rend hebdo'!$A29,Rend_j[Japon]))-1</f>
        <v>-4.8864434289136449E-3</v>
      </c>
      <c r="G29" s="6" cm="1">
        <f t="array" ref="G29">PRODUCT(1+IF(Rend_j[[Week,Year]:[Week,Year]]='Rend hebdo'!$A29,Rend_j[Monde]))-1</f>
        <v>1.4450550739139478E-2</v>
      </c>
      <c r="H29" s="6" cm="1">
        <f t="array" ref="H29">PRODUCT(1+IF(Rend_j[[Week,Year]:[Week,Year]]='Rend hebdo'!$A29,Rend_j[RU]))-1</f>
        <v>1.6407023281835187E-2</v>
      </c>
      <c r="I29" s="6" cm="1">
        <f t="array" ref="I29">PRODUCT(1+IF(Rend_j[[Week,Year]:[Week,Year]]='Rend hebdo'!$A29,Rend_j[US]))-1</f>
        <v>2.9863246511683483E-2</v>
      </c>
      <c r="J29" s="6" cm="1">
        <f t="array" ref="J29">PRODUCT(1+IF(Rend_j[[Week,Year]:[Week,Year]]='Rend hebdo'!$A29,Rend_j[France]))-1</f>
        <v>8.1760772647543334E-3</v>
      </c>
      <c r="K29" s="6" cm="1">
        <f t="array" ref="K29">PRODUCT(1+IF(Rend_j[[Week,Year]:[Week,Year]]='Rend hebdo'!$A29,Rend_j[Europe]))-1</f>
        <v>1.2343805216515236E-2</v>
      </c>
      <c r="L29" s="6" cm="1">
        <f t="array" ref="L29">PRODUCT(1+IF(Rend_j[[Week,Year]:[Week,Year]]='Rend hebdo'!$A29,Rend_j[Allemagne]))-1</f>
        <v>1.0352749577674292E-2</v>
      </c>
      <c r="M29" s="10">
        <f>VALUE(LEFT(Rend_h[[#This Row],[Week,Year]],FIND(",",Rend_h[[#This Row],[Week,Year]])-1))</f>
        <v>25</v>
      </c>
      <c r="N29" s="10">
        <f>VALUE(RIGHT(Rend_h[[#This Row],[Week,Year]],4))</f>
        <v>2021</v>
      </c>
    </row>
    <row r="30" spans="1:14" x14ac:dyDescent="0.25">
      <c r="A30" s="62" t="s">
        <v>54</v>
      </c>
      <c r="B30" s="6" cm="1">
        <f t="array" ref="B30">PRODUCT(1+IF(Rend_j[[Week,Year]:[Week,Year]]='Rend hebdo'!$A30,Rend_j[Chine]))-1</f>
        <v>-2.0983589180408213E-2</v>
      </c>
      <c r="C30" s="6" cm="1">
        <f t="array" ref="C30">PRODUCT(1+IF(Rend_j[[Week,Year]:[Week,Year]]='Rend hebdo'!$A30,Rend_j[DM]))-1</f>
        <v>1.6176584384431036E-2</v>
      </c>
      <c r="D30" s="6" cm="1">
        <f t="array" ref="D30">PRODUCT(1+IF(Rend_j[[Week,Year]:[Week,Year]]='Rend hebdo'!$A30,Rend_j[EM ex China]))-1</f>
        <v>-1.1836925834727285E-3</v>
      </c>
      <c r="E30" s="6" cm="1">
        <f t="array" ref="E30">PRODUCT(1+IF(Rend_j[[Week,Year]:[Week,Year]]='Rend hebdo'!$A30,Rend_j[EM]))-1</f>
        <v>-8.5841832233474191E-3</v>
      </c>
      <c r="F30" s="6" cm="1">
        <f t="array" ref="F30">PRODUCT(1+IF(Rend_j[[Week,Year]:[Week,Year]]='Rend hebdo'!$A30,Rend_j[Japon]))-1</f>
        <v>8.4443339097872716E-4</v>
      </c>
      <c r="G30" s="6" cm="1">
        <f t="array" ref="G30">PRODUCT(1+IF(Rend_j[[Week,Year]:[Week,Year]]='Rend hebdo'!$A30,Rend_j[Monde]))-1</f>
        <v>1.2973202072938061E-2</v>
      </c>
      <c r="H30" s="6" cm="1">
        <f t="array" ref="H30">PRODUCT(1+IF(Rend_j[[Week,Year]:[Week,Year]]='Rend hebdo'!$A30,Rend_j[RU]))-1</f>
        <v>-1.6300953711644306E-3</v>
      </c>
      <c r="I30" s="6" cm="1">
        <f t="array" ref="I30">PRODUCT(1+IF(Rend_j[[Week,Year]:[Week,Year]]='Rend hebdo'!$A30,Rend_j[US]))-1</f>
        <v>1.2777571262567289E-2</v>
      </c>
      <c r="J30" s="6" cm="1">
        <f t="array" ref="J30">PRODUCT(1+IF(Rend_j[[Week,Year]:[Week,Year]]='Rend hebdo'!$A30,Rend_j[France]))-1</f>
        <v>-1.0570983993826832E-2</v>
      </c>
      <c r="K30" s="6" cm="1">
        <f t="array" ref="K30">PRODUCT(1+IF(Rend_j[[Week,Year]:[Week,Year]]='Rend hebdo'!$A30,Rend_j[Europe]))-1</f>
        <v>-1.7918558465152001E-3</v>
      </c>
      <c r="L30" s="6" cm="1">
        <f t="array" ref="L30">PRODUCT(1+IF(Rend_j[[Week,Year]:[Week,Year]]='Rend hebdo'!$A30,Rend_j[Allemagne]))-1</f>
        <v>2.6986283756715856E-3</v>
      </c>
      <c r="M30" s="10">
        <f>VALUE(LEFT(Rend_h[[#This Row],[Week,Year]],FIND(",",Rend_h[[#This Row],[Week,Year]])-1))</f>
        <v>26</v>
      </c>
      <c r="N30" s="10">
        <f>VALUE(RIGHT(Rend_h[[#This Row],[Week,Year]],4))</f>
        <v>2021</v>
      </c>
    </row>
    <row r="31" spans="1:14" x14ac:dyDescent="0.25">
      <c r="A31" s="61" t="s">
        <v>55</v>
      </c>
      <c r="B31" s="6" cm="1">
        <f t="array" ref="B31">PRODUCT(1+IF(Rend_j[[Week,Year]:[Week,Year]]='Rend hebdo'!$A31,Rend_j[Chine]))-1</f>
        <v>-3.0894498300390261E-2</v>
      </c>
      <c r="C31" s="6" cm="1">
        <f t="array" ref="C31">PRODUCT(1+IF(Rend_j[[Week,Year]:[Week,Year]]='Rend hebdo'!$A31,Rend_j[DM]))-1</f>
        <v>4.9116474579347091E-4</v>
      </c>
      <c r="D31" s="6" cm="1">
        <f t="array" ref="D31">PRODUCT(1+IF(Rend_j[[Week,Year]:[Week,Year]]='Rend hebdo'!$A31,Rend_j[EM ex China]))-1</f>
        <v>-1.8431667746719227E-2</v>
      </c>
      <c r="E31" s="6" cm="1">
        <f t="array" ref="E31">PRODUCT(1+IF(Rend_j[[Week,Year]:[Week,Year]]='Rend hebdo'!$A31,Rend_j[EM]))-1</f>
        <v>-2.921468298109009E-2</v>
      </c>
      <c r="F31" s="6" cm="1">
        <f t="array" ref="F31">PRODUCT(1+IF(Rend_j[[Week,Year]:[Week,Year]]='Rend hebdo'!$A31,Rend_j[Japon]))-1</f>
        <v>-1.3060337603948202E-2</v>
      </c>
      <c r="G31" s="6" cm="1">
        <f t="array" ref="G31">PRODUCT(1+IF(Rend_j[[Week,Year]:[Week,Year]]='Rend hebdo'!$A31,Rend_j[Monde]))-1</f>
        <v>-3.278788293736512E-3</v>
      </c>
      <c r="H31" s="6" cm="1">
        <f t="array" ref="H31">PRODUCT(1+IF(Rend_j[[Week,Year]:[Week,Year]]='Rend hebdo'!$A31,Rend_j[RU]))-1</f>
        <v>3.1806952999924309E-3</v>
      </c>
      <c r="I31" s="6" cm="1">
        <f t="array" ref="I31">PRODUCT(1+IF(Rend_j[[Week,Year]:[Week,Year]]='Rend hebdo'!$A31,Rend_j[US]))-1</f>
        <v>2.7162850867030741E-3</v>
      </c>
      <c r="J31" s="6" cm="1">
        <f t="array" ref="J31">PRODUCT(1+IF(Rend_j[[Week,Year]:[Week,Year]]='Rend hebdo'!$A31,Rend_j[France]))-1</f>
        <v>-3.5770551316610666E-3</v>
      </c>
      <c r="K31" s="6" cm="1">
        <f t="array" ref="K31">PRODUCT(1+IF(Rend_j[[Week,Year]:[Week,Year]]='Rend hebdo'!$A31,Rend_j[Europe]))-1</f>
        <v>1.8826536279095141E-3</v>
      </c>
      <c r="L31" s="6" cm="1">
        <f t="array" ref="L31">PRODUCT(1+IF(Rend_j[[Week,Year]:[Week,Year]]='Rend hebdo'!$A31,Rend_j[Allemagne]))-1</f>
        <v>2.4178679091853006E-3</v>
      </c>
      <c r="M31" s="10">
        <f>VALUE(LEFT(Rend_h[[#This Row],[Week,Year]],FIND(",",Rend_h[[#This Row],[Week,Year]])-1))</f>
        <v>27</v>
      </c>
      <c r="N31" s="10">
        <f>VALUE(RIGHT(Rend_h[[#This Row],[Week,Year]],4))</f>
        <v>2021</v>
      </c>
    </row>
    <row r="32" spans="1:14" x14ac:dyDescent="0.25">
      <c r="A32" s="62" t="s">
        <v>56</v>
      </c>
      <c r="B32" s="6" cm="1">
        <f t="array" ref="B32">PRODUCT(1+IF(Rend_j[[Week,Year]:[Week,Year]]='Rend hebdo'!$A32,Rend_j[Chine]))-1</f>
        <v>2.2174754355413162E-2</v>
      </c>
      <c r="C32" s="6" cm="1">
        <f t="array" ref="C32">PRODUCT(1+IF(Rend_j[[Week,Year]:[Week,Year]]='Rend hebdo'!$A32,Rend_j[DM]))-1</f>
        <v>-4.6694828176733205E-3</v>
      </c>
      <c r="D32" s="6" cm="1">
        <f t="array" ref="D32">PRODUCT(1+IF(Rend_j[[Week,Year]:[Week,Year]]='Rend hebdo'!$A32,Rend_j[EM ex China]))-1</f>
        <v>1.7867734862869966E-2</v>
      </c>
      <c r="E32" s="6" cm="1">
        <f t="array" ref="E32">PRODUCT(1+IF(Rend_j[[Week,Year]:[Week,Year]]='Rend hebdo'!$A32,Rend_j[EM]))-1</f>
        <v>2.1397077695889832E-2</v>
      </c>
      <c r="F32" s="6" cm="1">
        <f t="array" ref="F32">PRODUCT(1+IF(Rend_j[[Week,Year]:[Week,Year]]='Rend hebdo'!$A32,Rend_j[Japon]))-1</f>
        <v>1.3467382584917642E-2</v>
      </c>
      <c r="G32" s="6" cm="1">
        <f t="array" ref="G32">PRODUCT(1+IF(Rend_j[[Week,Year]:[Week,Year]]='Rend hebdo'!$A32,Rend_j[Monde]))-1</f>
        <v>-1.4463440696076413E-3</v>
      </c>
      <c r="H32" s="6" cm="1">
        <f t="array" ref="H32">PRODUCT(1+IF(Rend_j[[Week,Year]:[Week,Year]]='Rend hebdo'!$A32,Rend_j[RU]))-1</f>
        <v>-1.340111394117427E-2</v>
      </c>
      <c r="I32" s="6" cm="1">
        <f t="array" ref="I32">PRODUCT(1+IF(Rend_j[[Week,Year]:[Week,Year]]='Rend hebdo'!$A32,Rend_j[US]))-1</f>
        <v>-1.4962955141461176E-2</v>
      </c>
      <c r="J32" s="6" cm="1">
        <f t="array" ref="J32">PRODUCT(1+IF(Rend_j[[Week,Year]:[Week,Year]]='Rend hebdo'!$A32,Rend_j[France]))-1</f>
        <v>-1.0619602480515855E-2</v>
      </c>
      <c r="K32" s="6" cm="1">
        <f t="array" ref="K32">PRODUCT(1+IF(Rend_j[[Week,Year]:[Week,Year]]='Rend hebdo'!$A32,Rend_j[Europe]))-1</f>
        <v>-6.4020427748672226E-3</v>
      </c>
      <c r="L32" s="6" cm="1">
        <f t="array" ref="L32">PRODUCT(1+IF(Rend_j[[Week,Year]:[Week,Year]]='Rend hebdo'!$A32,Rend_j[Allemagne]))-1</f>
        <v>-9.4097897502753991E-3</v>
      </c>
      <c r="M32" s="10">
        <f>VALUE(LEFT(Rend_h[[#This Row],[Week,Year]],FIND(",",Rend_h[[#This Row],[Week,Year]])-1))</f>
        <v>28</v>
      </c>
      <c r="N32" s="10">
        <f>VALUE(RIGHT(Rend_h[[#This Row],[Week,Year]],4))</f>
        <v>2021</v>
      </c>
    </row>
    <row r="33" spans="1:14" x14ac:dyDescent="0.25">
      <c r="A33" s="61" t="s">
        <v>57</v>
      </c>
      <c r="B33" s="6" cm="1">
        <f t="array" ref="B33">PRODUCT(1+IF(Rend_j[[Week,Year]:[Week,Year]]='Rend hebdo'!$A33,Rend_j[Chine]))-1</f>
        <v>-2.0349383078105743E-2</v>
      </c>
      <c r="C33" s="6" cm="1">
        <f t="array" ref="C33">PRODUCT(1+IF(Rend_j[[Week,Year]:[Week,Year]]='Rend hebdo'!$A33,Rend_j[DM]))-1</f>
        <v>1.9882007929862278E-2</v>
      </c>
      <c r="D33" s="6" cm="1">
        <f t="array" ref="D33">PRODUCT(1+IF(Rend_j[[Week,Year]:[Week,Year]]='Rend hebdo'!$A33,Rend_j[EM ex China]))-1</f>
        <v>-8.4218441944396982E-3</v>
      </c>
      <c r="E33" s="6" cm="1">
        <f t="array" ref="E33">PRODUCT(1+IF(Rend_j[[Week,Year]:[Week,Year]]='Rend hebdo'!$A33,Rend_j[EM]))-1</f>
        <v>-1.7525044592275218E-2</v>
      </c>
      <c r="F33" s="6" cm="1">
        <f t="array" ref="F33">PRODUCT(1+IF(Rend_j[[Week,Year]:[Week,Year]]='Rend hebdo'!$A33,Rend_j[Japon]))-1</f>
        <v>-1.4524823350646754E-2</v>
      </c>
      <c r="G33" s="6" cm="1">
        <f t="array" ref="G33">PRODUCT(1+IF(Rend_j[[Week,Year]:[Week,Year]]='Rend hebdo'!$A33,Rend_j[Monde]))-1</f>
        <v>1.5149372661573679E-2</v>
      </c>
      <c r="H33" s="6" cm="1">
        <f t="array" ref="H33">PRODUCT(1+IF(Rend_j[[Week,Year]:[Week,Year]]='Rend hebdo'!$A33,Rend_j[RU]))-1</f>
        <v>2.5388051547388102E-3</v>
      </c>
      <c r="I33" s="6" cm="1">
        <f t="array" ref="I33">PRODUCT(1+IF(Rend_j[[Week,Year]:[Week,Year]]='Rend hebdo'!$A33,Rend_j[US]))-1</f>
        <v>2.2058285161712821E-2</v>
      </c>
      <c r="J33" s="6" cm="1">
        <f t="array" ref="J33">PRODUCT(1+IF(Rend_j[[Week,Year]:[Week,Year]]='Rend hebdo'!$A33,Rend_j[France]))-1</f>
        <v>1.6832569362462912E-2</v>
      </c>
      <c r="K33" s="6" cm="1">
        <f t="array" ref="K33">PRODUCT(1+IF(Rend_j[[Week,Year]:[Week,Year]]='Rend hebdo'!$A33,Rend_j[Europe]))-1</f>
        <v>1.4887672403740115E-2</v>
      </c>
      <c r="L33" s="6" cm="1">
        <f t="array" ref="L33">PRODUCT(1+IF(Rend_j[[Week,Year]:[Week,Year]]='Rend hebdo'!$A33,Rend_j[Allemagne]))-1</f>
        <v>8.2997362066064007E-3</v>
      </c>
      <c r="M33" s="10">
        <f>VALUE(LEFT(Rend_h[[#This Row],[Week,Year]],FIND(",",Rend_h[[#This Row],[Week,Year]])-1))</f>
        <v>29</v>
      </c>
      <c r="N33" s="10">
        <f>VALUE(RIGHT(Rend_h[[#This Row],[Week,Year]],4))</f>
        <v>2021</v>
      </c>
    </row>
    <row r="34" spans="1:14" x14ac:dyDescent="0.25">
      <c r="A34" s="62" t="s">
        <v>58</v>
      </c>
      <c r="B34" s="6" cm="1">
        <f t="array" ref="B34">PRODUCT(1+IF(Rend_j[[Week,Year]:[Week,Year]]='Rend hebdo'!$A34,Rend_j[Chine]))-1</f>
        <v>-6.2858527285777122E-2</v>
      </c>
      <c r="C34" s="6" cm="1">
        <f t="array" ref="C34">PRODUCT(1+IF(Rend_j[[Week,Year]:[Week,Year]]='Rend hebdo'!$A34,Rend_j[DM]))-1</f>
        <v>-9.1473815620277676E-3</v>
      </c>
      <c r="D34" s="6" cm="1">
        <f t="array" ref="D34">PRODUCT(1+IF(Rend_j[[Week,Year]:[Week,Year]]='Rend hebdo'!$A34,Rend_j[EM ex China]))-1</f>
        <v>-1.372899901009228E-2</v>
      </c>
      <c r="E34" s="6" cm="1">
        <f t="array" ref="E34">PRODUCT(1+IF(Rend_j[[Week,Year]:[Week,Year]]='Rend hebdo'!$A34,Rend_j[EM]))-1</f>
        <v>-3.3473854403120229E-2</v>
      </c>
      <c r="F34" s="6" cm="1">
        <f t="array" ref="F34">PRODUCT(1+IF(Rend_j[[Week,Year]:[Week,Year]]='Rend hebdo'!$A34,Rend_j[Japon]))-1</f>
        <v>-3.1248351107175942E-3</v>
      </c>
      <c r="G34" s="6" cm="1">
        <f t="array" ref="G34">PRODUCT(1+IF(Rend_j[[Week,Year]:[Week,Year]]='Rend hebdo'!$A34,Rend_j[Monde]))-1</f>
        <v>-1.2126117647058732E-2</v>
      </c>
      <c r="H34" s="6" cm="1">
        <f t="array" ref="H34">PRODUCT(1+IF(Rend_j[[Week,Year]:[Week,Year]]='Rend hebdo'!$A34,Rend_j[RU]))-1</f>
        <v>4.2740522289181904E-3</v>
      </c>
      <c r="I34" s="6" cm="1">
        <f t="array" ref="I34">PRODUCT(1+IF(Rend_j[[Week,Year]:[Week,Year]]='Rend hebdo'!$A34,Rend_j[US]))-1</f>
        <v>-3.0742498175631017E-3</v>
      </c>
      <c r="J34" s="6" cm="1">
        <f t="array" ref="J34">PRODUCT(1+IF(Rend_j[[Week,Year]:[Week,Year]]='Rend hebdo'!$A34,Rend_j[France]))-1</f>
        <v>6.6891684012184704E-3</v>
      </c>
      <c r="K34" s="6" cm="1">
        <f t="array" ref="K34">PRODUCT(1+IF(Rend_j[[Week,Year]:[Week,Year]]='Rend hebdo'!$A34,Rend_j[Europe]))-1</f>
        <v>4.9832071898059382E-4</v>
      </c>
      <c r="L34" s="6" cm="1">
        <f t="array" ref="L34">PRODUCT(1+IF(Rend_j[[Week,Year]:[Week,Year]]='Rend hebdo'!$A34,Rend_j[Allemagne]))-1</f>
        <v>-7.9710305751672372E-3</v>
      </c>
      <c r="M34" s="10">
        <f>VALUE(LEFT(Rend_h[[#This Row],[Week,Year]],FIND(",",Rend_h[[#This Row],[Week,Year]])-1))</f>
        <v>30</v>
      </c>
      <c r="N34" s="10">
        <f>VALUE(RIGHT(Rend_h[[#This Row],[Week,Year]],4))</f>
        <v>2021</v>
      </c>
    </row>
    <row r="35" spans="1:14" x14ac:dyDescent="0.25">
      <c r="A35" s="61" t="s">
        <v>59</v>
      </c>
      <c r="B35" s="6" cm="1">
        <f t="array" ref="B35">PRODUCT(1+IF(Rend_j[[Week,Year]:[Week,Year]]='Rend hebdo'!$A35,Rend_j[Chine]))-1</f>
        <v>1.527965576994772E-2</v>
      </c>
      <c r="C35" s="6" cm="1">
        <f t="array" ref="C35">PRODUCT(1+IF(Rend_j[[Week,Year]:[Week,Year]]='Rend hebdo'!$A35,Rend_j[DM]))-1</f>
        <v>1.7797754849547598E-2</v>
      </c>
      <c r="D35" s="6" cm="1">
        <f t="array" ref="D35">PRODUCT(1+IF(Rend_j[[Week,Year]:[Week,Year]]='Rend hebdo'!$A35,Rend_j[EM ex China]))-1</f>
        <v>2.6394542772861129E-2</v>
      </c>
      <c r="E35" s="6" cm="1">
        <f t="array" ref="E35">PRODUCT(1+IF(Rend_j[[Week,Year]:[Week,Year]]='Rend hebdo'!$A35,Rend_j[EM]))-1</f>
        <v>1.9953406610023761E-2</v>
      </c>
      <c r="F35" s="6" cm="1">
        <f t="array" ref="F35">PRODUCT(1+IF(Rend_j[[Week,Year]:[Week,Year]]='Rend hebdo'!$A35,Rend_j[Japon]))-1</f>
        <v>2.0036933355289666E-2</v>
      </c>
      <c r="G35" s="6" cm="1">
        <f t="array" ref="G35">PRODUCT(1+IF(Rend_j[[Week,Year]:[Week,Year]]='Rend hebdo'!$A35,Rend_j[Monde]))-1</f>
        <v>1.8059938110699614E-2</v>
      </c>
      <c r="H35" s="6" cm="1">
        <f t="array" ref="H35">PRODUCT(1+IF(Rend_j[[Week,Year]:[Week,Year]]='Rend hebdo'!$A35,Rend_j[RU]))-1</f>
        <v>1.8789632719070637E-2</v>
      </c>
      <c r="I35" s="6" cm="1">
        <f t="array" ref="I35">PRODUCT(1+IF(Rend_j[[Week,Year]:[Week,Year]]='Rend hebdo'!$A35,Rend_j[US]))-1</f>
        <v>9.1711247288006614E-3</v>
      </c>
      <c r="J35" s="6" cm="1">
        <f t="array" ref="J35">PRODUCT(1+IF(Rend_j[[Week,Year]:[Week,Year]]='Rend hebdo'!$A35,Rend_j[France]))-1</f>
        <v>3.0879723780366186E-2</v>
      </c>
      <c r="K35" s="6" cm="1">
        <f t="array" ref="K35">PRODUCT(1+IF(Rend_j[[Week,Year]:[Week,Year]]='Rend hebdo'!$A35,Rend_j[Europe]))-1</f>
        <v>1.7823907779787929E-2</v>
      </c>
      <c r="L35" s="6" cm="1">
        <f t="array" ref="L35">PRODUCT(1+IF(Rend_j[[Week,Year]:[Week,Year]]='Rend hebdo'!$A35,Rend_j[Allemagne]))-1</f>
        <v>1.3963915913546288E-2</v>
      </c>
      <c r="M35" s="10">
        <f>VALUE(LEFT(Rend_h[[#This Row],[Week,Year]],FIND(",",Rend_h[[#This Row],[Week,Year]])-1))</f>
        <v>31</v>
      </c>
      <c r="N35" s="10">
        <f>VALUE(RIGHT(Rend_h[[#This Row],[Week,Year]],4))</f>
        <v>2021</v>
      </c>
    </row>
    <row r="36" spans="1:14" x14ac:dyDescent="0.25">
      <c r="A36" s="62" t="s">
        <v>60</v>
      </c>
      <c r="B36" s="6" cm="1">
        <f t="array" ref="B36">PRODUCT(1+IF(Rend_j[[Week,Year]:[Week,Year]]='Rend hebdo'!$A36,Rend_j[Chine]))-1</f>
        <v>-3.7257811442736877E-4</v>
      </c>
      <c r="C36" s="6" cm="1">
        <f t="array" ref="C36">PRODUCT(1+IF(Rend_j[[Week,Year]:[Week,Year]]='Rend hebdo'!$A36,Rend_j[DM]))-1</f>
        <v>5.9106268610111812E-3</v>
      </c>
      <c r="D36" s="6" cm="1">
        <f t="array" ref="D36">PRODUCT(1+IF(Rend_j[[Week,Year]:[Week,Year]]='Rend hebdo'!$A36,Rend_j[EM ex China]))-1</f>
        <v>-1.7365634160109722E-2</v>
      </c>
      <c r="E36" s="6" cm="1">
        <f t="array" ref="E36">PRODUCT(1+IF(Rend_j[[Week,Year]:[Week,Year]]='Rend hebdo'!$A36,Rend_j[EM]))-1</f>
        <v>-1.1800380373469976E-2</v>
      </c>
      <c r="F36" s="6" cm="1">
        <f t="array" ref="F36">PRODUCT(1+IF(Rend_j[[Week,Year]:[Week,Year]]='Rend hebdo'!$A36,Rend_j[Japon]))-1</f>
        <v>1.4367832659721191E-2</v>
      </c>
      <c r="G36" s="6" cm="1">
        <f t="array" ref="G36">PRODUCT(1+IF(Rend_j[[Week,Year]:[Week,Year]]='Rend hebdo'!$A36,Rend_j[Monde]))-1</f>
        <v>3.784489954818282E-3</v>
      </c>
      <c r="H36" s="6" cm="1">
        <f t="array" ref="H36">PRODUCT(1+IF(Rend_j[[Week,Year]:[Week,Year]]='Rend hebdo'!$A36,Rend_j[RU]))-1</f>
        <v>7.5714852643231634E-3</v>
      </c>
      <c r="I36" s="6" cm="1">
        <f t="array" ref="I36">PRODUCT(1+IF(Rend_j[[Week,Year]:[Week,Year]]='Rend hebdo'!$A36,Rend_j[US]))-1</f>
        <v>5.1765783523438635E-3</v>
      </c>
      <c r="J36" s="6" cm="1">
        <f t="array" ref="J36">PRODUCT(1+IF(Rend_j[[Week,Year]:[Week,Year]]='Rend hebdo'!$A36,Rend_j[France]))-1</f>
        <v>1.1600490314219059E-2</v>
      </c>
      <c r="K36" s="6" cm="1">
        <f t="array" ref="K36">PRODUCT(1+IF(Rend_j[[Week,Year]:[Week,Year]]='Rend hebdo'!$A36,Rend_j[Europe]))-1</f>
        <v>1.2468851176737017E-2</v>
      </c>
      <c r="L36" s="6" cm="1">
        <f t="array" ref="L36">PRODUCT(1+IF(Rend_j[[Week,Year]:[Week,Year]]='Rend hebdo'!$A36,Rend_j[Allemagne]))-1</f>
        <v>1.3703702848358423E-2</v>
      </c>
      <c r="M36" s="10">
        <f>VALUE(LEFT(Rend_h[[#This Row],[Week,Year]],FIND(",",Rend_h[[#This Row],[Week,Year]])-1))</f>
        <v>32</v>
      </c>
      <c r="N36" s="10">
        <f>VALUE(RIGHT(Rend_h[[#This Row],[Week,Year]],4))</f>
        <v>2021</v>
      </c>
    </row>
    <row r="37" spans="1:14" x14ac:dyDescent="0.25">
      <c r="A37" s="61" t="s">
        <v>61</v>
      </c>
      <c r="B37" s="6" cm="1">
        <f t="array" ref="B37">PRODUCT(1+IF(Rend_j[[Week,Year]:[Week,Year]]='Rend hebdo'!$A37,Rend_j[Chine]))-1</f>
        <v>-5.4336202310640624E-2</v>
      </c>
      <c r="C37" s="6" cm="1">
        <f t="array" ref="C37">PRODUCT(1+IF(Rend_j[[Week,Year]:[Week,Year]]='Rend hebdo'!$A37,Rend_j[DM]))-1</f>
        <v>-4.8522341341550312E-3</v>
      </c>
      <c r="D37" s="6" cm="1">
        <f t="array" ref="D37">PRODUCT(1+IF(Rend_j[[Week,Year]:[Week,Year]]='Rend hebdo'!$A37,Rend_j[EM ex China]))-1</f>
        <v>-2.1159116861022564E-2</v>
      </c>
      <c r="E37" s="6" cm="1">
        <f t="array" ref="E37">PRODUCT(1+IF(Rend_j[[Week,Year]:[Week,Year]]='Rend hebdo'!$A37,Rend_j[EM]))-1</f>
        <v>-3.7647654522993124E-2</v>
      </c>
      <c r="F37" s="6" cm="1">
        <f t="array" ref="F37">PRODUCT(1+IF(Rend_j[[Week,Year]:[Week,Year]]='Rend hebdo'!$A37,Rend_j[Japon]))-1</f>
        <v>-2.8249069258532988E-2</v>
      </c>
      <c r="G37" s="6" cm="1">
        <f t="array" ref="G37">PRODUCT(1+IF(Rend_j[[Week,Year]:[Week,Year]]='Rend hebdo'!$A37,Rend_j[Monde]))-1</f>
        <v>-8.7151412994026511E-3</v>
      </c>
      <c r="H37" s="6" cm="1">
        <f t="array" ref="H37">PRODUCT(1+IF(Rend_j[[Week,Year]:[Week,Year]]='Rend hebdo'!$A37,Rend_j[RU]))-1</f>
        <v>-2.6969599601985861E-2</v>
      </c>
      <c r="I37" s="6" cm="1">
        <f t="array" ref="I37">PRODUCT(1+IF(Rend_j[[Week,Year]:[Week,Year]]='Rend hebdo'!$A37,Rend_j[US]))-1</f>
        <v>-8.7491398162958811E-3</v>
      </c>
      <c r="J37" s="6" cm="1">
        <f t="array" ref="J37">PRODUCT(1+IF(Rend_j[[Week,Year]:[Week,Year]]='Rend hebdo'!$A37,Rend_j[France]))-1</f>
        <v>-3.9142779692900698E-2</v>
      </c>
      <c r="K37" s="6" cm="1">
        <f t="array" ref="K37">PRODUCT(1+IF(Rend_j[[Week,Year]:[Week,Year]]='Rend hebdo'!$A37,Rend_j[Europe]))-1</f>
        <v>-1.4774182359381327E-2</v>
      </c>
      <c r="L37" s="6" cm="1">
        <f t="array" ref="L37">PRODUCT(1+IF(Rend_j[[Week,Year]:[Week,Year]]='Rend hebdo'!$A37,Rend_j[Allemagne]))-1</f>
        <v>-1.0602473577803084E-2</v>
      </c>
      <c r="M37" s="10">
        <f>VALUE(LEFT(Rend_h[[#This Row],[Week,Year]],FIND(",",Rend_h[[#This Row],[Week,Year]])-1))</f>
        <v>33</v>
      </c>
      <c r="N37" s="10">
        <f>VALUE(RIGHT(Rend_h[[#This Row],[Week,Year]],4))</f>
        <v>2021</v>
      </c>
    </row>
    <row r="38" spans="1:14" x14ac:dyDescent="0.25">
      <c r="A38" s="62" t="s">
        <v>62</v>
      </c>
      <c r="B38" s="6" cm="1">
        <f t="array" ref="B38">PRODUCT(1+IF(Rend_j[[Week,Year]:[Week,Year]]='Rend hebdo'!$A38,Rend_j[Chine]))-1</f>
        <v>2.8529362341688902E-2</v>
      </c>
      <c r="C38" s="6" cm="1">
        <f t="array" ref="C38">PRODUCT(1+IF(Rend_j[[Week,Year]:[Week,Year]]='Rend hebdo'!$A38,Rend_j[DM]))-1</f>
        <v>8.2255165550126907E-3</v>
      </c>
      <c r="D38" s="6" cm="1">
        <f t="array" ref="D38">PRODUCT(1+IF(Rend_j[[Week,Year]:[Week,Year]]='Rend hebdo'!$A38,Rend_j[EM ex China]))-1</f>
        <v>3.0444824917605473E-2</v>
      </c>
      <c r="E38" s="6" cm="1">
        <f t="array" ref="E38">PRODUCT(1+IF(Rend_j[[Week,Year]:[Week,Year]]='Rend hebdo'!$A38,Rend_j[EM]))-1</f>
        <v>3.3089175620604649E-2</v>
      </c>
      <c r="F38" s="6" cm="1">
        <f t="array" ref="F38">PRODUCT(1+IF(Rend_j[[Week,Year]:[Week,Year]]='Rend hebdo'!$A38,Rend_j[Japon]))-1</f>
        <v>1.3722106863978123E-2</v>
      </c>
      <c r="G38" s="6" cm="1">
        <f t="array" ref="G38">PRODUCT(1+IF(Rend_j[[Week,Year]:[Week,Year]]='Rend hebdo'!$A38,Rend_j[Monde]))-1</f>
        <v>1.1064002678534468E-2</v>
      </c>
      <c r="H38" s="6" cm="1">
        <f t="array" ref="H38">PRODUCT(1+IF(Rend_j[[Week,Year]:[Week,Year]]='Rend hebdo'!$A38,Rend_j[RU]))-1</f>
        <v>8.3300488937656514E-3</v>
      </c>
      <c r="I38" s="6" cm="1">
        <f t="array" ref="I38">PRODUCT(1+IF(Rend_j[[Week,Year]:[Week,Year]]='Rend hebdo'!$A38,Rend_j[US]))-1</f>
        <v>1.9894766167551037E-2</v>
      </c>
      <c r="J38" s="6" cm="1">
        <f t="array" ref="J38">PRODUCT(1+IF(Rend_j[[Week,Year]:[Week,Year]]='Rend hebdo'!$A38,Rend_j[France]))-1</f>
        <v>8.4227488155066421E-3</v>
      </c>
      <c r="K38" s="6" cm="1">
        <f t="array" ref="K38">PRODUCT(1+IF(Rend_j[[Week,Year]:[Week,Year]]='Rend hebdo'!$A38,Rend_j[Europe]))-1</f>
        <v>7.5512117973861592E-3</v>
      </c>
      <c r="L38" s="6" cm="1">
        <f t="array" ref="L38">PRODUCT(1+IF(Rend_j[[Week,Year]:[Week,Year]]='Rend hebdo'!$A38,Rend_j[Allemagne]))-1</f>
        <v>2.7650461340811283E-3</v>
      </c>
      <c r="M38" s="10">
        <f>VALUE(LEFT(Rend_h[[#This Row],[Week,Year]],FIND(",",Rend_h[[#This Row],[Week,Year]])-1))</f>
        <v>34</v>
      </c>
      <c r="N38" s="10">
        <f>VALUE(RIGHT(Rend_h[[#This Row],[Week,Year]],4))</f>
        <v>2021</v>
      </c>
    </row>
    <row r="39" spans="1:14" x14ac:dyDescent="0.25">
      <c r="A39" s="61" t="s">
        <v>63</v>
      </c>
      <c r="B39" s="6" cm="1">
        <f t="array" ref="B39">PRODUCT(1+IF(Rend_j[[Week,Year]:[Week,Year]]='Rend hebdo'!$A39,Rend_j[Chine]))-1</f>
        <v>1.9826841192793765E-2</v>
      </c>
      <c r="C39" s="6" cm="1">
        <f t="array" ref="C39">PRODUCT(1+IF(Rend_j[[Week,Year]:[Week,Year]]='Rend hebdo'!$A39,Rend_j[DM]))-1</f>
        <v>1.5985325912803994E-3</v>
      </c>
      <c r="D39" s="6" cm="1">
        <f t="array" ref="D39">PRODUCT(1+IF(Rend_j[[Week,Year]:[Week,Year]]='Rend hebdo'!$A39,Rend_j[EM ex China]))-1</f>
        <v>2.1019399176477327E-2</v>
      </c>
      <c r="E39" s="6" cm="1">
        <f t="array" ref="E39">PRODUCT(1+IF(Rend_j[[Week,Year]:[Week,Year]]='Rend hebdo'!$A39,Rend_j[EM]))-1</f>
        <v>2.5710250382565025E-2</v>
      </c>
      <c r="F39" s="6" cm="1">
        <f t="array" ref="F39">PRODUCT(1+IF(Rend_j[[Week,Year]:[Week,Year]]='Rend hebdo'!$A39,Rend_j[Japon]))-1</f>
        <v>4.0811027574706893E-2</v>
      </c>
      <c r="G39" s="6" cm="1">
        <f t="array" ref="G39">PRODUCT(1+IF(Rend_j[[Week,Year]:[Week,Year]]='Rend hebdo'!$A39,Rend_j[Monde]))-1</f>
        <v>4.4128918953112439E-3</v>
      </c>
      <c r="H39" s="6" cm="1">
        <f t="array" ref="H39">PRODUCT(1+IF(Rend_j[[Week,Year]:[Week,Year]]='Rend hebdo'!$A39,Rend_j[RU]))-1</f>
        <v>-1.0669878194360383E-3</v>
      </c>
      <c r="I39" s="6" cm="1">
        <f t="array" ref="I39">PRODUCT(1+IF(Rend_j[[Week,Year]:[Week,Year]]='Rend hebdo'!$A39,Rend_j[US]))-1</f>
        <v>5.998698163468541E-3</v>
      </c>
      <c r="J39" s="6" cm="1">
        <f t="array" ref="J39">PRODUCT(1+IF(Rend_j[[Week,Year]:[Week,Year]]='Rend hebdo'!$A39,Rend_j[France]))-1</f>
        <v>1.2077834056989367E-3</v>
      </c>
      <c r="K39" s="6" cm="1">
        <f t="array" ref="K39">PRODUCT(1+IF(Rend_j[[Week,Year]:[Week,Year]]='Rend hebdo'!$A39,Rend_j[Europe]))-1</f>
        <v>-8.6802515872463903E-4</v>
      </c>
      <c r="L39" s="6" cm="1">
        <f t="array" ref="L39">PRODUCT(1+IF(Rend_j[[Week,Year]:[Week,Year]]='Rend hebdo'!$A39,Rend_j[Allemagne]))-1</f>
        <v>-4.4506000914725785E-3</v>
      </c>
      <c r="M39" s="10">
        <f>VALUE(LEFT(Rend_h[[#This Row],[Week,Year]],FIND(",",Rend_h[[#This Row],[Week,Year]])-1))</f>
        <v>35</v>
      </c>
      <c r="N39" s="10">
        <f>VALUE(RIGHT(Rend_h[[#This Row],[Week,Year]],4))</f>
        <v>2021</v>
      </c>
    </row>
    <row r="40" spans="1:14" x14ac:dyDescent="0.25">
      <c r="A40" s="62" t="s">
        <v>64</v>
      </c>
      <c r="B40" s="6" cm="1">
        <f t="array" ref="B40">PRODUCT(1+IF(Rend_j[[Week,Year]:[Week,Year]]='Rend hebdo'!$A40,Rend_j[Chine]))-1</f>
        <v>2.5219958285877864E-2</v>
      </c>
      <c r="C40" s="6" cm="1">
        <f t="array" ref="C40">PRODUCT(1+IF(Rend_j[[Week,Year]:[Week,Year]]='Rend hebdo'!$A40,Rend_j[DM]))-1</f>
        <v>-9.3699550992342173E-3</v>
      </c>
      <c r="D40" s="6" cm="1">
        <f t="array" ref="D40">PRODUCT(1+IF(Rend_j[[Week,Year]:[Week,Year]]='Rend hebdo'!$A40,Rend_j[EM ex China]))-1</f>
        <v>-9.1209983657982718E-3</v>
      </c>
      <c r="E40" s="6" cm="1">
        <f t="array" ref="E40">PRODUCT(1+IF(Rend_j[[Week,Year]:[Week,Year]]='Rend hebdo'!$A40,Rend_j[EM]))-1</f>
        <v>-1.3907566405756411E-3</v>
      </c>
      <c r="F40" s="6" cm="1">
        <f t="array" ref="F40">PRODUCT(1+IF(Rend_j[[Week,Year]:[Week,Year]]='Rend hebdo'!$A40,Rend_j[Japon]))-1</f>
        <v>3.8989045591626637E-2</v>
      </c>
      <c r="G40" s="6" cm="1">
        <f t="array" ref="G40">PRODUCT(1+IF(Rend_j[[Week,Year]:[Week,Year]]='Rend hebdo'!$A40,Rend_j[Monde]))-1</f>
        <v>-8.4165604718015041E-3</v>
      </c>
      <c r="H40" s="6" cm="1">
        <f t="array" ref="H40">PRODUCT(1+IF(Rend_j[[Week,Year]:[Week,Year]]='Rend hebdo'!$A40,Rend_j[RU]))-1</f>
        <v>-1.2933860699253508E-2</v>
      </c>
      <c r="I40" s="6" cm="1">
        <f t="array" ref="I40">PRODUCT(1+IF(Rend_j[[Week,Year]:[Week,Year]]='Rend hebdo'!$A40,Rend_j[US]))-1</f>
        <v>-1.8422273086447394E-2</v>
      </c>
      <c r="J40" s="6" cm="1">
        <f t="array" ref="J40">PRODUCT(1+IF(Rend_j[[Week,Year]:[Week,Year]]='Rend hebdo'!$A40,Rend_j[France]))-1</f>
        <v>-3.9193202206398992E-3</v>
      </c>
      <c r="K40" s="6" cm="1">
        <f t="array" ref="K40">PRODUCT(1+IF(Rend_j[[Week,Year]:[Week,Year]]='Rend hebdo'!$A40,Rend_j[Europe]))-1</f>
        <v>-1.1844970828120527E-2</v>
      </c>
      <c r="L40" s="6" cm="1">
        <f t="array" ref="L40">PRODUCT(1+IF(Rend_j[[Week,Year]:[Week,Year]]='Rend hebdo'!$A40,Rend_j[Allemagne]))-1</f>
        <v>-1.0860430628083506E-2</v>
      </c>
      <c r="M40" s="10">
        <f>VALUE(LEFT(Rend_h[[#This Row],[Week,Year]],FIND(",",Rend_h[[#This Row],[Week,Year]])-1))</f>
        <v>36</v>
      </c>
      <c r="N40" s="10">
        <f>VALUE(RIGHT(Rend_h[[#This Row],[Week,Year]],4))</f>
        <v>2021</v>
      </c>
    </row>
    <row r="41" spans="1:14" x14ac:dyDescent="0.25">
      <c r="A41" s="61" t="s">
        <v>65</v>
      </c>
      <c r="B41" s="6" cm="1">
        <f t="array" ref="B41">PRODUCT(1+IF(Rend_j[[Week,Year]:[Week,Year]]='Rend hebdo'!$A41,Rend_j[Chine]))-1</f>
        <v>-3.2459841835311143E-2</v>
      </c>
      <c r="C41" s="6" cm="1">
        <f t="array" ref="C41">PRODUCT(1+IF(Rend_j[[Week,Year]:[Week,Year]]='Rend hebdo'!$A41,Rend_j[DM]))-1</f>
        <v>8.5379661079798552E-5</v>
      </c>
      <c r="D41" s="6" cm="1">
        <f t="array" ref="D41">PRODUCT(1+IF(Rend_j[[Week,Year]:[Week,Year]]='Rend hebdo'!$A41,Rend_j[EM ex China]))-1</f>
        <v>-7.323074659534301E-4</v>
      </c>
      <c r="E41" s="6" cm="1">
        <f t="array" ref="E41">PRODUCT(1+IF(Rend_j[[Week,Year]:[Week,Year]]='Rend hebdo'!$A41,Rend_j[EM]))-1</f>
        <v>-1.4490918717340762E-2</v>
      </c>
      <c r="F41" s="6" cm="1">
        <f t="array" ref="F41">PRODUCT(1+IF(Rend_j[[Week,Year]:[Week,Year]]='Rend hebdo'!$A41,Rend_j[Japon]))-1</f>
        <v>1.1167610195446542E-2</v>
      </c>
      <c r="G41" s="6" cm="1">
        <f t="array" ref="G41">PRODUCT(1+IF(Rend_j[[Week,Year]:[Week,Year]]='Rend hebdo'!$A41,Rend_j[Monde]))-1</f>
        <v>-1.666218356794924E-3</v>
      </c>
      <c r="H41" s="6" cm="1">
        <f t="array" ref="H41">PRODUCT(1+IF(Rend_j[[Week,Year]:[Week,Year]]='Rend hebdo'!$A41,Rend_j[RU]))-1</f>
        <v>-9.1391225156692846E-3</v>
      </c>
      <c r="I41" s="6" cm="1">
        <f t="array" ref="I41">PRODUCT(1+IF(Rend_j[[Week,Year]:[Week,Year]]='Rend hebdo'!$A41,Rend_j[US]))-1</f>
        <v>-4.3307201341113988E-3</v>
      </c>
      <c r="J41" s="6" cm="1">
        <f t="array" ref="J41">PRODUCT(1+IF(Rend_j[[Week,Year]:[Week,Year]]='Rend hebdo'!$A41,Rend_j[France]))-1</f>
        <v>-1.40431135407042E-2</v>
      </c>
      <c r="K41" s="6" cm="1">
        <f t="array" ref="K41">PRODUCT(1+IF(Rend_j[[Week,Year]:[Week,Year]]='Rend hebdo'!$A41,Rend_j[Europe]))-1</f>
        <v>-9.6496119539358771E-3</v>
      </c>
      <c r="L41" s="6" cm="1">
        <f t="array" ref="L41">PRODUCT(1+IF(Rend_j[[Week,Year]:[Week,Year]]='Rend hebdo'!$A41,Rend_j[Allemagne]))-1</f>
        <v>-7.664388823162227E-3</v>
      </c>
      <c r="M41" s="10">
        <f>VALUE(LEFT(Rend_h[[#This Row],[Week,Year]],FIND(",",Rend_h[[#This Row],[Week,Year]])-1))</f>
        <v>37</v>
      </c>
      <c r="N41" s="10">
        <f>VALUE(RIGHT(Rend_h[[#This Row],[Week,Year]],4))</f>
        <v>2021</v>
      </c>
    </row>
    <row r="42" spans="1:14" x14ac:dyDescent="0.25">
      <c r="A42" s="62" t="s">
        <v>66</v>
      </c>
      <c r="B42" s="6" cm="1">
        <f t="array" ref="B42">PRODUCT(1+IF(Rend_j[[Week,Year]:[Week,Year]]='Rend hebdo'!$A42,Rend_j[Chine]))-1</f>
        <v>-1.6597317673838763E-2</v>
      </c>
      <c r="C42" s="6" cm="1">
        <f t="array" ref="C42">PRODUCT(1+IF(Rend_j[[Week,Year]:[Week,Year]]='Rend hebdo'!$A42,Rend_j[DM]))-1</f>
        <v>4.2463475472147572E-3</v>
      </c>
      <c r="D42" s="6" cm="1">
        <f t="array" ref="D42">PRODUCT(1+IF(Rend_j[[Week,Year]:[Week,Year]]='Rend hebdo'!$A42,Rend_j[EM ex China]))-1</f>
        <v>-2.5575447570325149E-4</v>
      </c>
      <c r="E42" s="6" cm="1">
        <f t="array" ref="E42">PRODUCT(1+IF(Rend_j[[Week,Year]:[Week,Year]]='Rend hebdo'!$A42,Rend_j[EM]))-1</f>
        <v>-9.1494107891574306E-3</v>
      </c>
      <c r="F42" s="6" cm="1">
        <f t="array" ref="F42">PRODUCT(1+IF(Rend_j[[Week,Year]:[Week,Year]]='Rend hebdo'!$A42,Rend_j[Japon]))-1</f>
        <v>-9.0127170070180007E-3</v>
      </c>
      <c r="G42" s="6" cm="1">
        <f t="array" ref="G42">PRODUCT(1+IF(Rend_j[[Week,Year]:[Week,Year]]='Rend hebdo'!$A42,Rend_j[Monde]))-1</f>
        <v>2.6494427937402421E-3</v>
      </c>
      <c r="H42" s="6" cm="1">
        <f t="array" ref="H42">PRODUCT(1+IF(Rend_j[[Week,Year]:[Week,Year]]='Rend hebdo'!$A42,Rend_j[RU]))-1</f>
        <v>9.5153651521375782E-3</v>
      </c>
      <c r="I42" s="6" cm="1">
        <f t="array" ref="I42">PRODUCT(1+IF(Rend_j[[Week,Year]:[Week,Year]]='Rend hebdo'!$A42,Rend_j[US]))-1</f>
        <v>5.0340977206539961E-3</v>
      </c>
      <c r="J42" s="6" cm="1">
        <f t="array" ref="J42">PRODUCT(1+IF(Rend_j[[Week,Year]:[Week,Year]]='Rend hebdo'!$A42,Rend_j[France]))-1</f>
        <v>1.0390874634228497E-2</v>
      </c>
      <c r="K42" s="6" cm="1">
        <f t="array" ref="K42">PRODUCT(1+IF(Rend_j[[Week,Year]:[Week,Year]]='Rend hebdo'!$A42,Rend_j[Europe]))-1</f>
        <v>3.139643626707489E-3</v>
      </c>
      <c r="L42" s="6" cm="1">
        <f t="array" ref="L42">PRODUCT(1+IF(Rend_j[[Week,Year]:[Week,Year]]='Rend hebdo'!$A42,Rend_j[Allemagne]))-1</f>
        <v>2.6842881785507089E-3</v>
      </c>
      <c r="M42" s="10">
        <f>VALUE(LEFT(Rend_h[[#This Row],[Week,Year]],FIND(",",Rend_h[[#This Row],[Week,Year]])-1))</f>
        <v>38</v>
      </c>
      <c r="N42" s="10">
        <f>VALUE(RIGHT(Rend_h[[#This Row],[Week,Year]],4))</f>
        <v>2021</v>
      </c>
    </row>
    <row r="43" spans="1:14" x14ac:dyDescent="0.25">
      <c r="A43" s="61" t="s">
        <v>67</v>
      </c>
      <c r="B43" s="6" cm="1">
        <f t="array" ref="B43">PRODUCT(1+IF(Rend_j[[Week,Year]:[Week,Year]]='Rend hebdo'!$A43,Rend_j[Chine]))-1</f>
        <v>1.1998170230582028E-2</v>
      </c>
      <c r="C43" s="6" cm="1">
        <f t="array" ref="C43">PRODUCT(1+IF(Rend_j[[Week,Year]:[Week,Year]]='Rend hebdo'!$A43,Rend_j[DM]))-1</f>
        <v>-1.6178036015257691E-2</v>
      </c>
      <c r="D43" s="6" cm="1">
        <f t="array" ref="D43">PRODUCT(1+IF(Rend_j[[Week,Year]:[Week,Year]]='Rend hebdo'!$A43,Rend_j[EM ex China]))-1</f>
        <v>-1.4041404570808269E-2</v>
      </c>
      <c r="E43" s="6" cm="1">
        <f t="array" ref="E43">PRODUCT(1+IF(Rend_j[[Week,Year]:[Week,Year]]='Rend hebdo'!$A43,Rend_j[EM]))-1</f>
        <v>-4.6841333528211404E-3</v>
      </c>
      <c r="F43" s="6" cm="1">
        <f t="array" ref="F43">PRODUCT(1+IF(Rend_j[[Week,Year]:[Week,Year]]='Rend hebdo'!$A43,Rend_j[Japon]))-1</f>
        <v>-4.2459611718725032E-2</v>
      </c>
      <c r="G43" s="6" cm="1">
        <f t="array" ref="G43">PRODUCT(1+IF(Rend_j[[Week,Year]:[Week,Year]]='Rend hebdo'!$A43,Rend_j[Monde]))-1</f>
        <v>-1.482454634350272E-2</v>
      </c>
      <c r="H43" s="6" cm="1">
        <f t="array" ref="H43">PRODUCT(1+IF(Rend_j[[Week,Year]:[Week,Year]]='Rend hebdo'!$A43,Rend_j[RU]))-1</f>
        <v>-8.9972365630541784E-4</v>
      </c>
      <c r="I43" s="6" cm="1">
        <f t="array" ref="I43">PRODUCT(1+IF(Rend_j[[Week,Year]:[Week,Year]]='Rend hebdo'!$A43,Rend_j[US]))-1</f>
        <v>-2.1482133093808753E-2</v>
      </c>
      <c r="J43" s="6" cm="1">
        <f t="array" ref="J43">PRODUCT(1+IF(Rend_j[[Week,Year]:[Week,Year]]='Rend hebdo'!$A43,Rend_j[France]))-1</f>
        <v>-1.8192475470140024E-2</v>
      </c>
      <c r="K43" s="6" cm="1">
        <f t="array" ref="K43">PRODUCT(1+IF(Rend_j[[Week,Year]:[Week,Year]]='Rend hebdo'!$A43,Rend_j[Europe]))-1</f>
        <v>-2.242658982097756E-2</v>
      </c>
      <c r="L43" s="6" cm="1">
        <f t="array" ref="L43">PRODUCT(1+IF(Rend_j[[Week,Year]:[Week,Year]]='Rend hebdo'!$A43,Rend_j[Allemagne]))-1</f>
        <v>-2.4164023371480936E-2</v>
      </c>
      <c r="M43" s="10">
        <f>VALUE(LEFT(Rend_h[[#This Row],[Week,Year]],FIND(",",Rend_h[[#This Row],[Week,Year]])-1))</f>
        <v>39</v>
      </c>
      <c r="N43" s="10">
        <f>VALUE(RIGHT(Rend_h[[#This Row],[Week,Year]],4))</f>
        <v>2021</v>
      </c>
    </row>
    <row r="44" spans="1:14" x14ac:dyDescent="0.25">
      <c r="A44" s="62" t="s">
        <v>68</v>
      </c>
      <c r="B44" s="6" cm="1">
        <f t="array" ref="B44">PRODUCT(1+IF(Rend_j[[Week,Year]:[Week,Year]]='Rend hebdo'!$A44,Rend_j[Chine]))-1</f>
        <v>1.7877732703571736E-2</v>
      </c>
      <c r="C44" s="6" cm="1">
        <f t="array" ref="C44">PRODUCT(1+IF(Rend_j[[Week,Year]:[Week,Year]]='Rend hebdo'!$A44,Rend_j[DM]))-1</f>
        <v>8.8776181083873862E-3</v>
      </c>
      <c r="D44" s="6" cm="1">
        <f t="array" ref="D44">PRODUCT(1+IF(Rend_j[[Week,Year]:[Week,Year]]='Rend hebdo'!$A44,Rend_j[EM ex China]))-1</f>
        <v>4.2212468779556644E-3</v>
      </c>
      <c r="E44" s="6" cm="1">
        <f t="array" ref="E44">PRODUCT(1+IF(Rend_j[[Week,Year]:[Week,Year]]='Rend hebdo'!$A44,Rend_j[EM]))-1</f>
        <v>1.033606419539046E-2</v>
      </c>
      <c r="F44" s="6" cm="1">
        <f t="array" ref="F44">PRODUCT(1+IF(Rend_j[[Week,Year]:[Week,Year]]='Rend hebdo'!$A44,Rend_j[Japon]))-1</f>
        <v>-2.1053451075472185E-2</v>
      </c>
      <c r="G44" s="6" cm="1">
        <f t="array" ref="G44">PRODUCT(1+IF(Rend_j[[Week,Year]:[Week,Year]]='Rend hebdo'!$A44,Rend_j[Monde]))-1</f>
        <v>9.0505451542264304E-3</v>
      </c>
      <c r="H44" s="6" cm="1">
        <f t="array" ref="H44">PRODUCT(1+IF(Rend_j[[Week,Year]:[Week,Year]]='Rend hebdo'!$A44,Rend_j[RU]))-1</f>
        <v>2.0069040931409265E-2</v>
      </c>
      <c r="I44" s="6" cm="1">
        <f t="array" ref="I44">PRODUCT(1+IF(Rend_j[[Week,Year]:[Week,Year]]='Rend hebdo'!$A44,Rend_j[US]))-1</f>
        <v>6.5301545493885449E-3</v>
      </c>
      <c r="J44" s="6" cm="1">
        <f t="array" ref="J44">PRODUCT(1+IF(Rend_j[[Week,Year]:[Week,Year]]='Rend hebdo'!$A44,Rend_j[France]))-1</f>
        <v>6.490074456274364E-3</v>
      </c>
      <c r="K44" s="6" cm="1">
        <f t="array" ref="K44">PRODUCT(1+IF(Rend_j[[Week,Year]:[Week,Year]]='Rend hebdo'!$A44,Rend_j[Europe]))-1</f>
        <v>9.6931222304235121E-3</v>
      </c>
      <c r="L44" s="6" cm="1">
        <f t="array" ref="L44">PRODUCT(1+IF(Rend_j[[Week,Year]:[Week,Year]]='Rend hebdo'!$A44,Rend_j[Allemagne]))-1</f>
        <v>3.2784379834758237E-3</v>
      </c>
      <c r="M44" s="10">
        <f>VALUE(LEFT(Rend_h[[#This Row],[Week,Year]],FIND(",",Rend_h[[#This Row],[Week,Year]])-1))</f>
        <v>40</v>
      </c>
      <c r="N44" s="10">
        <f>VALUE(RIGHT(Rend_h[[#This Row],[Week,Year]],4))</f>
        <v>2021</v>
      </c>
    </row>
    <row r="45" spans="1:14" x14ac:dyDescent="0.25">
      <c r="A45" s="61" t="s">
        <v>69</v>
      </c>
      <c r="B45" s="6" cm="1">
        <f t="array" ref="B45">PRODUCT(1+IF(Rend_j[[Week,Year]:[Week,Year]]='Rend hebdo'!$A45,Rend_j[Chine]))-1</f>
        <v>1.259092859210309E-2</v>
      </c>
      <c r="C45" s="6" cm="1">
        <f t="array" ref="C45">PRODUCT(1+IF(Rend_j[[Week,Year]:[Week,Year]]='Rend hebdo'!$A45,Rend_j[DM]))-1</f>
        <v>1.8820427648973181E-2</v>
      </c>
      <c r="D45" s="6" cm="1">
        <f t="array" ref="D45">PRODUCT(1+IF(Rend_j[[Week,Year]:[Week,Year]]='Rend hebdo'!$A45,Rend_j[EM ex China]))-1</f>
        <v>1.8529894419830661E-2</v>
      </c>
      <c r="E45" s="6" cm="1">
        <f t="array" ref="E45">PRODUCT(1+IF(Rend_j[[Week,Year]:[Week,Year]]='Rend hebdo'!$A45,Rend_j[EM]))-1</f>
        <v>1.8414112406962335E-2</v>
      </c>
      <c r="F45" s="6" cm="1">
        <f t="array" ref="F45">PRODUCT(1+IF(Rend_j[[Week,Year]:[Week,Year]]='Rend hebdo'!$A45,Rend_j[Japon]))-1</f>
        <v>1.3195714659001823E-2</v>
      </c>
      <c r="G45" s="6" cm="1">
        <f t="array" ref="G45">PRODUCT(1+IF(Rend_j[[Week,Year]:[Week,Year]]='Rend hebdo'!$A45,Rend_j[Monde]))-1</f>
        <v>1.8768467173016168E-2</v>
      </c>
      <c r="H45" s="6" cm="1">
        <f t="array" ref="H45">PRODUCT(1+IF(Rend_j[[Week,Year]:[Week,Year]]='Rend hebdo'!$A45,Rend_j[RU]))-1</f>
        <v>2.6358381502890049E-2</v>
      </c>
      <c r="I45" s="6" cm="1">
        <f t="array" ref="I45">PRODUCT(1+IF(Rend_j[[Week,Year]:[Week,Year]]='Rend hebdo'!$A45,Rend_j[US]))-1</f>
        <v>1.9496238692700008E-2</v>
      </c>
      <c r="J45" s="6" cm="1">
        <f t="array" ref="J45">PRODUCT(1+IF(Rend_j[[Week,Year]:[Week,Year]]='Rend hebdo'!$A45,Rend_j[France]))-1</f>
        <v>2.5538115153236562E-2</v>
      </c>
      <c r="K45" s="6" cm="1">
        <f t="array" ref="K45">PRODUCT(1+IF(Rend_j[[Week,Year]:[Week,Year]]='Rend hebdo'!$A45,Rend_j[Europe]))-1</f>
        <v>2.6460245712475183E-2</v>
      </c>
      <c r="L45" s="6" cm="1">
        <f t="array" ref="L45">PRODUCT(1+IF(Rend_j[[Week,Year]:[Week,Year]]='Rend hebdo'!$A45,Rend_j[Allemagne]))-1</f>
        <v>2.5070841365192775E-2</v>
      </c>
      <c r="M45" s="10">
        <f>VALUE(LEFT(Rend_h[[#This Row],[Week,Year]],FIND(",",Rend_h[[#This Row],[Week,Year]])-1))</f>
        <v>41</v>
      </c>
      <c r="N45" s="10">
        <f>VALUE(RIGHT(Rend_h[[#This Row],[Week,Year]],4))</f>
        <v>2021</v>
      </c>
    </row>
    <row r="46" spans="1:14" x14ac:dyDescent="0.25">
      <c r="A46" s="62" t="s">
        <v>70</v>
      </c>
      <c r="B46" s="6" cm="1">
        <f t="array" ref="B46">PRODUCT(1+IF(Rend_j[[Week,Year]:[Week,Year]]='Rend hebdo'!$A46,Rend_j[Chine]))-1</f>
        <v>2.3129371220055983E-2</v>
      </c>
      <c r="C46" s="6" cm="1">
        <f t="array" ref="C46">PRODUCT(1+IF(Rend_j[[Week,Year]:[Week,Year]]='Rend hebdo'!$A46,Rend_j[DM]))-1</f>
        <v>9.8394689903211763E-3</v>
      </c>
      <c r="D46" s="6" cm="1">
        <f t="array" ref="D46">PRODUCT(1+IF(Rend_j[[Week,Year]:[Week,Year]]='Rend hebdo'!$A46,Rend_j[EM ex China]))-1</f>
        <v>-1.167460003992371E-2</v>
      </c>
      <c r="E46" s="6" cm="1">
        <f t="array" ref="E46">PRODUCT(1+IF(Rend_j[[Week,Year]:[Week,Year]]='Rend hebdo'!$A46,Rend_j[EM]))-1</f>
        <v>3.8280045116589889E-3</v>
      </c>
      <c r="F46" s="6" cm="1">
        <f t="array" ref="F46">PRODUCT(1+IF(Rend_j[[Week,Year]:[Week,Year]]='Rend hebdo'!$A46,Rend_j[Japon]))-1</f>
        <v>-9.8113419112492162E-3</v>
      </c>
      <c r="G46" s="6" cm="1">
        <f t="array" ref="G46">PRODUCT(1+IF(Rend_j[[Week,Year]:[Week,Year]]='Rend hebdo'!$A46,Rend_j[Monde]))-1</f>
        <v>9.1284319145015225E-3</v>
      </c>
      <c r="H46" s="6" cm="1">
        <f t="array" ref="H46">PRODUCT(1+IF(Rend_j[[Week,Year]:[Week,Year]]='Rend hebdo'!$A46,Rend_j[RU]))-1</f>
        <v>-6.993794671199427E-3</v>
      </c>
      <c r="I46" s="6" cm="1">
        <f t="array" ref="I46">PRODUCT(1+IF(Rend_j[[Week,Year]:[Week,Year]]='Rend hebdo'!$A46,Rend_j[US]))-1</f>
        <v>1.6096397635547932E-2</v>
      </c>
      <c r="J46" s="6" cm="1">
        <f t="array" ref="J46">PRODUCT(1+IF(Rend_j[[Week,Year]:[Week,Year]]='Rend hebdo'!$A46,Rend_j[France]))-1</f>
        <v>9.1711670595651107E-4</v>
      </c>
      <c r="K46" s="6" cm="1">
        <f t="array" ref="K46">PRODUCT(1+IF(Rend_j[[Week,Year]:[Week,Year]]='Rend hebdo'!$A46,Rend_j[Europe]))-1</f>
        <v>5.3047357643514204E-3</v>
      </c>
      <c r="L46" s="6" cm="1">
        <f t="array" ref="L46">PRODUCT(1+IF(Rend_j[[Week,Year]:[Week,Year]]='Rend hebdo'!$A46,Rend_j[Allemagne]))-1</f>
        <v>-2.8471709772206477E-3</v>
      </c>
      <c r="M46" s="10">
        <f>VALUE(LEFT(Rend_h[[#This Row],[Week,Year]],FIND(",",Rend_h[[#This Row],[Week,Year]])-1))</f>
        <v>42</v>
      </c>
      <c r="N46" s="10">
        <f>VALUE(RIGHT(Rend_h[[#This Row],[Week,Year]],4))</f>
        <v>2021</v>
      </c>
    </row>
    <row r="47" spans="1:14" x14ac:dyDescent="0.25">
      <c r="A47" s="61" t="s">
        <v>71</v>
      </c>
      <c r="B47" s="6" cm="1">
        <f t="array" ref="B47">PRODUCT(1+IF(Rend_j[[Week,Year]:[Week,Year]]='Rend hebdo'!$A47,Rend_j[Chine]))-1</f>
        <v>-2.221781176399118E-2</v>
      </c>
      <c r="C47" s="6" cm="1">
        <f t="array" ref="C47">PRODUCT(1+IF(Rend_j[[Week,Year]:[Week,Year]]='Rend hebdo'!$A47,Rend_j[DM]))-1</f>
        <v>1.3920458658481794E-2</v>
      </c>
      <c r="D47" s="6" cm="1">
        <f t="array" ref="D47">PRODUCT(1+IF(Rend_j[[Week,Year]:[Week,Year]]='Rend hebdo'!$A47,Rend_j[EM ex China]))-1</f>
        <v>-3.9445385029082125E-3</v>
      </c>
      <c r="E47" s="6" cm="1">
        <f t="array" ref="E47">PRODUCT(1+IF(Rend_j[[Week,Year]:[Week,Year]]='Rend hebdo'!$A47,Rend_j[EM]))-1</f>
        <v>-1.5696193243184386E-2</v>
      </c>
      <c r="F47" s="6" cm="1">
        <f t="array" ref="F47">PRODUCT(1+IF(Rend_j[[Week,Year]:[Week,Year]]='Rend hebdo'!$A47,Rend_j[Japon]))-1</f>
        <v>2.3723919259404092E-3</v>
      </c>
      <c r="G47" s="6" cm="1">
        <f t="array" ref="G47">PRODUCT(1+IF(Rend_j[[Week,Year]:[Week,Year]]='Rend hebdo'!$A47,Rend_j[Monde]))-1</f>
        <v>1.0426291052379799E-2</v>
      </c>
      <c r="H47" s="6" cm="1">
        <f t="array" ref="H47">PRODUCT(1+IF(Rend_j[[Week,Year]:[Week,Year]]='Rend hebdo'!$A47,Rend_j[RU]))-1</f>
        <v>6.290281000257858E-3</v>
      </c>
      <c r="I47" s="6" cm="1">
        <f t="array" ref="I47">PRODUCT(1+IF(Rend_j[[Week,Year]:[Week,Year]]='Rend hebdo'!$A47,Rend_j[US]))-1</f>
        <v>1.0531127643596427E-2</v>
      </c>
      <c r="J47" s="6" cm="1">
        <f t="array" ref="J47">PRODUCT(1+IF(Rend_j[[Week,Year]:[Week,Year]]='Rend hebdo'!$A47,Rend_j[France]))-1</f>
        <v>1.4353185823350989E-2</v>
      </c>
      <c r="K47" s="6" cm="1">
        <f t="array" ref="K47">PRODUCT(1+IF(Rend_j[[Week,Year]:[Week,Year]]='Rend hebdo'!$A47,Rend_j[Europe]))-1</f>
        <v>7.6926442348412838E-3</v>
      </c>
      <c r="L47" s="6" cm="1">
        <f t="array" ref="L47">PRODUCT(1+IF(Rend_j[[Week,Year]:[Week,Year]]='Rend hebdo'!$A47,Rend_j[Allemagne]))-1</f>
        <v>9.3797364206555933E-3</v>
      </c>
      <c r="M47" s="10">
        <f>VALUE(LEFT(Rend_h[[#This Row],[Week,Year]],FIND(",",Rend_h[[#This Row],[Week,Year]])-1))</f>
        <v>43</v>
      </c>
      <c r="N47" s="10">
        <f>VALUE(RIGHT(Rend_h[[#This Row],[Week,Year]],4))</f>
        <v>2021</v>
      </c>
    </row>
    <row r="48" spans="1:14" x14ac:dyDescent="0.25">
      <c r="A48" s="62" t="s">
        <v>72</v>
      </c>
      <c r="B48" s="6" cm="1">
        <f t="array" ref="B48">PRODUCT(1+IF(Rend_j[[Week,Year]:[Week,Year]]='Rend hebdo'!$A48,Rend_j[Chine]))-1</f>
        <v>-1.7760616195809487E-2</v>
      </c>
      <c r="C48" s="6" cm="1">
        <f t="array" ref="C48">PRODUCT(1+IF(Rend_j[[Week,Year]:[Week,Year]]='Rend hebdo'!$A48,Rend_j[DM]))-1</f>
        <v>1.9708706671902387E-2</v>
      </c>
      <c r="D48" s="6" cm="1">
        <f t="array" ref="D48">PRODUCT(1+IF(Rend_j[[Week,Year]:[Week,Year]]='Rend hebdo'!$A48,Rend_j[EM ex China]))-1</f>
        <v>1.2517706806590256E-2</v>
      </c>
      <c r="E48" s="6" cm="1">
        <f t="array" ref="E48">PRODUCT(1+IF(Rend_j[[Week,Year]:[Week,Year]]='Rend hebdo'!$A48,Rend_j[EM]))-1</f>
        <v>1.0134001789172675E-3</v>
      </c>
      <c r="F48" s="6" cm="1">
        <f t="array" ref="F48">PRODUCT(1+IF(Rend_j[[Week,Year]:[Week,Year]]='Rend hebdo'!$A48,Rend_j[Japon]))-1</f>
        <v>2.8423918569314699E-2</v>
      </c>
      <c r="G48" s="6" cm="1">
        <f t="array" ref="G48">PRODUCT(1+IF(Rend_j[[Week,Year]:[Week,Year]]='Rend hebdo'!$A48,Rend_j[Monde]))-1</f>
        <v>1.7558063047108385E-2</v>
      </c>
      <c r="H48" s="6" cm="1">
        <f t="array" ref="H48">PRODUCT(1+IF(Rend_j[[Week,Year]:[Week,Year]]='Rend hebdo'!$A48,Rend_j[RU]))-1</f>
        <v>-4.6830967874161855E-3</v>
      </c>
      <c r="I48" s="6" cm="1">
        <f t="array" ref="I48">PRODUCT(1+IF(Rend_j[[Week,Year]:[Week,Year]]='Rend hebdo'!$A48,Rend_j[US]))-1</f>
        <v>2.2251757834718999E-2</v>
      </c>
      <c r="J48" s="6" cm="1">
        <f t="array" ref="J48">PRODUCT(1+IF(Rend_j[[Week,Year]:[Week,Year]]='Rend hebdo'!$A48,Rend_j[France]))-1</f>
        <v>3.0811086974664725E-2</v>
      </c>
      <c r="K48" s="6" cm="1">
        <f t="array" ref="K48">PRODUCT(1+IF(Rend_j[[Week,Year]:[Week,Year]]='Rend hebdo'!$A48,Rend_j[Europe]))-1</f>
        <v>1.6676814017017039E-2</v>
      </c>
      <c r="L48" s="6" cm="1">
        <f t="array" ref="L48">PRODUCT(1+IF(Rend_j[[Week,Year]:[Week,Year]]='Rend hebdo'!$A48,Rend_j[Allemagne]))-1</f>
        <v>2.3302708303600372E-2</v>
      </c>
      <c r="M48" s="10">
        <f>VALUE(LEFT(Rend_h[[#This Row],[Week,Year]],FIND(",",Rend_h[[#This Row],[Week,Year]])-1))</f>
        <v>44</v>
      </c>
      <c r="N48" s="10">
        <f>VALUE(RIGHT(Rend_h[[#This Row],[Week,Year]],4))</f>
        <v>2021</v>
      </c>
    </row>
    <row r="49" spans="1:14" x14ac:dyDescent="0.25">
      <c r="A49" s="61" t="s">
        <v>73</v>
      </c>
      <c r="B49" s="6" cm="1">
        <f t="array" ref="B49">PRODUCT(1+IF(Rend_j[[Week,Year]:[Week,Year]]='Rend hebdo'!$A49,Rend_j[Chine]))-1</f>
        <v>3.4891637353908989E-2</v>
      </c>
      <c r="C49" s="6" cm="1">
        <f t="array" ref="C49">PRODUCT(1+IF(Rend_j[[Week,Year]:[Week,Year]]='Rend hebdo'!$A49,Rend_j[DM]))-1</f>
        <v>6.9735446401375523E-3</v>
      </c>
      <c r="D49" s="6" cm="1">
        <f t="array" ref="D49">PRODUCT(1+IF(Rend_j[[Week,Year]:[Week,Year]]='Rend hebdo'!$A49,Rend_j[EM ex China]))-1</f>
        <v>1.7359935076549204E-2</v>
      </c>
      <c r="E49" s="6" cm="1">
        <f t="array" ref="E49">PRODUCT(1+IF(Rend_j[[Week,Year]:[Week,Year]]='Rend hebdo'!$A49,Rend_j[EM]))-1</f>
        <v>2.6712716118626911E-2</v>
      </c>
      <c r="F49" s="6" cm="1">
        <f t="array" ref="F49">PRODUCT(1+IF(Rend_j[[Week,Year]:[Week,Year]]='Rend hebdo'!$A49,Rend_j[Japon]))-1</f>
        <v>5.9923324508694975E-3</v>
      </c>
      <c r="G49" s="6" cm="1">
        <f t="array" ref="G49">PRODUCT(1+IF(Rend_j[[Week,Year]:[Week,Year]]='Rend hebdo'!$A49,Rend_j[Monde]))-1</f>
        <v>9.2065070682674222E-3</v>
      </c>
      <c r="H49" s="6" cm="1">
        <f t="array" ref="H49">PRODUCT(1+IF(Rend_j[[Week,Year]:[Week,Year]]='Rend hebdo'!$A49,Rend_j[RU]))-1</f>
        <v>8.57631167119699E-3</v>
      </c>
      <c r="I49" s="6" cm="1">
        <f t="array" ref="I49">PRODUCT(1+IF(Rend_j[[Week,Year]:[Week,Year]]='Rend hebdo'!$A49,Rend_j[US]))-1</f>
        <v>-3.1826548830689028E-3</v>
      </c>
      <c r="J49" s="6" cm="1">
        <f t="array" ref="J49">PRODUCT(1+IF(Rend_j[[Week,Year]:[Week,Year]]='Rend hebdo'!$A49,Rend_j[France]))-1</f>
        <v>7.1880943359567961E-3</v>
      </c>
      <c r="K49" s="6" cm="1">
        <f t="array" ref="K49">PRODUCT(1+IF(Rend_j[[Week,Year]:[Week,Year]]='Rend hebdo'!$A49,Rend_j[Europe]))-1</f>
        <v>6.8467606865516561E-3</v>
      </c>
      <c r="L49" s="6" cm="1">
        <f t="array" ref="L49">PRODUCT(1+IF(Rend_j[[Week,Year]:[Week,Year]]='Rend hebdo'!$A49,Rend_j[Allemagne]))-1</f>
        <v>2.4734688355241286E-3</v>
      </c>
      <c r="M49" s="10">
        <f>VALUE(LEFT(Rend_h[[#This Row],[Week,Year]],FIND(",",Rend_h[[#This Row],[Week,Year]])-1))</f>
        <v>45</v>
      </c>
      <c r="N49" s="10">
        <f>VALUE(RIGHT(Rend_h[[#This Row],[Week,Year]],4))</f>
        <v>2021</v>
      </c>
    </row>
    <row r="50" spans="1:14" x14ac:dyDescent="0.25">
      <c r="A50" s="62" t="s">
        <v>74</v>
      </c>
      <c r="B50" s="6" cm="1">
        <f t="array" ref="B50">PRODUCT(1+IF(Rend_j[[Week,Year]:[Week,Year]]='Rend hebdo'!$A50,Rend_j[Chine]))-1</f>
        <v>4.5086576526776057E-4</v>
      </c>
      <c r="C50" s="6" cm="1">
        <f t="array" ref="C50">PRODUCT(1+IF(Rend_j[[Week,Year]:[Week,Year]]='Rend hebdo'!$A50,Rend_j[DM]))-1</f>
        <v>9.995028559707686E-3</v>
      </c>
      <c r="D50" s="6" cm="1">
        <f t="array" ref="D50">PRODUCT(1+IF(Rend_j[[Week,Year]:[Week,Year]]='Rend hebdo'!$A50,Rend_j[EM ex China]))-1</f>
        <v>2.7800098332528833E-3</v>
      </c>
      <c r="E50" s="6" cm="1">
        <f t="array" ref="E50">PRODUCT(1+IF(Rend_j[[Week,Year]:[Week,Year]]='Rend hebdo'!$A50,Rend_j[EM]))-1</f>
        <v>-1.5663215923439333E-3</v>
      </c>
      <c r="F50" s="6" cm="1">
        <f t="array" ref="F50">PRODUCT(1+IF(Rend_j[[Week,Year]:[Week,Year]]='Rend hebdo'!$A50,Rend_j[Japon]))-1</f>
        <v>1.7995490207854514E-2</v>
      </c>
      <c r="G50" s="6" cm="1">
        <f t="array" ref="G50">PRODUCT(1+IF(Rend_j[[Week,Year]:[Week,Year]]='Rend hebdo'!$A50,Rend_j[Monde]))-1</f>
        <v>8.6649866963242062E-3</v>
      </c>
      <c r="H50" s="6" cm="1">
        <f t="array" ref="H50">PRODUCT(1+IF(Rend_j[[Week,Year]:[Week,Year]]='Rend hebdo'!$A50,Rend_j[RU]))-1</f>
        <v>-1.3576831596248118E-3</v>
      </c>
      <c r="I50" s="6" cm="1">
        <f t="array" ref="I50">PRODUCT(1+IF(Rend_j[[Week,Year]:[Week,Year]]='Rend hebdo'!$A50,Rend_j[US]))-1</f>
        <v>-7.8698419110945217E-4</v>
      </c>
      <c r="J50" s="6" cm="1">
        <f t="array" ref="J50">PRODUCT(1+IF(Rend_j[[Week,Year]:[Week,Year]]='Rend hebdo'!$A50,Rend_j[France]))-1</f>
        <v>2.9458410594089823E-3</v>
      </c>
      <c r="K50" s="6" cm="1">
        <f t="array" ref="K50">PRODUCT(1+IF(Rend_j[[Week,Year]:[Week,Year]]='Rend hebdo'!$A50,Rend_j[Europe]))-1</f>
        <v>-1.3765033384695036E-3</v>
      </c>
      <c r="L50" s="6" cm="1">
        <f t="array" ref="L50">PRODUCT(1+IF(Rend_j[[Week,Year]:[Week,Year]]='Rend hebdo'!$A50,Rend_j[Allemagne]))-1</f>
        <v>4.0946397480976504E-3</v>
      </c>
      <c r="M50" s="10">
        <f>VALUE(LEFT(Rend_h[[#This Row],[Week,Year]],FIND(",",Rend_h[[#This Row],[Week,Year]])-1))</f>
        <v>46</v>
      </c>
      <c r="N50" s="10">
        <f>VALUE(RIGHT(Rend_h[[#This Row],[Week,Year]],4))</f>
        <v>2021</v>
      </c>
    </row>
    <row r="51" spans="1:14" x14ac:dyDescent="0.25">
      <c r="A51" s="61" t="s">
        <v>75</v>
      </c>
      <c r="B51" s="6" cm="1">
        <f t="array" ref="B51">PRODUCT(1+IF(Rend_j[[Week,Year]:[Week,Year]]='Rend hebdo'!$A51,Rend_j[Chine]))-1</f>
        <v>-2.2911061059631255E-2</v>
      </c>
      <c r="C51" s="6" cm="1">
        <f t="array" ref="C51">PRODUCT(1+IF(Rend_j[[Week,Year]:[Week,Year]]='Rend hebdo'!$A51,Rend_j[DM]))-1</f>
        <v>-2.7134291162681734E-2</v>
      </c>
      <c r="D51" s="6" cm="1">
        <f t="array" ref="D51">PRODUCT(1+IF(Rend_j[[Week,Year]:[Week,Year]]='Rend hebdo'!$A51,Rend_j[EM ex China]))-1</f>
        <v>-3.6239040532834221E-2</v>
      </c>
      <c r="E51" s="6" cm="1">
        <f t="array" ref="E51">PRODUCT(1+IF(Rend_j[[Week,Year]:[Week,Year]]='Rend hebdo'!$A51,Rend_j[EM]))-1</f>
        <v>-3.6143210661339076E-2</v>
      </c>
      <c r="F51" s="6" cm="1">
        <f t="array" ref="F51">PRODUCT(1+IF(Rend_j[[Week,Year]:[Week,Year]]='Rend hebdo'!$A51,Rend_j[Japon]))-1</f>
        <v>-2.2429244903541479E-2</v>
      </c>
      <c r="G51" s="6" cm="1">
        <f t="array" ref="G51">PRODUCT(1+IF(Rend_j[[Week,Year]:[Week,Year]]='Rend hebdo'!$A51,Rend_j[Monde]))-1</f>
        <v>-2.8161789849054819E-2</v>
      </c>
      <c r="H51" s="6" cm="1">
        <f t="array" ref="H51">PRODUCT(1+IF(Rend_j[[Week,Year]:[Week,Year]]='Rend hebdo'!$A51,Rend_j[RU]))-1</f>
        <v>-3.2843357729893441E-2</v>
      </c>
      <c r="I51" s="6" cm="1">
        <f t="array" ref="I51">PRODUCT(1+IF(Rend_j[[Week,Year]:[Week,Year]]='Rend hebdo'!$A51,Rend_j[US]))-1</f>
        <v>-2.4345971484970086E-2</v>
      </c>
      <c r="J51" s="6" cm="1">
        <f t="array" ref="J51">PRODUCT(1+IF(Rend_j[[Week,Year]:[Week,Year]]='Rend hebdo'!$A51,Rend_j[France]))-1</f>
        <v>-5.238257396099999E-2</v>
      </c>
      <c r="K51" s="6" cm="1">
        <f t="array" ref="K51">PRODUCT(1+IF(Rend_j[[Week,Year]:[Week,Year]]='Rend hebdo'!$A51,Rend_j[Europe]))-1</f>
        <v>-4.532175689018858E-2</v>
      </c>
      <c r="L51" s="6" cm="1">
        <f t="array" ref="L51">PRODUCT(1+IF(Rend_j[[Week,Year]:[Week,Year]]='Rend hebdo'!$A51,Rend_j[Allemagne]))-1</f>
        <v>-5.5874466665848055E-2</v>
      </c>
      <c r="M51" s="10">
        <f>VALUE(LEFT(Rend_h[[#This Row],[Week,Year]],FIND(",",Rend_h[[#This Row],[Week,Year]])-1))</f>
        <v>47</v>
      </c>
      <c r="N51" s="10">
        <f>VALUE(RIGHT(Rend_h[[#This Row],[Week,Year]],4))</f>
        <v>2021</v>
      </c>
    </row>
    <row r="52" spans="1:14" x14ac:dyDescent="0.25">
      <c r="A52" s="62" t="s">
        <v>76</v>
      </c>
      <c r="B52" s="6" cm="1">
        <f t="array" ref="B52">PRODUCT(1+IF(Rend_j[[Week,Year]:[Week,Year]]='Rend hebdo'!$A52,Rend_j[Chine]))-1</f>
        <v>-8.6525630715661439E-3</v>
      </c>
      <c r="C52" s="6" cm="1">
        <f t="array" ref="C52">PRODUCT(1+IF(Rend_j[[Week,Year]:[Week,Year]]='Rend hebdo'!$A52,Rend_j[DM]))-1</f>
        <v>-1.1438781467263182E-2</v>
      </c>
      <c r="D52" s="6" cm="1">
        <f t="array" ref="D52">PRODUCT(1+IF(Rend_j[[Week,Year]:[Week,Year]]='Rend hebdo'!$A52,Rend_j[EM ex China]))-1</f>
        <v>2.0029140420492197E-2</v>
      </c>
      <c r="E52" s="6" cm="1">
        <f t="array" ref="E52">PRODUCT(1+IF(Rend_j[[Week,Year]:[Week,Year]]='Rend hebdo'!$A52,Rend_j[EM]))-1</f>
        <v>4.3881757154633494E-3</v>
      </c>
      <c r="F52" s="6" cm="1">
        <f t="array" ref="F52">PRODUCT(1+IF(Rend_j[[Week,Year]:[Week,Year]]='Rend hebdo'!$A52,Rend_j[Japon]))-1</f>
        <v>-1.2536278398648126E-2</v>
      </c>
      <c r="G52" s="6" cm="1">
        <f t="array" ref="G52">PRODUCT(1+IF(Rend_j[[Week,Year]:[Week,Year]]='Rend hebdo'!$A52,Rend_j[Monde]))-1</f>
        <v>-9.6293663359937609E-3</v>
      </c>
      <c r="H52" s="6" cm="1">
        <f t="array" ref="H52">PRODUCT(1+IF(Rend_j[[Week,Year]:[Week,Year]]='Rend hebdo'!$A52,Rend_j[RU]))-1</f>
        <v>7.6943402208951017E-3</v>
      </c>
      <c r="I52" s="6" cm="1">
        <f t="array" ref="I52">PRODUCT(1+IF(Rend_j[[Week,Year]:[Week,Year]]='Rend hebdo'!$A52,Rend_j[US]))-1</f>
        <v>-1.8367577421491199E-2</v>
      </c>
      <c r="J52" s="6" cm="1">
        <f t="array" ref="J52">PRODUCT(1+IF(Rend_j[[Week,Year]:[Week,Year]]='Rend hebdo'!$A52,Rend_j[France]))-1</f>
        <v>3.8265687314671393E-3</v>
      </c>
      <c r="K52" s="6" cm="1">
        <f t="array" ref="K52">PRODUCT(1+IF(Rend_j[[Week,Year]:[Week,Year]]='Rend hebdo'!$A52,Rend_j[Europe]))-1</f>
        <v>-2.758321372911765E-3</v>
      </c>
      <c r="L52" s="6" cm="1">
        <f t="array" ref="L52">PRODUCT(1+IF(Rend_j[[Week,Year]:[Week,Year]]='Rend hebdo'!$A52,Rend_j[Allemagne]))-1</f>
        <v>-5.706190045497328E-3</v>
      </c>
      <c r="M52" s="10">
        <f>VALUE(LEFT(Rend_h[[#This Row],[Week,Year]],FIND(",",Rend_h[[#This Row],[Week,Year]])-1))</f>
        <v>48</v>
      </c>
      <c r="N52" s="10">
        <f>VALUE(RIGHT(Rend_h[[#This Row],[Week,Year]],4))</f>
        <v>2021</v>
      </c>
    </row>
    <row r="53" spans="1:14" x14ac:dyDescent="0.25">
      <c r="A53" s="61" t="s">
        <v>77</v>
      </c>
      <c r="B53" s="6" cm="1">
        <f t="array" ref="B53">PRODUCT(1+IF(Rend_j[[Week,Year]:[Week,Year]]='Rend hebdo'!$A53,Rend_j[Chine]))-1</f>
        <v>1.6268170935623161E-2</v>
      </c>
      <c r="C53" s="6" cm="1">
        <f t="array" ref="C53">PRODUCT(1+IF(Rend_j[[Week,Year]:[Week,Year]]='Rend hebdo'!$A53,Rend_j[DM]))-1</f>
        <v>3.0751390469646145E-2</v>
      </c>
      <c r="D53" s="6" cm="1">
        <f t="array" ref="D53">PRODUCT(1+IF(Rend_j[[Week,Year]:[Week,Year]]='Rend hebdo'!$A53,Rend_j[EM ex China]))-1</f>
        <v>6.0482766455123294E-3</v>
      </c>
      <c r="E53" s="6" cm="1">
        <f t="array" ref="E53">PRODUCT(1+IF(Rend_j[[Week,Year]:[Week,Year]]='Rend hebdo'!$A53,Rend_j[EM]))-1</f>
        <v>9.1507529085650408E-3</v>
      </c>
      <c r="F53" s="6" cm="1">
        <f t="array" ref="F53">PRODUCT(1+IF(Rend_j[[Week,Year]:[Week,Year]]='Rend hebdo'!$A53,Rend_j[Japon]))-1</f>
        <v>4.6003578056070804E-3</v>
      </c>
      <c r="G53" s="6" cm="1">
        <f t="array" ref="G53">PRODUCT(1+IF(Rend_j[[Week,Year]:[Week,Year]]='Rend hebdo'!$A53,Rend_j[Monde]))-1</f>
        <v>2.8244532176145087E-2</v>
      </c>
      <c r="H53" s="6" cm="1">
        <f t="array" ref="H53">PRODUCT(1+IF(Rend_j[[Week,Year]:[Week,Year]]='Rend hebdo'!$A53,Rend_j[RU]))-1</f>
        <v>2.1836946603316365E-2</v>
      </c>
      <c r="I53" s="6" cm="1">
        <f t="array" ref="I53">PRODUCT(1+IF(Rend_j[[Week,Year]:[Week,Year]]='Rend hebdo'!$A53,Rend_j[US]))-1</f>
        <v>3.5884376110591143E-2</v>
      </c>
      <c r="J53" s="6" cm="1">
        <f t="array" ref="J53">PRODUCT(1+IF(Rend_j[[Week,Year]:[Week,Year]]='Rend hebdo'!$A53,Rend_j[France]))-1</f>
        <v>3.3428347759142163E-2</v>
      </c>
      <c r="K53" s="6" cm="1">
        <f t="array" ref="K53">PRODUCT(1+IF(Rend_j[[Week,Year]:[Week,Year]]='Rend hebdo'!$A53,Rend_j[Europe]))-1</f>
        <v>2.7637939589898908E-2</v>
      </c>
      <c r="L53" s="6" cm="1">
        <f t="array" ref="L53">PRODUCT(1+IF(Rend_j[[Week,Year]:[Week,Year]]='Rend hebdo'!$A53,Rend_j[Allemagne]))-1</f>
        <v>2.9883301491158587E-2</v>
      </c>
      <c r="M53" s="10">
        <f>VALUE(LEFT(Rend_h[[#This Row],[Week,Year]],FIND(",",Rend_h[[#This Row],[Week,Year]])-1))</f>
        <v>49</v>
      </c>
      <c r="N53" s="10">
        <f>VALUE(RIGHT(Rend_h[[#This Row],[Week,Year]],4))</f>
        <v>2021</v>
      </c>
    </row>
    <row r="54" spans="1:14" x14ac:dyDescent="0.25">
      <c r="A54" s="62" t="s">
        <v>78</v>
      </c>
      <c r="B54" s="6" cm="1">
        <f t="array" ref="B54">PRODUCT(1+IF(Rend_j[[Week,Year]:[Week,Year]]='Rend hebdo'!$A54,Rend_j[Chine]))-1</f>
        <v>-3.2545175205102916E-2</v>
      </c>
      <c r="C54" s="6" cm="1">
        <f t="array" ref="C54">PRODUCT(1+IF(Rend_j[[Week,Year]:[Week,Year]]='Rend hebdo'!$A54,Rend_j[DM]))-1</f>
        <v>-1.2594012375257813E-2</v>
      </c>
      <c r="D54" s="6" cm="1">
        <f t="array" ref="D54">PRODUCT(1+IF(Rend_j[[Week,Year]:[Week,Year]]='Rend hebdo'!$A54,Rend_j[EM ex China]))-1</f>
        <v>-8.9060167710341975E-4</v>
      </c>
      <c r="E54" s="6" cm="1">
        <f t="array" ref="E54">PRODUCT(1+IF(Rend_j[[Week,Year]:[Week,Year]]='Rend hebdo'!$A54,Rend_j[EM]))-1</f>
        <v>-1.5342249282502385E-2</v>
      </c>
      <c r="F54" s="6" cm="1">
        <f t="array" ref="F54">PRODUCT(1+IF(Rend_j[[Week,Year]:[Week,Year]]='Rend hebdo'!$A54,Rend_j[Japon]))-1</f>
        <v>6.8744676850245323E-3</v>
      </c>
      <c r="G54" s="6" cm="1">
        <f t="array" ref="G54">PRODUCT(1+IF(Rend_j[[Week,Year]:[Week,Year]]='Rend hebdo'!$A54,Rend_j[Monde]))-1</f>
        <v>-1.2904044677610638E-2</v>
      </c>
      <c r="H54" s="6" cm="1">
        <f t="array" ref="H54">PRODUCT(1+IF(Rend_j[[Week,Year]:[Week,Year]]='Rend hebdo'!$A54,Rend_j[RU]))-1</f>
        <v>2.2786759045421157E-3</v>
      </c>
      <c r="I54" s="6" cm="1">
        <f t="array" ref="I54">PRODUCT(1+IF(Rend_j[[Week,Year]:[Week,Year]]='Rend hebdo'!$A54,Rend_j[US]))-1</f>
        <v>-1.9219729004540609E-2</v>
      </c>
      <c r="J54" s="6" cm="1">
        <f t="array" ref="J54">PRODUCT(1+IF(Rend_j[[Week,Year]:[Week,Year]]='Rend hebdo'!$A54,Rend_j[France]))-1</f>
        <v>-9.3039571837530977E-3</v>
      </c>
      <c r="K54" s="6" cm="1">
        <f t="array" ref="K54">PRODUCT(1+IF(Rend_j[[Week,Year]:[Week,Year]]='Rend hebdo'!$A54,Rend_j[Europe]))-1</f>
        <v>-3.4906300087923503E-3</v>
      </c>
      <c r="L54" s="6" cm="1">
        <f t="array" ref="L54">PRODUCT(1+IF(Rend_j[[Week,Year]:[Week,Year]]='Rend hebdo'!$A54,Rend_j[Allemagne]))-1</f>
        <v>-5.8642593996810488E-3</v>
      </c>
      <c r="M54" s="10">
        <f>VALUE(LEFT(Rend_h[[#This Row],[Week,Year]],FIND(",",Rend_h[[#This Row],[Week,Year]])-1))</f>
        <v>50</v>
      </c>
      <c r="N54" s="10">
        <f>VALUE(RIGHT(Rend_h[[#This Row],[Week,Year]],4))</f>
        <v>2021</v>
      </c>
    </row>
    <row r="55" spans="1:14" x14ac:dyDescent="0.25">
      <c r="A55" s="61" t="s">
        <v>79</v>
      </c>
      <c r="B55" s="6" cm="1">
        <f t="array" ref="B55">PRODUCT(1+IF(Rend_j[[Week,Year]:[Week,Year]]='Rend hebdo'!$A55,Rend_j[Chine]))-1</f>
        <v>-7.618411958469129E-3</v>
      </c>
      <c r="C55" s="6" cm="1">
        <f t="array" ref="C55">PRODUCT(1+IF(Rend_j[[Week,Year]:[Week,Year]]='Rend hebdo'!$A55,Rend_j[DM]))-1</f>
        <v>1.645760584033984E-2</v>
      </c>
      <c r="D55" s="6" cm="1">
        <f t="array" ref="D55">PRODUCT(1+IF(Rend_j[[Week,Year]:[Week,Year]]='Rend hebdo'!$A55,Rend_j[EM ex China]))-1</f>
        <v>2.4703312508944641E-4</v>
      </c>
      <c r="E55" s="6" cm="1">
        <f t="array" ref="E55">PRODUCT(1+IF(Rend_j[[Week,Year]:[Week,Year]]='Rend hebdo'!$A55,Rend_j[EM]))-1</f>
        <v>-1.3334497643451293E-3</v>
      </c>
      <c r="F55" s="6" cm="1">
        <f t="array" ref="F55">PRODUCT(1+IF(Rend_j[[Week,Year]:[Week,Year]]='Rend hebdo'!$A55,Rend_j[Japon]))-1</f>
        <v>-8.8214130739273644E-3</v>
      </c>
      <c r="G55" s="6" cm="1">
        <f t="array" ref="G55">PRODUCT(1+IF(Rend_j[[Week,Year]:[Week,Year]]='Rend hebdo'!$A55,Rend_j[Monde]))-1</f>
        <v>1.4440729787264406E-2</v>
      </c>
      <c r="H55" s="6" cm="1">
        <f t="array" ref="H55">PRODUCT(1+IF(Rend_j[[Week,Year]:[Week,Year]]='Rend hebdo'!$A55,Rend_j[RU]))-1</f>
        <v>2.0338566469015662E-2</v>
      </c>
      <c r="I55" s="6" cm="1">
        <f t="array" ref="I55">PRODUCT(1+IF(Rend_j[[Week,Year]:[Week,Year]]='Rend hebdo'!$A55,Rend_j[US]))-1</f>
        <v>2.3920643050197699E-2</v>
      </c>
      <c r="J55" s="6" cm="1">
        <f t="array" ref="J55">PRODUCT(1+IF(Rend_j[[Week,Year]:[Week,Year]]='Rend hebdo'!$A55,Rend_j[France]))-1</f>
        <v>2.3092066084339447E-2</v>
      </c>
      <c r="K55" s="6" cm="1">
        <f t="array" ref="K55">PRODUCT(1+IF(Rend_j[[Week,Year]:[Week,Year]]='Rend hebdo'!$A55,Rend_j[Europe]))-1</f>
        <v>1.9223498871789424E-2</v>
      </c>
      <c r="L55" s="6" cm="1">
        <f t="array" ref="L55">PRODUCT(1+IF(Rend_j[[Week,Year]:[Week,Year]]='Rend hebdo'!$A55,Rend_j[Allemagne]))-1</f>
        <v>1.4461989247876117E-2</v>
      </c>
      <c r="M55" s="10">
        <f>VALUE(LEFT(Rend_h[[#This Row],[Week,Year]],FIND(",",Rend_h[[#This Row],[Week,Year]])-1))</f>
        <v>51</v>
      </c>
      <c r="N55" s="10">
        <f>VALUE(RIGHT(Rend_h[[#This Row],[Week,Year]],4))</f>
        <v>2021</v>
      </c>
    </row>
    <row r="56" spans="1:14" x14ac:dyDescent="0.25">
      <c r="A56" s="62" t="s">
        <v>80</v>
      </c>
      <c r="B56" s="6" cm="1">
        <f t="array" ref="B56">PRODUCT(1+IF(Rend_j[[Week,Year]:[Week,Year]]='Rend hebdo'!$A56,Rend_j[Chine]))-1</f>
        <v>3.7644804943122168E-3</v>
      </c>
      <c r="C56" s="6" cm="1">
        <f t="array" ref="C56">PRODUCT(1+IF(Rend_j[[Week,Year]:[Week,Year]]='Rend hebdo'!$A56,Rend_j[DM]))-1</f>
        <v>3.9474549121767399E-3</v>
      </c>
      <c r="D56" s="6" cm="1">
        <f t="array" ref="D56">PRODUCT(1+IF(Rend_j[[Week,Year]:[Week,Year]]='Rend hebdo'!$A56,Rend_j[EM ex China]))-1</f>
        <v>4.761820517084292E-3</v>
      </c>
      <c r="E56" s="6" cm="1">
        <f t="array" ref="E56">PRODUCT(1+IF(Rend_j[[Week,Year]:[Week,Year]]='Rend hebdo'!$A56,Rend_j[EM]))-1</f>
        <v>5.572518362369383E-3</v>
      </c>
      <c r="F56" s="6" cm="1">
        <f t="array" ref="F56">PRODUCT(1+IF(Rend_j[[Week,Year]:[Week,Year]]='Rend hebdo'!$A56,Rend_j[Japon]))-1</f>
        <v>-9.1271314650515079E-3</v>
      </c>
      <c r="G56" s="6" cm="1">
        <f t="array" ref="G56">PRODUCT(1+IF(Rend_j[[Week,Year]:[Week,Year]]='Rend hebdo'!$A56,Rend_j[Monde]))-1</f>
        <v>4.1265426121859239E-3</v>
      </c>
      <c r="H56" s="6" cm="1">
        <f t="array" ref="H56">PRODUCT(1+IF(Rend_j[[Week,Year]:[Week,Year]]='Rend hebdo'!$A56,Rend_j[RU]))-1</f>
        <v>7.4573685425509684E-3</v>
      </c>
      <c r="I56" s="6" cm="1">
        <f t="array" ref="I56">PRODUCT(1+IF(Rend_j[[Week,Year]:[Week,Year]]='Rend hebdo'!$A56,Rend_j[US]))-1</f>
        <v>7.231417870033896E-3</v>
      </c>
      <c r="J56" s="6" cm="1">
        <f t="array" ref="J56">PRODUCT(1+IF(Rend_j[[Week,Year]:[Week,Year]]='Rend hebdo'!$A56,Rend_j[France]))-1</f>
        <v>9.376837101762181E-3</v>
      </c>
      <c r="K56" s="6" cm="1">
        <f t="array" ref="K56">PRODUCT(1+IF(Rend_j[[Week,Year]:[Week,Year]]='Rend hebdo'!$A56,Rend_j[Europe]))-1</f>
        <v>1.1800958327964794E-2</v>
      </c>
      <c r="L56" s="6" cm="1">
        <f t="array" ref="L56">PRODUCT(1+IF(Rend_j[[Week,Year]:[Week,Year]]='Rend hebdo'!$A56,Rend_j[Allemagne]))-1</f>
        <v>8.1586858539997031E-3</v>
      </c>
      <c r="M56" s="10">
        <f>VALUE(LEFT(Rend_h[[#This Row],[Week,Year]],FIND(",",Rend_h[[#This Row],[Week,Year]])-1))</f>
        <v>52</v>
      </c>
      <c r="N56" s="10">
        <f>VALUE(RIGHT(Rend_h[[#This Row],[Week,Year]],4))</f>
        <v>2021</v>
      </c>
    </row>
    <row r="57" spans="1:14" x14ac:dyDescent="0.25">
      <c r="A57" s="61" t="s">
        <v>81</v>
      </c>
      <c r="B57" s="6" cm="1">
        <f t="array" ref="B57">PRODUCT(1+IF(Rend_j[[Week,Year]:[Week,Year]]='Rend hebdo'!$A57,Rend_j[Chine]))-1</f>
        <v>-2.0565204423277805E-2</v>
      </c>
      <c r="C57" s="6" cm="1">
        <f t="array" ref="C57">PRODUCT(1+IF(Rend_j[[Week,Year]:[Week,Year]]='Rend hebdo'!$A57,Rend_j[DM]))-1</f>
        <v>-1.4690476518670614E-2</v>
      </c>
      <c r="D57" s="6" cm="1">
        <f t="array" ref="D57">PRODUCT(1+IF(Rend_j[[Week,Year]:[Week,Year]]='Rend hebdo'!$A57,Rend_j[EM ex China]))-1</f>
        <v>3.2240631130366904E-3</v>
      </c>
      <c r="E57" s="6" cm="1">
        <f t="array" ref="E57">PRODUCT(1+IF(Rend_j[[Week,Year]:[Week,Year]]='Rend hebdo'!$A57,Rend_j[EM]))-1</f>
        <v>-2.6885637335311019E-3</v>
      </c>
      <c r="F57" s="6" cm="1">
        <f t="array" ref="F57">PRODUCT(1+IF(Rend_j[[Week,Year]:[Week,Year]]='Rend hebdo'!$A57,Rend_j[Japon]))-1</f>
        <v>1.1297286414173602E-3</v>
      </c>
      <c r="G57" s="6" cm="1">
        <f t="array" ref="G57">PRODUCT(1+IF(Rend_j[[Week,Year]:[Week,Year]]='Rend hebdo'!$A57,Rend_j[Monde]))-1</f>
        <v>-1.3345629358981759E-2</v>
      </c>
      <c r="H57" s="6" cm="1">
        <f t="array" ref="H57">PRODUCT(1+IF(Rend_j[[Week,Year]:[Week,Year]]='Rend hebdo'!$A57,Rend_j[RU]))-1</f>
        <v>2.0881485614091311E-2</v>
      </c>
      <c r="I57" s="6" cm="1">
        <f t="array" ref="I57">PRODUCT(1+IF(Rend_j[[Week,Year]:[Week,Year]]='Rend hebdo'!$A57,Rend_j[US]))-1</f>
        <v>-2.2365842195979146E-2</v>
      </c>
      <c r="J57" s="6" cm="1">
        <f t="array" ref="J57">PRODUCT(1+IF(Rend_j[[Week,Year]:[Week,Year]]='Rend hebdo'!$A57,Rend_j[France]))-1</f>
        <v>9.2897970506633509E-3</v>
      </c>
      <c r="K57" s="6" cm="1">
        <f t="array" ref="K57">PRODUCT(1+IF(Rend_j[[Week,Year]:[Week,Year]]='Rend hebdo'!$A57,Rend_j[Europe]))-1</f>
        <v>-5.0336417206577888E-3</v>
      </c>
      <c r="L57" s="6" cm="1">
        <f t="array" ref="L57">PRODUCT(1+IF(Rend_j[[Week,Year]:[Week,Year]]='Rend hebdo'!$A57,Rend_j[Allemagne]))-1</f>
        <v>3.9584786151425355E-3</v>
      </c>
      <c r="M57" s="10">
        <f>VALUE(LEFT(Rend_h[[#This Row],[Week,Year]],FIND(",",Rend_h[[#This Row],[Week,Year]])-1))</f>
        <v>1</v>
      </c>
      <c r="N57" s="10">
        <f>VALUE(RIGHT(Rend_h[[#This Row],[Week,Year]],4))</f>
        <v>2022</v>
      </c>
    </row>
    <row r="58" spans="1:14" x14ac:dyDescent="0.25">
      <c r="A58" s="62" t="s">
        <v>82</v>
      </c>
      <c r="B58" s="6" cm="1">
        <f t="array" ref="B58">PRODUCT(1+IF(Rend_j[[Week,Year]:[Week,Year]]='Rend hebdo'!$A58,Rend_j[Chine]))-1</f>
        <v>4.1822459886931007E-3</v>
      </c>
      <c r="C58" s="6" cm="1">
        <f t="array" ref="C58">PRODUCT(1+IF(Rend_j[[Week,Year]:[Week,Year]]='Rend hebdo'!$A58,Rend_j[DM]))-1</f>
        <v>-8.8589665121976413E-3</v>
      </c>
      <c r="D58" s="6" cm="1">
        <f t="array" ref="D58">PRODUCT(1+IF(Rend_j[[Week,Year]:[Week,Year]]='Rend hebdo'!$A58,Rend_j[EM ex China]))-1</f>
        <v>1.6184814187746088E-2</v>
      </c>
      <c r="E58" s="6" cm="1">
        <f t="array" ref="E58">PRODUCT(1+IF(Rend_j[[Week,Year]:[Week,Year]]='Rend hebdo'!$A58,Rend_j[EM]))-1</f>
        <v>1.7909237867669736E-2</v>
      </c>
      <c r="F58" s="6" cm="1">
        <f t="array" ref="F58">PRODUCT(1+IF(Rend_j[[Week,Year]:[Week,Year]]='Rend hebdo'!$A58,Rend_j[Japon]))-1</f>
        <v>-2.1675251108900229E-3</v>
      </c>
      <c r="G58" s="6" cm="1">
        <f t="array" ref="G58">PRODUCT(1+IF(Rend_j[[Week,Year]:[Week,Year]]='Rend hebdo'!$A58,Rend_j[Monde]))-1</f>
        <v>-5.8355041740556501E-3</v>
      </c>
      <c r="H58" s="6" cm="1">
        <f t="array" ref="H58">PRODUCT(1+IF(Rend_j[[Week,Year]:[Week,Year]]='Rend hebdo'!$A58,Rend_j[RU]))-1</f>
        <v>1.0412600515262493E-2</v>
      </c>
      <c r="I58" s="6" cm="1">
        <f t="array" ref="I58">PRODUCT(1+IF(Rend_j[[Week,Year]:[Week,Year]]='Rend hebdo'!$A58,Rend_j[US]))-1</f>
        <v>-4.07282292412392E-3</v>
      </c>
      <c r="J58" s="6" cm="1">
        <f t="array" ref="J58">PRODUCT(1+IF(Rend_j[[Week,Year]:[Week,Year]]='Rend hebdo'!$A58,Rend_j[France]))-1</f>
        <v>-1.0593558014132531E-2</v>
      </c>
      <c r="K58" s="6" cm="1">
        <f t="array" ref="K58">PRODUCT(1+IF(Rend_j[[Week,Year]:[Week,Year]]='Rend hebdo'!$A58,Rend_j[Europe]))-1</f>
        <v>-1.0467858097686467E-2</v>
      </c>
      <c r="L58" s="6" cm="1">
        <f t="array" ref="L58">PRODUCT(1+IF(Rend_j[[Week,Year]:[Week,Year]]='Rend hebdo'!$A58,Rend_j[Allemagne]))-1</f>
        <v>-4.0444601598581542E-3</v>
      </c>
      <c r="M58" s="10">
        <f>VALUE(LEFT(Rend_h[[#This Row],[Week,Year]],FIND(",",Rend_h[[#This Row],[Week,Year]])-1))</f>
        <v>2</v>
      </c>
      <c r="N58" s="10">
        <f>VALUE(RIGHT(Rend_h[[#This Row],[Week,Year]],4))</f>
        <v>2022</v>
      </c>
    </row>
    <row r="59" spans="1:14" x14ac:dyDescent="0.25">
      <c r="A59" s="61" t="s">
        <v>83</v>
      </c>
      <c r="B59" s="6" cm="1">
        <f t="array" ref="B59">PRODUCT(1+IF(Rend_j[[Week,Year]:[Week,Year]]='Rend hebdo'!$A59,Rend_j[Chine]))-1</f>
        <v>1.8233267366202899E-2</v>
      </c>
      <c r="C59" s="6" cm="1">
        <f t="array" ref="C59">PRODUCT(1+IF(Rend_j[[Week,Year]:[Week,Year]]='Rend hebdo'!$A59,Rend_j[DM]))-1</f>
        <v>-3.938008130081283E-2</v>
      </c>
      <c r="D59" s="6" cm="1">
        <f t="array" ref="D59">PRODUCT(1+IF(Rend_j[[Week,Year]:[Week,Year]]='Rend hebdo'!$A59,Rend_j[EM ex China]))-1</f>
        <v>-1.4952928396953835E-2</v>
      </c>
      <c r="E59" s="6" cm="1">
        <f t="array" ref="E59">PRODUCT(1+IF(Rend_j[[Week,Year]:[Week,Year]]='Rend hebdo'!$A59,Rend_j[EM]))-1</f>
        <v>-2.919238266328672E-3</v>
      </c>
      <c r="F59" s="6" cm="1">
        <f t="array" ref="F59">PRODUCT(1+IF(Rend_j[[Week,Year]:[Week,Year]]='Rend hebdo'!$A59,Rend_j[Japon]))-1</f>
        <v>-1.7075546697421395E-2</v>
      </c>
      <c r="G59" s="6" cm="1">
        <f t="array" ref="G59">PRODUCT(1+IF(Rend_j[[Week,Year]:[Week,Year]]='Rend hebdo'!$A59,Rend_j[Monde]))-1</f>
        <v>-3.5161346826863449E-2</v>
      </c>
      <c r="H59" s="6" cm="1">
        <f t="array" ref="H59">PRODUCT(1+IF(Rend_j[[Week,Year]:[Week,Year]]='Rend hebdo'!$A59,Rend_j[RU]))-1</f>
        <v>-6.9539014284470957E-3</v>
      </c>
      <c r="I59" s="6" cm="1">
        <f t="array" ref="I59">PRODUCT(1+IF(Rend_j[[Week,Year]:[Week,Year]]='Rend hebdo'!$A59,Rend_j[US]))-1</f>
        <v>-5.97299441291681E-2</v>
      </c>
      <c r="J59" s="6" cm="1">
        <f t="array" ref="J59">PRODUCT(1+IF(Rend_j[[Week,Year]:[Week,Year]]='Rend hebdo'!$A59,Rend_j[France]))-1</f>
        <v>-1.0417213495730104E-2</v>
      </c>
      <c r="K59" s="6" cm="1">
        <f t="array" ref="K59">PRODUCT(1+IF(Rend_j[[Week,Year]:[Week,Year]]='Rend hebdo'!$A59,Rend_j[Europe]))-1</f>
        <v>-1.3966252273952762E-2</v>
      </c>
      <c r="L59" s="6" cm="1">
        <f t="array" ref="L59">PRODUCT(1+IF(Rend_j[[Week,Year]:[Week,Year]]='Rend hebdo'!$A59,Rend_j[Allemagne]))-1</f>
        <v>-1.7588372772474159E-2</v>
      </c>
      <c r="M59" s="10">
        <f>VALUE(LEFT(Rend_h[[#This Row],[Week,Year]],FIND(",",Rend_h[[#This Row],[Week,Year]])-1))</f>
        <v>3</v>
      </c>
      <c r="N59" s="10">
        <f>VALUE(RIGHT(Rend_h[[#This Row],[Week,Year]],4))</f>
        <v>2022</v>
      </c>
    </row>
    <row r="60" spans="1:14" x14ac:dyDescent="0.25">
      <c r="A60" s="62" t="s">
        <v>84</v>
      </c>
      <c r="B60" s="6" cm="1">
        <f t="array" ref="B60">PRODUCT(1+IF(Rend_j[[Week,Year]:[Week,Year]]='Rend hebdo'!$A60,Rend_j[Chine]))-1</f>
        <v>-5.1430660822887719E-2</v>
      </c>
      <c r="C60" s="6" cm="1">
        <f t="array" ref="C60">PRODUCT(1+IF(Rend_j[[Week,Year]:[Week,Year]]='Rend hebdo'!$A60,Rend_j[DM]))-1</f>
        <v>9.7159775485615718E-3</v>
      </c>
      <c r="D60" s="6" cm="1">
        <f t="array" ref="D60">PRODUCT(1+IF(Rend_j[[Week,Year]:[Week,Year]]='Rend hebdo'!$A60,Rend_j[EM ex China]))-1</f>
        <v>-9.6156745945933375E-3</v>
      </c>
      <c r="E60" s="6" cm="1">
        <f t="array" ref="E60">PRODUCT(1+IF(Rend_j[[Week,Year]:[Week,Year]]='Rend hebdo'!$A60,Rend_j[EM]))-1</f>
        <v>-2.7171982419358143E-2</v>
      </c>
      <c r="F60" s="6" cm="1">
        <f t="array" ref="F60">PRODUCT(1+IF(Rend_j[[Week,Year]:[Week,Year]]='Rend hebdo'!$A60,Rend_j[Japon]))-1</f>
        <v>-2.4252711200218768E-2</v>
      </c>
      <c r="G60" s="6" cm="1">
        <f t="array" ref="G60">PRODUCT(1+IF(Rend_j[[Week,Year]:[Week,Year]]='Rend hebdo'!$A60,Rend_j[Monde]))-1</f>
        <v>5.3056097931476476E-3</v>
      </c>
      <c r="H60" s="6" cm="1">
        <f t="array" ref="H60">PRODUCT(1+IF(Rend_j[[Week,Year]:[Week,Year]]='Rend hebdo'!$A60,Rend_j[RU]))-1</f>
        <v>3.9389606979256531E-3</v>
      </c>
      <c r="I60" s="6" cm="1">
        <f t="array" ref="I60">PRODUCT(1+IF(Rend_j[[Week,Year]:[Week,Year]]='Rend hebdo'!$A60,Rend_j[US]))-1</f>
        <v>5.2266839816332844E-3</v>
      </c>
      <c r="J60" s="6" cm="1">
        <f t="array" ref="J60">PRODUCT(1+IF(Rend_j[[Week,Year]:[Week,Year]]='Rend hebdo'!$A60,Rend_j[France]))-1</f>
        <v>-1.4530474007794281E-2</v>
      </c>
      <c r="K60" s="6" cm="1">
        <f t="array" ref="K60">PRODUCT(1+IF(Rend_j[[Week,Year]:[Week,Year]]='Rend hebdo'!$A60,Rend_j[Europe]))-1</f>
        <v>-1.8737909878012493E-2</v>
      </c>
      <c r="L60" s="6" cm="1">
        <f t="array" ref="L60">PRODUCT(1+IF(Rend_j[[Week,Year]:[Week,Year]]='Rend hebdo'!$A60,Rend_j[Allemagne]))-1</f>
        <v>-1.8260181582479773E-2</v>
      </c>
      <c r="M60" s="10">
        <f>VALUE(LEFT(Rend_h[[#This Row],[Week,Year]],FIND(",",Rend_h[[#This Row],[Week,Year]])-1))</f>
        <v>4</v>
      </c>
      <c r="N60" s="10">
        <f>VALUE(RIGHT(Rend_h[[#This Row],[Week,Year]],4))</f>
        <v>2022</v>
      </c>
    </row>
    <row r="61" spans="1:14" x14ac:dyDescent="0.25">
      <c r="A61" s="61" t="s">
        <v>85</v>
      </c>
      <c r="B61" s="6" cm="1">
        <f t="array" ref="B61">PRODUCT(1+IF(Rend_j[[Week,Year]:[Week,Year]]='Rend hebdo'!$A61,Rend_j[Chine]))-1</f>
        <v>2.0795422132695585E-3</v>
      </c>
      <c r="C61" s="6" cm="1">
        <f t="array" ref="C61">PRODUCT(1+IF(Rend_j[[Week,Year]:[Week,Year]]='Rend hebdo'!$A61,Rend_j[DM]))-1</f>
        <v>-6.1263765247727697E-3</v>
      </c>
      <c r="D61" s="6" cm="1">
        <f t="array" ref="D61">PRODUCT(1+IF(Rend_j[[Week,Year]:[Week,Year]]='Rend hebdo'!$A61,Rend_j[EM ex China]))-1</f>
        <v>-9.0263726157616686E-3</v>
      </c>
      <c r="E61" s="6" cm="1">
        <f t="array" ref="E61">PRODUCT(1+IF(Rend_j[[Week,Year]:[Week,Year]]='Rend hebdo'!$A61,Rend_j[EM]))-1</f>
        <v>2.9594413338496217E-4</v>
      </c>
      <c r="F61" s="6" cm="1">
        <f t="array" ref="F61">PRODUCT(1+IF(Rend_j[[Week,Year]:[Week,Year]]='Rend hebdo'!$A61,Rend_j[Japon]))-1</f>
        <v>3.4440488004228165E-4</v>
      </c>
      <c r="G61" s="6" cm="1">
        <f t="array" ref="G61">PRODUCT(1+IF(Rend_j[[Week,Year]:[Week,Year]]='Rend hebdo'!$A61,Rend_j[Monde]))-1</f>
        <v>-5.3844878102710103E-3</v>
      </c>
      <c r="H61" s="6" cm="1">
        <f t="array" ref="H61">PRODUCT(1+IF(Rend_j[[Week,Year]:[Week,Year]]='Rend hebdo'!$A61,Rend_j[RU]))-1</f>
        <v>-9.484228473998102E-3</v>
      </c>
      <c r="I61" s="6" cm="1">
        <f t="array" ref="I61">PRODUCT(1+IF(Rend_j[[Week,Year]:[Week,Year]]='Rend hebdo'!$A61,Rend_j[US]))-1</f>
        <v>1.7509509985615734E-2</v>
      </c>
      <c r="J61" s="6" cm="1">
        <f t="array" ref="J61">PRODUCT(1+IF(Rend_j[[Week,Year]:[Week,Year]]='Rend hebdo'!$A61,Rend_j[France]))-1</f>
        <v>-2.081574796514607E-3</v>
      </c>
      <c r="K61" s="6" cm="1">
        <f t="array" ref="K61">PRODUCT(1+IF(Rend_j[[Week,Year]:[Week,Year]]='Rend hebdo'!$A61,Rend_j[Europe]))-1</f>
        <v>-7.3031770757987502E-3</v>
      </c>
      <c r="L61" s="6" cm="1">
        <f t="array" ref="L61">PRODUCT(1+IF(Rend_j[[Week,Year]:[Week,Year]]='Rend hebdo'!$A61,Rend_j[Allemagne]))-1</f>
        <v>-1.4321518585522885E-2</v>
      </c>
      <c r="M61" s="10">
        <f>VALUE(LEFT(Rend_h[[#This Row],[Week,Year]],FIND(",",Rend_h[[#This Row],[Week,Year]])-1))</f>
        <v>5</v>
      </c>
      <c r="N61" s="10">
        <f>VALUE(RIGHT(Rend_h[[#This Row],[Week,Year]],4))</f>
        <v>2022</v>
      </c>
    </row>
    <row r="62" spans="1:14" x14ac:dyDescent="0.25">
      <c r="A62" s="62" t="s">
        <v>86</v>
      </c>
      <c r="B62" s="6" cm="1">
        <f t="array" ref="B62">PRODUCT(1+IF(Rend_j[[Week,Year]:[Week,Year]]='Rend hebdo'!$A62,Rend_j[Chine]))-1</f>
        <v>1.5722517588677265E-2</v>
      </c>
      <c r="C62" s="6" cm="1">
        <f t="array" ref="C62">PRODUCT(1+IF(Rend_j[[Week,Year]:[Week,Year]]='Rend hebdo'!$A62,Rend_j[DM]))-1</f>
        <v>-3.8397762753804576E-3</v>
      </c>
      <c r="D62" s="6" cm="1">
        <f t="array" ref="D62">PRODUCT(1+IF(Rend_j[[Week,Year]:[Week,Year]]='Rend hebdo'!$A62,Rend_j[EM ex China]))-1</f>
        <v>2.0410302218252241E-2</v>
      </c>
      <c r="E62" s="6" cm="1">
        <f t="array" ref="E62">PRODUCT(1+IF(Rend_j[[Week,Year]:[Week,Year]]='Rend hebdo'!$A62,Rend_j[EM]))-1</f>
        <v>1.9412008913872292E-2</v>
      </c>
      <c r="F62" s="6" cm="1">
        <f t="array" ref="F62">PRODUCT(1+IF(Rend_j[[Week,Year]:[Week,Year]]='Rend hebdo'!$A62,Rend_j[Japon]))-1</f>
        <v>1.4109903191359408E-2</v>
      </c>
      <c r="G62" s="6" cm="1">
        <f t="array" ref="G62">PRODUCT(1+IF(Rend_j[[Week,Year]:[Week,Year]]='Rend hebdo'!$A62,Rend_j[Monde]))-1</f>
        <v>-1.1338624691523691E-3</v>
      </c>
      <c r="H62" s="6" cm="1">
        <f t="array" ref="H62">PRODUCT(1+IF(Rend_j[[Week,Year]:[Week,Year]]='Rend hebdo'!$A62,Rend_j[RU]))-1</f>
        <v>2.7766638955450063E-2</v>
      </c>
      <c r="I62" s="6" cm="1">
        <f t="array" ref="I62">PRODUCT(1+IF(Rend_j[[Week,Year]:[Week,Year]]='Rend hebdo'!$A62,Rend_j[US]))-1</f>
        <v>-1.4059714865909068E-2</v>
      </c>
      <c r="J62" s="6" cm="1">
        <f t="array" ref="J62">PRODUCT(1+IF(Rend_j[[Week,Year]:[Week,Year]]='Rend hebdo'!$A62,Rend_j[France]))-1</f>
        <v>8.6630591355354447E-3</v>
      </c>
      <c r="K62" s="6" cm="1">
        <f t="array" ref="K62">PRODUCT(1+IF(Rend_j[[Week,Year]:[Week,Year]]='Rend hebdo'!$A62,Rend_j[Europe]))-1</f>
        <v>1.6055421608422549E-2</v>
      </c>
      <c r="L62" s="6" cm="1">
        <f t="array" ref="L62">PRODUCT(1+IF(Rend_j[[Week,Year]:[Week,Year]]='Rend hebdo'!$A62,Rend_j[Allemagne]))-1</f>
        <v>2.1560930204005624E-2</v>
      </c>
      <c r="M62" s="10">
        <f>VALUE(LEFT(Rend_h[[#This Row],[Week,Year]],FIND(",",Rend_h[[#This Row],[Week,Year]])-1))</f>
        <v>6</v>
      </c>
      <c r="N62" s="10">
        <f>VALUE(RIGHT(Rend_h[[#This Row],[Week,Year]],4))</f>
        <v>2022</v>
      </c>
    </row>
    <row r="63" spans="1:14" x14ac:dyDescent="0.25">
      <c r="A63" s="61" t="s">
        <v>87</v>
      </c>
      <c r="B63" s="6" cm="1">
        <f t="array" ref="B63">PRODUCT(1+IF(Rend_j[[Week,Year]:[Week,Year]]='Rend hebdo'!$A63,Rend_j[Chine]))-1</f>
        <v>4.3530460460523557E-3</v>
      </c>
      <c r="C63" s="6" cm="1">
        <f t="array" ref="C63">PRODUCT(1+IF(Rend_j[[Week,Year]:[Week,Year]]='Rend hebdo'!$A63,Rend_j[DM]))-1</f>
        <v>-1.2923305308954025E-2</v>
      </c>
      <c r="D63" s="6" cm="1">
        <f t="array" ref="D63">PRODUCT(1+IF(Rend_j[[Week,Year]:[Week,Year]]='Rend hebdo'!$A63,Rend_j[EM ex China]))-1</f>
        <v>2.5715426221051274E-3</v>
      </c>
      <c r="E63" s="6" cm="1">
        <f t="array" ref="E63">PRODUCT(1+IF(Rend_j[[Week,Year]:[Week,Year]]='Rend hebdo'!$A63,Rend_j[EM]))-1</f>
        <v>-1.6126087750257811E-3</v>
      </c>
      <c r="F63" s="6" cm="1">
        <f t="array" ref="F63">PRODUCT(1+IF(Rend_j[[Week,Year]:[Week,Year]]='Rend hebdo'!$A63,Rend_j[Japon]))-1</f>
        <v>-1.0230914855541617E-2</v>
      </c>
      <c r="G63" s="6" cm="1">
        <f t="array" ref="G63">PRODUCT(1+IF(Rend_j[[Week,Year]:[Week,Year]]='Rend hebdo'!$A63,Rend_j[Monde]))-1</f>
        <v>-1.1577783713200507E-2</v>
      </c>
      <c r="H63" s="6" cm="1">
        <f t="array" ref="H63">PRODUCT(1+IF(Rend_j[[Week,Year]:[Week,Year]]='Rend hebdo'!$A63,Rend_j[RU]))-1</f>
        <v>-1.4131551901335859E-2</v>
      </c>
      <c r="I63" s="6" cm="1">
        <f t="array" ref="I63">PRODUCT(1+IF(Rend_j[[Week,Year]:[Week,Year]]='Rend hebdo'!$A63,Rend_j[US]))-1</f>
        <v>-1.6533556120146731E-2</v>
      </c>
      <c r="J63" s="6" cm="1">
        <f t="array" ref="J63">PRODUCT(1+IF(Rend_j[[Week,Year]:[Week,Year]]='Rend hebdo'!$A63,Rend_j[France]))-1</f>
        <v>-1.1690657461109533E-2</v>
      </c>
      <c r="K63" s="6" cm="1">
        <f t="array" ref="K63">PRODUCT(1+IF(Rend_j[[Week,Year]:[Week,Year]]='Rend hebdo'!$A63,Rend_j[Europe]))-1</f>
        <v>-1.8655384435573574E-2</v>
      </c>
      <c r="L63" s="6" cm="1">
        <f t="array" ref="L63">PRODUCT(1+IF(Rend_j[[Week,Year]:[Week,Year]]='Rend hebdo'!$A63,Rend_j[Allemagne]))-1</f>
        <v>-2.4804367617462519E-2</v>
      </c>
      <c r="M63" s="10">
        <f>VALUE(LEFT(Rend_h[[#This Row],[Week,Year]],FIND(",",Rend_h[[#This Row],[Week,Year]])-1))</f>
        <v>7</v>
      </c>
      <c r="N63" s="10">
        <f>VALUE(RIGHT(Rend_h[[#This Row],[Week,Year]],4))</f>
        <v>2022</v>
      </c>
    </row>
    <row r="64" spans="1:14" x14ac:dyDescent="0.25">
      <c r="A64" s="62" t="s">
        <v>88</v>
      </c>
      <c r="B64" s="6" cm="1">
        <f t="array" ref="B64">PRODUCT(1+IF(Rend_j[[Week,Year]:[Week,Year]]='Rend hebdo'!$A64,Rend_j[Chine]))-1</f>
        <v>-2.9494624543573655E-2</v>
      </c>
      <c r="C64" s="6" cm="1">
        <f t="array" ref="C64">PRODUCT(1+IF(Rend_j[[Week,Year]:[Week,Year]]='Rend hebdo'!$A64,Rend_j[DM]))-1</f>
        <v>7.3931510979907689E-3</v>
      </c>
      <c r="D64" s="6" cm="1">
        <f t="array" ref="D64">PRODUCT(1+IF(Rend_j[[Week,Year]:[Week,Year]]='Rend hebdo'!$A64,Rend_j[EM ex China]))-1</f>
        <v>-3.5873630270469747E-2</v>
      </c>
      <c r="E64" s="6" cm="1">
        <f t="array" ref="E64">PRODUCT(1+IF(Rend_j[[Week,Year]:[Week,Year]]='Rend hebdo'!$A64,Rend_j[EM]))-1</f>
        <v>-4.0413157074236539E-2</v>
      </c>
      <c r="F64" s="6" cm="1">
        <f t="array" ref="F64">PRODUCT(1+IF(Rend_j[[Week,Year]:[Week,Year]]='Rend hebdo'!$A64,Rend_j[Japon]))-1</f>
        <v>-2.0527995628135676E-2</v>
      </c>
      <c r="G64" s="6" cm="1">
        <f t="array" ref="G64">PRODUCT(1+IF(Rend_j[[Week,Year]:[Week,Year]]='Rend hebdo'!$A64,Rend_j[Monde]))-1</f>
        <v>1.6513603080539063E-3</v>
      </c>
      <c r="H64" s="6" cm="1">
        <f t="array" ref="H64">PRODUCT(1+IF(Rend_j[[Week,Year]:[Week,Year]]='Rend hebdo'!$A64,Rend_j[RU]))-1</f>
        <v>-4.8359540150003655E-3</v>
      </c>
      <c r="I64" s="6" cm="1">
        <f t="array" ref="I64">PRODUCT(1+IF(Rend_j[[Week,Year]:[Week,Year]]='Rend hebdo'!$A64,Rend_j[US]))-1</f>
        <v>9.3972601141252277E-3</v>
      </c>
      <c r="J64" s="6" cm="1">
        <f t="array" ref="J64">PRODUCT(1+IF(Rend_j[[Week,Year]:[Week,Year]]='Rend hebdo'!$A64,Rend_j[France]))-1</f>
        <v>-2.5571309000890885E-2</v>
      </c>
      <c r="K64" s="6" cm="1">
        <f t="array" ref="K64">PRODUCT(1+IF(Rend_j[[Week,Year]:[Week,Year]]='Rend hebdo'!$A64,Rend_j[Europe]))-1</f>
        <v>-1.5798266165223396E-2</v>
      </c>
      <c r="L64" s="6" cm="1">
        <f t="array" ref="L64">PRODUCT(1+IF(Rend_j[[Week,Year]:[Week,Year]]='Rend hebdo'!$A64,Rend_j[Allemagne]))-1</f>
        <v>-3.159574481034233E-2</v>
      </c>
      <c r="M64" s="10">
        <f>VALUE(LEFT(Rend_h[[#This Row],[Week,Year]],FIND(",",Rend_h[[#This Row],[Week,Year]])-1))</f>
        <v>8</v>
      </c>
      <c r="N64" s="10">
        <f>VALUE(RIGHT(Rend_h[[#This Row],[Week,Year]],4))</f>
        <v>2022</v>
      </c>
    </row>
    <row r="65" spans="1:16" x14ac:dyDescent="0.25">
      <c r="A65" s="61" t="s">
        <v>89</v>
      </c>
      <c r="B65" s="6" cm="1">
        <f t="array" ref="B65">PRODUCT(1+IF(Rend_j[[Week,Year]:[Week,Year]]='Rend hebdo'!$A65,Rend_j[Chine]))-1</f>
        <v>-3.1000910414946681E-3</v>
      </c>
      <c r="C65" s="6" cm="1">
        <f t="array" ref="C65">PRODUCT(1+IF(Rend_j[[Week,Year]:[Week,Year]]='Rend hebdo'!$A65,Rend_j[DM]))-1</f>
        <v>9.3491443500481886E-4</v>
      </c>
      <c r="D65" s="6" cm="1">
        <f t="array" ref="D65">PRODUCT(1+IF(Rend_j[[Week,Year]:[Week,Year]]='Rend hebdo'!$A65,Rend_j[EM ex China]))-1</f>
        <v>1.5935741187295349E-2</v>
      </c>
      <c r="E65" s="6" cm="1">
        <f t="array" ref="E65">PRODUCT(1+IF(Rend_j[[Week,Year]:[Week,Year]]='Rend hebdo'!$A65,Rend_j[EM]))-1</f>
        <v>6.0586812596192807E-3</v>
      </c>
      <c r="F65" s="6" cm="1">
        <f t="array" ref="F65">PRODUCT(1+IF(Rend_j[[Week,Year]:[Week,Year]]='Rend hebdo'!$A65,Rend_j[Japon]))-1</f>
        <v>1.7242607343392002E-2</v>
      </c>
      <c r="G65" s="6" cm="1">
        <f t="array" ref="G65">PRODUCT(1+IF(Rend_j[[Week,Year]:[Week,Year]]='Rend hebdo'!$A65,Rend_j[Monde]))-1</f>
        <v>1.5287368811518487E-3</v>
      </c>
      <c r="H65" s="6" cm="1">
        <f t="array" ref="H65">PRODUCT(1+IF(Rend_j[[Week,Year]:[Week,Year]]='Rend hebdo'!$A65,Rend_j[RU]))-1</f>
        <v>-4.900192050282226E-2</v>
      </c>
      <c r="I65" s="6" cm="1">
        <f t="array" ref="I65">PRODUCT(1+IF(Rend_j[[Week,Year]:[Week,Year]]='Rend hebdo'!$A65,Rend_j[US]))-1</f>
        <v>-1.5747347142951007E-2</v>
      </c>
      <c r="J65" s="6" cm="1">
        <f t="array" ref="J65">PRODUCT(1+IF(Rend_j[[Week,Year]:[Week,Year]]='Rend hebdo'!$A65,Rend_j[France]))-1</f>
        <v>-0.10229946878313356</v>
      </c>
      <c r="K65" s="6" cm="1">
        <f t="array" ref="K65">PRODUCT(1+IF(Rend_j[[Week,Year]:[Week,Year]]='Rend hebdo'!$A65,Rend_j[Europe]))-1</f>
        <v>-7.00063944391911E-2</v>
      </c>
      <c r="L65" s="6" cm="1">
        <f t="array" ref="L65">PRODUCT(1+IF(Rend_j[[Week,Year]:[Week,Year]]='Rend hebdo'!$A65,Rend_j[Allemagne]))-1</f>
        <v>-0.1010961165907881</v>
      </c>
      <c r="M65" s="10">
        <f>VALUE(LEFT(Rend_h[[#This Row],[Week,Year]],FIND(",",Rend_h[[#This Row],[Week,Year]])-1))</f>
        <v>9</v>
      </c>
      <c r="N65" s="10">
        <f>VALUE(RIGHT(Rend_h[[#This Row],[Week,Year]],4))</f>
        <v>2022</v>
      </c>
    </row>
    <row r="66" spans="1:16" x14ac:dyDescent="0.25">
      <c r="A66" s="62" t="s">
        <v>90</v>
      </c>
      <c r="B66" s="6" cm="1">
        <f t="array" ref="B66">PRODUCT(1+IF(Rend_j[[Week,Year]:[Week,Year]]='Rend hebdo'!$A66,Rend_j[Chine]))-1</f>
        <v>-7.4324296630975284E-2</v>
      </c>
      <c r="C66" s="6" cm="1">
        <f t="array" ref="C66">PRODUCT(1+IF(Rend_j[[Week,Year]:[Week,Year]]='Rend hebdo'!$A66,Rend_j[DM]))-1</f>
        <v>-2.3698064725731438E-2</v>
      </c>
      <c r="D66" s="6" cm="1">
        <f t="array" ref="D66">PRODUCT(1+IF(Rend_j[[Week,Year]:[Week,Year]]='Rend hebdo'!$A66,Rend_j[EM ex China]))-1</f>
        <v>-3.7667876391724642E-2</v>
      </c>
      <c r="E66" s="6" cm="1">
        <f t="array" ref="E66">PRODUCT(1+IF(Rend_j[[Week,Year]:[Week,Year]]='Rend hebdo'!$A66,Rend_j[EM]))-1</f>
        <v>-5.5809718073869141E-2</v>
      </c>
      <c r="F66" s="6" cm="1">
        <f t="array" ref="F66">PRODUCT(1+IF(Rend_j[[Week,Year]:[Week,Year]]='Rend hebdo'!$A66,Rend_j[Japon]))-1</f>
        <v>-4.7787703564530992E-2</v>
      </c>
      <c r="G66" s="6" cm="1">
        <f t="array" ref="G66">PRODUCT(1+IF(Rend_j[[Week,Year]:[Week,Year]]='Rend hebdo'!$A66,Rend_j[Monde]))-1</f>
        <v>-2.7430367197291194E-2</v>
      </c>
      <c r="H66" s="6" cm="1">
        <f t="array" ref="H66">PRODUCT(1+IF(Rend_j[[Week,Year]:[Week,Year]]='Rend hebdo'!$A66,Rend_j[RU]))-1</f>
        <v>8.1288374844461497E-3</v>
      </c>
      <c r="I66" s="6" cm="1">
        <f t="array" ref="I66">PRODUCT(1+IF(Rend_j[[Week,Year]:[Week,Year]]='Rend hebdo'!$A66,Rend_j[US]))-1</f>
        <v>-2.825758991418581E-2</v>
      </c>
      <c r="J66" s="6" cm="1">
        <f t="array" ref="J66">PRODUCT(1+IF(Rend_j[[Week,Year]:[Week,Year]]='Rend hebdo'!$A66,Rend_j[France]))-1</f>
        <v>3.2761626169925062E-2</v>
      </c>
      <c r="K66" s="6" cm="1">
        <f t="array" ref="K66">PRODUCT(1+IF(Rend_j[[Week,Year]:[Week,Year]]='Rend hebdo'!$A66,Rend_j[Europe]))-1</f>
        <v>2.2262824273941106E-2</v>
      </c>
      <c r="L66" s="6" cm="1">
        <f t="array" ref="L66">PRODUCT(1+IF(Rend_j[[Week,Year]:[Week,Year]]='Rend hebdo'!$A66,Rend_j[Allemagne]))-1</f>
        <v>4.0747541217186933E-2</v>
      </c>
      <c r="M66" s="10">
        <f>VALUE(LEFT(Rend_h[[#This Row],[Week,Year]],FIND(",",Rend_h[[#This Row],[Week,Year]])-1))</f>
        <v>10</v>
      </c>
      <c r="N66" s="10">
        <f>VALUE(RIGHT(Rend_h[[#This Row],[Week,Year]],4))</f>
        <v>2022</v>
      </c>
    </row>
    <row r="67" spans="1:16" x14ac:dyDescent="0.25">
      <c r="A67" s="61" t="s">
        <v>91</v>
      </c>
      <c r="B67" s="6" cm="1">
        <f t="array" ref="B67">PRODUCT(1+IF(Rend_j[[Week,Year]:[Week,Year]]='Rend hebdo'!$A67,Rend_j[Chine]))-1</f>
        <v>1.2356104733655782E-2</v>
      </c>
      <c r="C67" s="6" cm="1">
        <f t="array" ref="C67">PRODUCT(1+IF(Rend_j[[Week,Year]:[Week,Year]]='Rend hebdo'!$A67,Rend_j[DM]))-1</f>
        <v>5.2180588170786413E-2</v>
      </c>
      <c r="D67" s="6" cm="1">
        <f t="array" ref="D67">PRODUCT(1+IF(Rend_j[[Week,Year]:[Week,Year]]='Rend hebdo'!$A67,Rend_j[EM ex China]))-1</f>
        <v>1.9658462528055143E-2</v>
      </c>
      <c r="E67" s="6" cm="1">
        <f t="array" ref="E67">PRODUCT(1+IF(Rend_j[[Week,Year]:[Week,Year]]='Rend hebdo'!$A67,Rend_j[EM]))-1</f>
        <v>2.6695676997739337E-2</v>
      </c>
      <c r="F67" s="6" cm="1">
        <f t="array" ref="F67">PRODUCT(1+IF(Rend_j[[Week,Year]:[Week,Year]]='Rend hebdo'!$A67,Rend_j[Japon]))-1</f>
        <v>3.6815304578014407E-2</v>
      </c>
      <c r="G67" s="6" cm="1">
        <f t="array" ref="G67">PRODUCT(1+IF(Rend_j[[Week,Year]:[Week,Year]]='Rend hebdo'!$A67,Rend_j[Monde]))-1</f>
        <v>4.9310863469032018E-2</v>
      </c>
      <c r="H67" s="6" cm="1">
        <f t="array" ref="H67">PRODUCT(1+IF(Rend_j[[Week,Year]:[Week,Year]]='Rend hebdo'!$A67,Rend_j[RU]))-1</f>
        <v>3.217223273271741E-2</v>
      </c>
      <c r="I67" s="6" cm="1">
        <f t="array" ref="I67">PRODUCT(1+IF(Rend_j[[Week,Year]:[Week,Year]]='Rend hebdo'!$A67,Rend_j[US]))-1</f>
        <v>6.3012702627615935E-2</v>
      </c>
      <c r="J67" s="6" cm="1">
        <f t="array" ref="J67">PRODUCT(1+IF(Rend_j[[Week,Year]:[Week,Year]]='Rend hebdo'!$A67,Rend_j[France]))-1</f>
        <v>5.7504130665708253E-2</v>
      </c>
      <c r="K67" s="6" cm="1">
        <f t="array" ref="K67">PRODUCT(1+IF(Rend_j[[Week,Year]:[Week,Year]]='Rend hebdo'!$A67,Rend_j[Europe]))-1</f>
        <v>5.4340497468686744E-2</v>
      </c>
      <c r="L67" s="6" cm="1">
        <f t="array" ref="L67">PRODUCT(1+IF(Rend_j[[Week,Year]:[Week,Year]]='Rend hebdo'!$A67,Rend_j[Allemagne]))-1</f>
        <v>5.7600024496426094E-2</v>
      </c>
      <c r="M67" s="10">
        <f>VALUE(LEFT(Rend_h[[#This Row],[Week,Year]],FIND(",",Rend_h[[#This Row],[Week,Year]])-1))</f>
        <v>11</v>
      </c>
      <c r="N67" s="10">
        <f>VALUE(RIGHT(Rend_h[[#This Row],[Week,Year]],4))</f>
        <v>2022</v>
      </c>
    </row>
    <row r="68" spans="1:16" x14ac:dyDescent="0.25">
      <c r="A68" s="62" t="s">
        <v>92</v>
      </c>
      <c r="B68" s="6" cm="1">
        <f t="array" ref="B68">PRODUCT(1+IF(Rend_j[[Week,Year]:[Week,Year]]='Rend hebdo'!$A68,Rend_j[Chine]))-1</f>
        <v>-1.0840315285226443E-2</v>
      </c>
      <c r="C68" s="6" cm="1">
        <f t="array" ref="C68">PRODUCT(1+IF(Rend_j[[Week,Year]:[Week,Year]]='Rend hebdo'!$A68,Rend_j[DM]))-1</f>
        <v>1.8695686550749935E-2</v>
      </c>
      <c r="D68" s="6" cm="1">
        <f t="array" ref="D68">PRODUCT(1+IF(Rend_j[[Week,Year]:[Week,Year]]='Rend hebdo'!$A68,Rend_j[EM ex China]))-1</f>
        <v>1.4428039676684934E-2</v>
      </c>
      <c r="E68" s="6" cm="1">
        <f t="array" ref="E68">PRODUCT(1+IF(Rend_j[[Week,Year]:[Week,Year]]='Rend hebdo'!$A68,Rend_j[EM]))-1</f>
        <v>7.6426515567111775E-3</v>
      </c>
      <c r="F68" s="6" cm="1">
        <f t="array" ref="F68">PRODUCT(1+IF(Rend_j[[Week,Year]:[Week,Year]]='Rend hebdo'!$A68,Rend_j[Japon]))-1</f>
        <v>2.3374566344170677E-2</v>
      </c>
      <c r="G68" s="6" cm="1">
        <f t="array" ref="G68">PRODUCT(1+IF(Rend_j[[Week,Year]:[Week,Year]]='Rend hebdo'!$A68,Rend_j[Monde]))-1</f>
        <v>1.7479159182057558E-2</v>
      </c>
      <c r="H68" s="6" cm="1">
        <f t="array" ref="H68">PRODUCT(1+IF(Rend_j[[Week,Year]:[Week,Year]]='Rend hebdo'!$A68,Rend_j[RU]))-1</f>
        <v>2.2102859159209398E-2</v>
      </c>
      <c r="I68" s="6" cm="1">
        <f t="array" ref="I68">PRODUCT(1+IF(Rend_j[[Week,Year]:[Week,Year]]='Rend hebdo'!$A68,Rend_j[US]))-1</f>
        <v>1.52969793232407E-2</v>
      </c>
      <c r="J68" s="6" cm="1">
        <f t="array" ref="J68">PRODUCT(1+IF(Rend_j[[Week,Year]:[Week,Year]]='Rend hebdo'!$A68,Rend_j[France]))-1</f>
        <v>-1.0054024574238873E-2</v>
      </c>
      <c r="K68" s="6" cm="1">
        <f t="array" ref="K68">PRODUCT(1+IF(Rend_j[[Week,Year]:[Week,Year]]='Rend hebdo'!$A68,Rend_j[Europe]))-1</f>
        <v>-2.309762398023496E-3</v>
      </c>
      <c r="L68" s="6" cm="1">
        <f t="array" ref="L68">PRODUCT(1+IF(Rend_j[[Week,Year]:[Week,Year]]='Rend hebdo'!$A68,Rend_j[Allemagne]))-1</f>
        <v>-7.4467079017389581E-3</v>
      </c>
      <c r="M68" s="10">
        <f>VALUE(LEFT(Rend_h[[#This Row],[Week,Year]],FIND(",",Rend_h[[#This Row],[Week,Year]])-1))</f>
        <v>12</v>
      </c>
      <c r="N68" s="10">
        <f>VALUE(RIGHT(Rend_h[[#This Row],[Week,Year]],4))</f>
        <v>2022</v>
      </c>
    </row>
    <row r="69" spans="1:16" x14ac:dyDescent="0.25">
      <c r="A69" s="61" t="s">
        <v>93</v>
      </c>
      <c r="B69" s="6" cm="1">
        <f t="array" ref="B69">PRODUCT(1+IF(Rend_j[[Week,Year]:[Week,Year]]='Rend hebdo'!$A69,Rend_j[Chine]))-1</f>
        <v>2.3751181770823582E-2</v>
      </c>
      <c r="C69" s="6" cm="1">
        <f t="array" ref="C69">PRODUCT(1+IF(Rend_j[[Week,Year]:[Week,Year]]='Rend hebdo'!$A69,Rend_j[DM]))-1</f>
        <v>-2.113262397335558E-3</v>
      </c>
      <c r="D69" s="6" cm="1">
        <f t="array" ref="D69">PRODUCT(1+IF(Rend_j[[Week,Year]:[Week,Year]]='Rend hebdo'!$A69,Rend_j[EM ex China]))-1</f>
        <v>7.1824621449667614E-3</v>
      </c>
      <c r="E69" s="6" cm="1">
        <f t="array" ref="E69">PRODUCT(1+IF(Rend_j[[Week,Year]:[Week,Year]]='Rend hebdo'!$A69,Rend_j[EM]))-1</f>
        <v>1.3725022249402308E-2</v>
      </c>
      <c r="F69" s="6" cm="1">
        <f t="array" ref="F69">PRODUCT(1+IF(Rend_j[[Week,Year]:[Week,Year]]='Rend hebdo'!$A69,Rend_j[Japon]))-1</f>
        <v>-2.9135577167409887E-2</v>
      </c>
      <c r="G69" s="6" cm="1">
        <f t="array" ref="G69">PRODUCT(1+IF(Rend_j[[Week,Year]:[Week,Year]]='Rend hebdo'!$A69,Rend_j[Monde]))-1</f>
        <v>-3.8551612322113016E-4</v>
      </c>
      <c r="H69" s="6" cm="1">
        <f t="array" ref="H69">PRODUCT(1+IF(Rend_j[[Week,Year]:[Week,Year]]='Rend hebdo'!$A69,Rend_j[RU]))-1</f>
        <v>-3.1646176566486606E-3</v>
      </c>
      <c r="I69" s="6" cm="1">
        <f t="array" ref="I69">PRODUCT(1+IF(Rend_j[[Week,Year]:[Week,Year]]='Rend hebdo'!$A69,Rend_j[US]))-1</f>
        <v>2.1813489004891551E-3</v>
      </c>
      <c r="J69" s="6" cm="1">
        <f t="array" ref="J69">PRODUCT(1+IF(Rend_j[[Week,Year]:[Week,Year]]='Rend hebdo'!$A69,Rend_j[France]))-1</f>
        <v>1.9932294450128341E-2</v>
      </c>
      <c r="K69" s="6" cm="1">
        <f t="array" ref="K69">PRODUCT(1+IF(Rend_j[[Week,Year]:[Week,Year]]='Rend hebdo'!$A69,Rend_j[Europe]))-1</f>
        <v>1.0561146790284859E-2</v>
      </c>
      <c r="L69" s="6" cm="1">
        <f t="array" ref="L69">PRODUCT(1+IF(Rend_j[[Week,Year]:[Week,Year]]='Rend hebdo'!$A69,Rend_j[Allemagne]))-1</f>
        <v>9.8366463761749845E-3</v>
      </c>
      <c r="M69" s="10">
        <f>VALUE(LEFT(Rend_h[[#This Row],[Week,Year]],FIND(",",Rend_h[[#This Row],[Week,Year]])-1))</f>
        <v>13</v>
      </c>
      <c r="N69" s="10">
        <f>VALUE(RIGHT(Rend_h[[#This Row],[Week,Year]],4))</f>
        <v>2022</v>
      </c>
      <c r="P69" s="58"/>
    </row>
    <row r="70" spans="1:16" x14ac:dyDescent="0.25">
      <c r="A70" s="62" t="s">
        <v>94</v>
      </c>
      <c r="B70" s="6" cm="1">
        <f t="array" ref="B70">PRODUCT(1+IF(Rend_j[[Week,Year]:[Week,Year]]='Rend hebdo'!$A70,Rend_j[Chine]))-1</f>
        <v>-1.085249403191213E-3</v>
      </c>
      <c r="C70" s="6" cm="1">
        <f t="array" ref="C70">PRODUCT(1+IF(Rend_j[[Week,Year]:[Week,Year]]='Rend hebdo'!$A70,Rend_j[DM]))-1</f>
        <v>9.1921838154096491E-5</v>
      </c>
      <c r="D70" s="6" cm="1">
        <f t="array" ref="D70">PRODUCT(1+IF(Rend_j[[Week,Year]:[Week,Year]]='Rend hebdo'!$A70,Rend_j[EM ex China]))-1</f>
        <v>-4.8203935129287334E-4</v>
      </c>
      <c r="E70" s="6" cm="1">
        <f t="array" ref="E70">PRODUCT(1+IF(Rend_j[[Week,Year]:[Week,Year]]='Rend hebdo'!$A70,Rend_j[EM]))-1</f>
        <v>-8.828311413783263E-4</v>
      </c>
      <c r="F70" s="6" cm="1">
        <f t="array" ref="F70">PRODUCT(1+IF(Rend_j[[Week,Year]:[Week,Year]]='Rend hebdo'!$A70,Rend_j[Japon]))-1</f>
        <v>-2.2526782899393583E-2</v>
      </c>
      <c r="G70" s="6" cm="1">
        <f t="array" ref="G70">PRODUCT(1+IF(Rend_j[[Week,Year]:[Week,Year]]='Rend hebdo'!$A70,Rend_j[Monde]))-1</f>
        <v>-1.8021719776828427E-5</v>
      </c>
      <c r="H70" s="6" cm="1">
        <f t="array" ref="H70">PRODUCT(1+IF(Rend_j[[Week,Year]:[Week,Year]]='Rend hebdo'!$A70,Rend_j[RU]))-1</f>
        <v>2.7552237657290313E-2</v>
      </c>
      <c r="I70" s="6" cm="1">
        <f t="array" ref="I70">PRODUCT(1+IF(Rend_j[[Week,Year]:[Week,Year]]='Rend hebdo'!$A70,Rend_j[US]))-1</f>
        <v>-1.7545859003661457E-2</v>
      </c>
      <c r="J70" s="6" cm="1">
        <f t="array" ref="J70">PRODUCT(1+IF(Rend_j[[Week,Year]:[Week,Year]]='Rend hebdo'!$A70,Rend_j[France]))-1</f>
        <v>-2.0359594752305643E-2</v>
      </c>
      <c r="K70" s="6" cm="1">
        <f t="array" ref="K70">PRODUCT(1+IF(Rend_j[[Week,Year]:[Week,Year]]='Rend hebdo'!$A70,Rend_j[Europe]))-1</f>
        <v>5.7381093139425854E-3</v>
      </c>
      <c r="L70" s="6" cm="1">
        <f t="array" ref="L70">PRODUCT(1+IF(Rend_j[[Week,Year]:[Week,Year]]='Rend hebdo'!$A70,Rend_j[Allemagne]))-1</f>
        <v>-1.1269911058136017E-2</v>
      </c>
      <c r="M70" s="10">
        <f>VALUE(LEFT(Rend_h[[#This Row],[Week,Year]],FIND(",",Rend_h[[#This Row],[Week,Year]])-1))</f>
        <v>14</v>
      </c>
      <c r="N70" s="10">
        <f>VALUE(RIGHT(Rend_h[[#This Row],[Week,Year]],4))</f>
        <v>2022</v>
      </c>
      <c r="P70" s="55"/>
    </row>
    <row r="71" spans="1:16" x14ac:dyDescent="0.25">
      <c r="A71" s="61" t="s">
        <v>95</v>
      </c>
      <c r="B71" s="6" cm="1">
        <f t="array" ref="B71">PRODUCT(1+IF(Rend_j[[Week,Year]:[Week,Year]]='Rend hebdo'!$A71,Rend_j[Chine]))-1</f>
        <v>-4.890893339769109E-3</v>
      </c>
      <c r="C71" s="6" cm="1">
        <f t="array" ref="C71">PRODUCT(1+IF(Rend_j[[Week,Year]:[Week,Year]]='Rend hebdo'!$A71,Rend_j[DM]))-1</f>
        <v>-8.59390190013265E-3</v>
      </c>
      <c r="D71" s="6" cm="1">
        <f t="array" ref="D71">PRODUCT(1+IF(Rend_j[[Week,Year]:[Week,Year]]='Rend hebdo'!$A71,Rend_j[EM ex China]))-1</f>
        <v>-4.4061568533957374E-3</v>
      </c>
      <c r="E71" s="6" cm="1">
        <f t="array" ref="E71">PRODUCT(1+IF(Rend_j[[Week,Year]:[Week,Year]]='Rend hebdo'!$A71,Rend_j[EM]))-1</f>
        <v>-4.4426008605393807E-3</v>
      </c>
      <c r="F71" s="6" cm="1">
        <f t="array" ref="F71">PRODUCT(1+IF(Rend_j[[Week,Year]:[Week,Year]]='Rend hebdo'!$A71,Rend_j[Japon]))-1</f>
        <v>-2.7567488620043878E-3</v>
      </c>
      <c r="G71" s="6" cm="1">
        <f t="array" ref="G71">PRODUCT(1+IF(Rend_j[[Week,Year]:[Week,Year]]='Rend hebdo'!$A71,Rend_j[Monde]))-1</f>
        <v>-8.1315465076882143E-3</v>
      </c>
      <c r="H71" s="6" cm="1">
        <f t="array" ref="H71">PRODUCT(1+IF(Rend_j[[Week,Year]:[Week,Year]]='Rend hebdo'!$A71,Rend_j[RU]))-1</f>
        <v>4.1755607984121923E-3</v>
      </c>
      <c r="I71" s="6" cm="1">
        <f t="array" ref="I71">PRODUCT(1+IF(Rend_j[[Week,Year]:[Week,Year]]='Rend hebdo'!$A71,Rend_j[US]))-1</f>
        <v>-1.7670103236577028E-2</v>
      </c>
      <c r="J71" s="6" cm="1">
        <f t="array" ref="J71">PRODUCT(1+IF(Rend_j[[Week,Year]:[Week,Year]]='Rend hebdo'!$A71,Rend_j[France]))-1</f>
        <v>6.2810781631603696E-3</v>
      </c>
      <c r="K71" s="6" cm="1">
        <f t="array" ref="K71">PRODUCT(1+IF(Rend_j[[Week,Year]:[Week,Year]]='Rend hebdo'!$A71,Rend_j[Europe]))-1</f>
        <v>-2.4947263325278968E-3</v>
      </c>
      <c r="L71" s="6" cm="1">
        <f t="array" ref="L71">PRODUCT(1+IF(Rend_j[[Week,Year]:[Week,Year]]='Rend hebdo'!$A71,Rend_j[Allemagne]))-1</f>
        <v>-8.3886221588072019E-3</v>
      </c>
      <c r="M71" s="10">
        <f>VALUE(LEFT(Rend_h[[#This Row],[Week,Year]],FIND(",",Rend_h[[#This Row],[Week,Year]])-1))</f>
        <v>15</v>
      </c>
      <c r="N71" s="10">
        <f>VALUE(RIGHT(Rend_h[[#This Row],[Week,Year]],4))</f>
        <v>2022</v>
      </c>
    </row>
    <row r="72" spans="1:16" x14ac:dyDescent="0.25">
      <c r="A72" s="62" t="s">
        <v>96</v>
      </c>
      <c r="B72" s="6" cm="1">
        <f t="array" ref="B72">PRODUCT(1+IF(Rend_j[[Week,Year]:[Week,Year]]='Rend hebdo'!$A72,Rend_j[Chine]))-1</f>
        <v>-6.5109119542689498E-2</v>
      </c>
      <c r="C72" s="6" cm="1">
        <f t="array" ref="C72">PRODUCT(1+IF(Rend_j[[Week,Year]:[Week,Year]]='Rend hebdo'!$A72,Rend_j[DM]))-1</f>
        <v>-2.5998060218795582E-2</v>
      </c>
      <c r="D72" s="6" cm="1">
        <f t="array" ref="D72">PRODUCT(1+IF(Rend_j[[Week,Year]:[Week,Year]]='Rend hebdo'!$A72,Rend_j[EM ex China]))-1</f>
        <v>-1.8399572445412571E-2</v>
      </c>
      <c r="E72" s="6" cm="1">
        <f t="array" ref="E72">PRODUCT(1+IF(Rend_j[[Week,Year]:[Week,Year]]='Rend hebdo'!$A72,Rend_j[EM]))-1</f>
        <v>-3.3428745417384498E-2</v>
      </c>
      <c r="F72" s="6" cm="1">
        <f t="array" ref="F72">PRODUCT(1+IF(Rend_j[[Week,Year]:[Week,Year]]='Rend hebdo'!$A72,Rend_j[Japon]))-1</f>
        <v>-1.5188776537642612E-2</v>
      </c>
      <c r="G72" s="6" cm="1">
        <f t="array" ref="G72">PRODUCT(1+IF(Rend_j[[Week,Year]:[Week,Year]]='Rend hebdo'!$A72,Rend_j[Monde]))-1</f>
        <v>-2.682588250685003E-2</v>
      </c>
      <c r="H72" s="6" cm="1">
        <f t="array" ref="H72">PRODUCT(1+IF(Rend_j[[Week,Year]:[Week,Year]]='Rend hebdo'!$A72,Rend_j[RU]))-1</f>
        <v>-2.8277610994051794E-2</v>
      </c>
      <c r="I72" s="6" cm="1">
        <f t="array" ref="I72">PRODUCT(1+IF(Rend_j[[Week,Year]:[Week,Year]]='Rend hebdo'!$A72,Rend_j[US]))-1</f>
        <v>-2.9222945384178245E-2</v>
      </c>
      <c r="J72" s="6" cm="1">
        <f t="array" ref="J72">PRODUCT(1+IF(Rend_j[[Week,Year]:[Week,Year]]='Rend hebdo'!$A72,Rend_j[France]))-1</f>
        <v>-1.2034837855111613E-3</v>
      </c>
      <c r="K72" s="6" cm="1">
        <f t="array" ref="K72">PRODUCT(1+IF(Rend_j[[Week,Year]:[Week,Year]]='Rend hebdo'!$A72,Rend_j[Europe]))-1</f>
        <v>-1.415773324539138E-2</v>
      </c>
      <c r="L72" s="6" cm="1">
        <f t="array" ref="L72">PRODUCT(1+IF(Rend_j[[Week,Year]:[Week,Year]]='Rend hebdo'!$A72,Rend_j[Allemagne]))-1</f>
        <v>-1.5362892574513065E-3</v>
      </c>
      <c r="M72" s="10">
        <f>VALUE(LEFT(Rend_h[[#This Row],[Week,Year]],FIND(",",Rend_h[[#This Row],[Week,Year]])-1))</f>
        <v>16</v>
      </c>
      <c r="N72" s="10">
        <f>VALUE(RIGHT(Rend_h[[#This Row],[Week,Year]],4))</f>
        <v>2022</v>
      </c>
    </row>
    <row r="73" spans="1:16" x14ac:dyDescent="0.25">
      <c r="A73" s="61" t="s">
        <v>97</v>
      </c>
      <c r="B73" s="6" cm="1">
        <f t="array" ref="B73">PRODUCT(1+IF(Rend_j[[Week,Year]:[Week,Year]]='Rend hebdo'!$A73,Rend_j[Chine]))-1</f>
        <v>4.4969279688766184E-2</v>
      </c>
      <c r="C73" s="6" cm="1">
        <f t="array" ref="C73">PRODUCT(1+IF(Rend_j[[Week,Year]:[Week,Year]]='Rend hebdo'!$A73,Rend_j[DM]))-1</f>
        <v>-9.3500712055151203E-3</v>
      </c>
      <c r="D73" s="6" cm="1">
        <f t="array" ref="D73">PRODUCT(1+IF(Rend_j[[Week,Year]:[Week,Year]]='Rend hebdo'!$A73,Rend_j[EM ex China]))-1</f>
        <v>8.5807843832119701E-4</v>
      </c>
      <c r="E73" s="6" cm="1">
        <f t="array" ref="E73">PRODUCT(1+IF(Rend_j[[Week,Year]:[Week,Year]]='Rend hebdo'!$A73,Rend_j[EM]))-1</f>
        <v>2.19869914551718E-2</v>
      </c>
      <c r="F73" s="6" cm="1">
        <f t="array" ref="F73">PRODUCT(1+IF(Rend_j[[Week,Year]:[Week,Year]]='Rend hebdo'!$A73,Rend_j[Japon]))-1</f>
        <v>7.5658995426997055E-3</v>
      </c>
      <c r="G73" s="6" cm="1">
        <f t="array" ref="G73">PRODUCT(1+IF(Rend_j[[Week,Year]:[Week,Year]]='Rend hebdo'!$A73,Rend_j[Monde]))-1</f>
        <v>-5.892457057505629E-3</v>
      </c>
      <c r="H73" s="6" cm="1">
        <f t="array" ref="H73">PRODUCT(1+IF(Rend_j[[Week,Year]:[Week,Year]]='Rend hebdo'!$A73,Rend_j[RU]))-1</f>
        <v>2.3602782441833892E-3</v>
      </c>
      <c r="I73" s="6" cm="1">
        <f t="array" ref="I73">PRODUCT(1+IF(Rend_j[[Week,Year]:[Week,Year]]='Rend hebdo'!$A73,Rend_j[US]))-1</f>
        <v>-3.3455369001819557E-2</v>
      </c>
      <c r="J73" s="6" cm="1">
        <f t="array" ref="J73">PRODUCT(1+IF(Rend_j[[Week,Year]:[Week,Year]]='Rend hebdo'!$A73,Rend_j[France]))-1</f>
        <v>-7.2400640841528974E-3</v>
      </c>
      <c r="K73" s="6" cm="1">
        <f t="array" ref="K73">PRODUCT(1+IF(Rend_j[[Week,Year]:[Week,Year]]='Rend hebdo'!$A73,Rend_j[Europe]))-1</f>
        <v>-6.4414705452846555E-3</v>
      </c>
      <c r="L73" s="6" cm="1">
        <f t="array" ref="L73">PRODUCT(1+IF(Rend_j[[Week,Year]:[Week,Year]]='Rend hebdo'!$A73,Rend_j[Allemagne]))-1</f>
        <v>-3.1261263717157206E-3</v>
      </c>
      <c r="M73" s="10">
        <f>VALUE(LEFT(Rend_h[[#This Row],[Week,Year]],FIND(",",Rend_h[[#This Row],[Week,Year]])-1))</f>
        <v>17</v>
      </c>
      <c r="N73" s="10">
        <f>VALUE(RIGHT(Rend_h[[#This Row],[Week,Year]],4))</f>
        <v>2022</v>
      </c>
    </row>
    <row r="74" spans="1:16" x14ac:dyDescent="0.25">
      <c r="A74" s="62" t="s">
        <v>98</v>
      </c>
      <c r="B74" s="6" cm="1">
        <f t="array" ref="B74">PRODUCT(1+IF(Rend_j[[Week,Year]:[Week,Year]]='Rend hebdo'!$A74,Rend_j[Chine]))-1</f>
        <v>-5.9702264974388464E-2</v>
      </c>
      <c r="C74" s="6" cm="1">
        <f t="array" ref="C74">PRODUCT(1+IF(Rend_j[[Week,Year]:[Week,Year]]='Rend hebdo'!$A74,Rend_j[DM]))-1</f>
        <v>-1.5073965535718825E-2</v>
      </c>
      <c r="D74" s="6" cm="1">
        <f t="array" ref="D74">PRODUCT(1+IF(Rend_j[[Week,Year]:[Week,Year]]='Rend hebdo'!$A74,Rend_j[EM ex China]))-1</f>
        <v>-3.2571991933459388E-2</v>
      </c>
      <c r="E74" s="6" cm="1">
        <f t="array" ref="E74">PRODUCT(1+IF(Rend_j[[Week,Year]:[Week,Year]]='Rend hebdo'!$A74,Rend_j[EM]))-1</f>
        <v>-4.4560361394664127E-2</v>
      </c>
      <c r="F74" s="6" cm="1">
        <f t="array" ref="F74">PRODUCT(1+IF(Rend_j[[Week,Year]:[Week,Year]]='Rend hebdo'!$A74,Rend_j[Japon]))-1</f>
        <v>-7.8719334821641951E-4</v>
      </c>
      <c r="G74" s="6" cm="1">
        <f t="array" ref="G74">PRODUCT(1+IF(Rend_j[[Week,Year]:[Week,Year]]='Rend hebdo'!$A74,Rend_j[Monde]))-1</f>
        <v>-1.8416960281269046E-2</v>
      </c>
      <c r="H74" s="6" cm="1">
        <f t="array" ref="H74">PRODUCT(1+IF(Rend_j[[Week,Year]:[Week,Year]]='Rend hebdo'!$A74,Rend_j[RU]))-1</f>
        <v>-3.8077552622258981E-2</v>
      </c>
      <c r="I74" s="6" cm="1">
        <f t="array" ref="I74">PRODUCT(1+IF(Rend_j[[Week,Year]:[Week,Year]]='Rend hebdo'!$A74,Rend_j[US]))-1</f>
        <v>-5.5798738087822208E-3</v>
      </c>
      <c r="J74" s="6" cm="1">
        <f t="array" ref="J74">PRODUCT(1+IF(Rend_j[[Week,Year]:[Week,Year]]='Rend hebdo'!$A74,Rend_j[France]))-1</f>
        <v>-4.2151798449741151E-2</v>
      </c>
      <c r="K74" s="6" cm="1">
        <f t="array" ref="K74">PRODUCT(1+IF(Rend_j[[Week,Year]:[Week,Year]]='Rend hebdo'!$A74,Rend_j[Europe]))-1</f>
        <v>-4.5471725211314928E-2</v>
      </c>
      <c r="L74" s="6" cm="1">
        <f t="array" ref="L74">PRODUCT(1+IF(Rend_j[[Week,Year]:[Week,Year]]='Rend hebdo'!$A74,Rend_j[Allemagne]))-1</f>
        <v>-3.0046350487134554E-2</v>
      </c>
      <c r="M74" s="10">
        <f>VALUE(LEFT(Rend_h[[#This Row],[Week,Year]],FIND(",",Rend_h[[#This Row],[Week,Year]])-1))</f>
        <v>18</v>
      </c>
      <c r="N74" s="10">
        <f>VALUE(RIGHT(Rend_h[[#This Row],[Week,Year]],4))</f>
        <v>2022</v>
      </c>
    </row>
    <row r="75" spans="1:16" x14ac:dyDescent="0.25">
      <c r="A75" s="61" t="s">
        <v>99</v>
      </c>
      <c r="B75" s="6" cm="1">
        <f t="array" ref="B75">PRODUCT(1+IF(Rend_j[[Week,Year]:[Week,Year]]='Rend hebdo'!$A75,Rend_j[Chine]))-1</f>
        <v>2.1373289536995133E-2</v>
      </c>
      <c r="C75" s="6" cm="1">
        <f t="array" ref="C75">PRODUCT(1+IF(Rend_j[[Week,Year]:[Week,Year]]='Rend hebdo'!$A75,Rend_j[DM]))-1</f>
        <v>-4.3073690529790154E-3</v>
      </c>
      <c r="D75" s="6" cm="1">
        <f t="array" ref="D75">PRODUCT(1+IF(Rend_j[[Week,Year]:[Week,Year]]='Rend hebdo'!$A75,Rend_j[EM ex China]))-1</f>
        <v>-1.7931241263264286E-2</v>
      </c>
      <c r="E75" s="6" cm="1">
        <f t="array" ref="E75">PRODUCT(1+IF(Rend_j[[Week,Year]:[Week,Year]]='Rend hebdo'!$A75,Rend_j[EM]))-1</f>
        <v>-8.4975549611302492E-3</v>
      </c>
      <c r="F75" s="6" cm="1">
        <f t="array" ref="F75">PRODUCT(1+IF(Rend_j[[Week,Year]:[Week,Year]]='Rend hebdo'!$A75,Rend_j[Japon]))-1</f>
        <v>-3.3235882443453102E-3</v>
      </c>
      <c r="G75" s="6" cm="1">
        <f t="array" ref="G75">PRODUCT(1+IF(Rend_j[[Week,Year]:[Week,Year]]='Rend hebdo'!$A75,Rend_j[Monde]))-1</f>
        <v>-4.7719454000665351E-3</v>
      </c>
      <c r="H75" s="6" cm="1">
        <f t="array" ref="H75">PRODUCT(1+IF(Rend_j[[Week,Year]:[Week,Year]]='Rend hebdo'!$A75,Rend_j[RU]))-1</f>
        <v>1.2956126297353876E-2</v>
      </c>
      <c r="I75" s="6" cm="1">
        <f t="array" ref="I75">PRODUCT(1+IF(Rend_j[[Week,Year]:[Week,Year]]='Rend hebdo'!$A75,Rend_j[US]))-1</f>
        <v>-2.431549911988562E-2</v>
      </c>
      <c r="J75" s="6" cm="1">
        <f t="array" ref="J75">PRODUCT(1+IF(Rend_j[[Week,Year]:[Week,Year]]='Rend hebdo'!$A75,Rend_j[France]))-1</f>
        <v>1.6668954052442952E-2</v>
      </c>
      <c r="K75" s="6" cm="1">
        <f t="array" ref="K75">PRODUCT(1+IF(Rend_j[[Week,Year]:[Week,Year]]='Rend hebdo'!$A75,Rend_j[Europe]))-1</f>
        <v>8.3040798464413257E-3</v>
      </c>
      <c r="L75" s="6" cm="1">
        <f t="array" ref="L75">PRODUCT(1+IF(Rend_j[[Week,Year]:[Week,Year]]='Rend hebdo'!$A75,Rend_j[Allemagne]))-1</f>
        <v>2.5861646123165105E-2</v>
      </c>
      <c r="M75" s="10">
        <f>VALUE(LEFT(Rend_h[[#This Row],[Week,Year]],FIND(",",Rend_h[[#This Row],[Week,Year]])-1))</f>
        <v>19</v>
      </c>
      <c r="N75" s="10">
        <f>VALUE(RIGHT(Rend_h[[#This Row],[Week,Year]],4))</f>
        <v>2022</v>
      </c>
    </row>
    <row r="76" spans="1:16" x14ac:dyDescent="0.25">
      <c r="A76" s="62" t="s">
        <v>100</v>
      </c>
      <c r="B76" s="6" cm="1">
        <f t="array" ref="B76">PRODUCT(1+IF(Rend_j[[Week,Year]:[Week,Year]]='Rend hebdo'!$A76,Rend_j[Chine]))-1</f>
        <v>2.7597977366408566E-2</v>
      </c>
      <c r="C76" s="6" cm="1">
        <f t="array" ref="C76">PRODUCT(1+IF(Rend_j[[Week,Year]:[Week,Year]]='Rend hebdo'!$A76,Rend_j[DM]))-1</f>
        <v>-3.2038044707052848E-2</v>
      </c>
      <c r="D76" s="6" cm="1">
        <f t="array" ref="D76">PRODUCT(1+IF(Rend_j[[Week,Year]:[Week,Year]]='Rend hebdo'!$A76,Rend_j[EM ex China]))-1</f>
        <v>8.5123263570683338E-3</v>
      </c>
      <c r="E76" s="6" cm="1">
        <f t="array" ref="E76">PRODUCT(1+IF(Rend_j[[Week,Year]:[Week,Year]]='Rend hebdo'!$A76,Rend_j[EM]))-1</f>
        <v>1.468794376691096E-2</v>
      </c>
      <c r="F76" s="6" cm="1">
        <f t="array" ref="F76">PRODUCT(1+IF(Rend_j[[Week,Year]:[Week,Year]]='Rend hebdo'!$A76,Rend_j[Japon]))-1</f>
        <v>2.7727174483589412E-3</v>
      </c>
      <c r="G76" s="6" cm="1">
        <f t="array" ref="G76">PRODUCT(1+IF(Rend_j[[Week,Year]:[Week,Year]]='Rend hebdo'!$A76,Rend_j[Monde]))-1</f>
        <v>-2.6900243009628455E-2</v>
      </c>
      <c r="H76" s="6" cm="1">
        <f t="array" ref="H76">PRODUCT(1+IF(Rend_j[[Week,Year]:[Week,Year]]='Rend hebdo'!$A76,Rend_j[RU]))-1</f>
        <v>2.5541529544659269E-4</v>
      </c>
      <c r="I76" s="6" cm="1">
        <f t="array" ref="I76">PRODUCT(1+IF(Rend_j[[Week,Year]:[Week,Year]]='Rend hebdo'!$A76,Rend_j[US]))-1</f>
        <v>-2.8872038418268797E-2</v>
      </c>
      <c r="J76" s="6" cm="1">
        <f t="array" ref="J76">PRODUCT(1+IF(Rend_j[[Week,Year]:[Week,Year]]='Rend hebdo'!$A76,Rend_j[France]))-1</f>
        <v>-1.2170962528040397E-2</v>
      </c>
      <c r="K76" s="6" cm="1">
        <f t="array" ref="K76">PRODUCT(1+IF(Rend_j[[Week,Year]:[Week,Year]]='Rend hebdo'!$A76,Rend_j[Europe]))-1</f>
        <v>-5.4904607815928763E-3</v>
      </c>
      <c r="L76" s="6" cm="1">
        <f t="array" ref="L76">PRODUCT(1+IF(Rend_j[[Week,Year]:[Week,Year]]='Rend hebdo'!$A76,Rend_j[Allemagne]))-1</f>
        <v>-3.2805646319147286E-3</v>
      </c>
      <c r="M76" s="10">
        <f>VALUE(LEFT(Rend_h[[#This Row],[Week,Year]],FIND(",",Rend_h[[#This Row],[Week,Year]])-1))</f>
        <v>20</v>
      </c>
      <c r="N76" s="10">
        <f>VALUE(RIGHT(Rend_h[[#This Row],[Week,Year]],4))</f>
        <v>2022</v>
      </c>
    </row>
    <row r="77" spans="1:16" x14ac:dyDescent="0.25">
      <c r="A77" s="61" t="s">
        <v>101</v>
      </c>
      <c r="B77" s="6" cm="1">
        <f t="array" ref="B77">PRODUCT(1+IF(Rend_j[[Week,Year]:[Week,Year]]='Rend hebdo'!$A77,Rend_j[Chine]))-1</f>
        <v>-2.6275844748989363E-2</v>
      </c>
      <c r="C77" s="6" cm="1">
        <f t="array" ref="C77">PRODUCT(1+IF(Rend_j[[Week,Year]:[Week,Year]]='Rend hebdo'!$A77,Rend_j[DM]))-1</f>
        <v>4.0249931872153422E-2</v>
      </c>
      <c r="D77" s="6" cm="1">
        <f t="array" ref="D77">PRODUCT(1+IF(Rend_j[[Week,Year]:[Week,Year]]='Rend hebdo'!$A77,Rend_j[EM ex China]))-1</f>
        <v>-1.1240977603094171E-3</v>
      </c>
      <c r="E77" s="6" cm="1">
        <f t="array" ref="E77">PRODUCT(1+IF(Rend_j[[Week,Year]:[Week,Year]]='Rend hebdo'!$A77,Rend_j[EM]))-1</f>
        <v>-6.7040904818531644E-3</v>
      </c>
      <c r="F77" s="6" cm="1">
        <f t="array" ref="F77">PRODUCT(1+IF(Rend_j[[Week,Year]:[Week,Year]]='Rend hebdo'!$A77,Rend_j[Japon]))-1</f>
        <v>-1.1885407429303996E-3</v>
      </c>
      <c r="G77" s="6" cm="1">
        <f t="array" ref="G77">PRODUCT(1+IF(Rend_j[[Week,Year]:[Week,Year]]='Rend hebdo'!$A77,Rend_j[Monde]))-1</f>
        <v>3.4866996475366951E-2</v>
      </c>
      <c r="H77" s="6" cm="1">
        <f t="array" ref="H77">PRODUCT(1+IF(Rend_j[[Week,Year]:[Week,Year]]='Rend hebdo'!$A77,Rend_j[RU]))-1</f>
        <v>2.2146708439319873E-2</v>
      </c>
      <c r="I77" s="6" cm="1">
        <f t="array" ref="I77">PRODUCT(1+IF(Rend_j[[Week,Year]:[Week,Year]]='Rend hebdo'!$A77,Rend_j[US]))-1</f>
        <v>6.5406303674153676E-2</v>
      </c>
      <c r="J77" s="6" cm="1">
        <f t="array" ref="J77">PRODUCT(1+IF(Rend_j[[Week,Year]:[Week,Year]]='Rend hebdo'!$A77,Rend_j[France]))-1</f>
        <v>3.6674774140383226E-2</v>
      </c>
      <c r="K77" s="6" cm="1">
        <f t="array" ref="K77">PRODUCT(1+IF(Rend_j[[Week,Year]:[Week,Year]]='Rend hebdo'!$A77,Rend_j[Europe]))-1</f>
        <v>2.9761045746772741E-2</v>
      </c>
      <c r="L77" s="6" cm="1">
        <f t="array" ref="L77">PRODUCT(1+IF(Rend_j[[Week,Year]:[Week,Year]]='Rend hebdo'!$A77,Rend_j[Allemagne]))-1</f>
        <v>3.4350118439038901E-2</v>
      </c>
      <c r="M77" s="10">
        <f>VALUE(LEFT(Rend_h[[#This Row],[Week,Year]],FIND(",",Rend_h[[#This Row],[Week,Year]])-1))</f>
        <v>21</v>
      </c>
      <c r="N77" s="10">
        <f>VALUE(RIGHT(Rend_h[[#This Row],[Week,Year]],4))</f>
        <v>2022</v>
      </c>
    </row>
    <row r="78" spans="1:16" x14ac:dyDescent="0.25">
      <c r="A78" s="62" t="s">
        <v>102</v>
      </c>
      <c r="B78" s="6" cm="1">
        <f t="array" ref="B78">PRODUCT(1+IF(Rend_j[[Week,Year]:[Week,Year]]='Rend hebdo'!$A78,Rend_j[Chine]))-1</f>
        <v>3.0861639297911303E-2</v>
      </c>
      <c r="C78" s="6" cm="1">
        <f t="array" ref="C78">PRODUCT(1+IF(Rend_j[[Week,Year]:[Week,Year]]='Rend hebdo'!$A78,Rend_j[DM]))-1</f>
        <v>-9.5056678480140988E-3</v>
      </c>
      <c r="D78" s="6" cm="1">
        <f t="array" ref="D78">PRODUCT(1+IF(Rend_j[[Week,Year]:[Week,Year]]='Rend hebdo'!$A78,Rend_j[EM ex China]))-1</f>
        <v>8.7862426490954437E-3</v>
      </c>
      <c r="E78" s="6" cm="1">
        <f t="array" ref="E78">PRODUCT(1+IF(Rend_j[[Week,Year]:[Week,Year]]='Rend hebdo'!$A78,Rend_j[EM]))-1</f>
        <v>1.5704890264431892E-2</v>
      </c>
      <c r="F78" s="6" cm="1">
        <f t="array" ref="F78">PRODUCT(1+IF(Rend_j[[Week,Year]:[Week,Year]]='Rend hebdo'!$A78,Rend_j[Japon]))-1</f>
        <v>-4.0631107768002162E-3</v>
      </c>
      <c r="G78" s="6" cm="1">
        <f t="array" ref="G78">PRODUCT(1+IF(Rend_j[[Week,Year]:[Week,Year]]='Rend hebdo'!$A78,Rend_j[Monde]))-1</f>
        <v>-6.7468499427262296E-3</v>
      </c>
      <c r="H78" s="6" cm="1">
        <f t="array" ref="H78">PRODUCT(1+IF(Rend_j[[Week,Year]:[Week,Year]]='Rend hebdo'!$A78,Rend_j[RU]))-1</f>
        <v>-1.4518236673200402E-2</v>
      </c>
      <c r="I78" s="6" cm="1">
        <f t="array" ref="I78">PRODUCT(1+IF(Rend_j[[Week,Year]:[Week,Year]]='Rend hebdo'!$A78,Rend_j[US]))-1</f>
        <v>-1.1021025879947688E-2</v>
      </c>
      <c r="J78" s="6" cm="1">
        <f t="array" ref="J78">PRODUCT(1+IF(Rend_j[[Week,Year]:[Week,Year]]='Rend hebdo'!$A78,Rend_j[France]))-1</f>
        <v>-4.6733215669725325E-3</v>
      </c>
      <c r="K78" s="6" cm="1">
        <f t="array" ref="K78">PRODUCT(1+IF(Rend_j[[Week,Year]:[Week,Year]]='Rend hebdo'!$A78,Rend_j[Europe]))-1</f>
        <v>-8.6500057679138598E-3</v>
      </c>
      <c r="L78" s="6" cm="1">
        <f t="array" ref="L78">PRODUCT(1+IF(Rend_j[[Week,Year]:[Week,Year]]='Rend hebdo'!$A78,Rend_j[Allemagne]))-1</f>
        <v>-1.4524701566964726E-4</v>
      </c>
      <c r="M78" s="10">
        <f>VALUE(LEFT(Rend_h[[#This Row],[Week,Year]],FIND(",",Rend_h[[#This Row],[Week,Year]])-1))</f>
        <v>22</v>
      </c>
      <c r="N78" s="10">
        <f>VALUE(RIGHT(Rend_h[[#This Row],[Week,Year]],4))</f>
        <v>2022</v>
      </c>
    </row>
    <row r="79" spans="1:16" x14ac:dyDescent="0.25">
      <c r="A79" s="61" t="s">
        <v>103</v>
      </c>
      <c r="B79" s="6" cm="1">
        <f t="array" ref="B79">PRODUCT(1+IF(Rend_j[[Week,Year]:[Week,Year]]='Rend hebdo'!$A79,Rend_j[Chine]))-1</f>
        <v>7.068728579842265E-2</v>
      </c>
      <c r="C79" s="6" cm="1">
        <f t="array" ref="C79">PRODUCT(1+IF(Rend_j[[Week,Year]:[Week,Year]]='Rend hebdo'!$A79,Rend_j[DM]))-1</f>
        <v>-3.2142034012294762E-2</v>
      </c>
      <c r="D79" s="6" cm="1">
        <f t="array" ref="D79">PRODUCT(1+IF(Rend_j[[Week,Year]:[Week,Year]]='Rend hebdo'!$A79,Rend_j[EM ex China]))-1</f>
        <v>-1.8395832558812497E-2</v>
      </c>
      <c r="E79" s="6" cm="1">
        <f t="array" ref="E79">PRODUCT(1+IF(Rend_j[[Week,Year]:[Week,Year]]='Rend hebdo'!$A79,Rend_j[EM]))-1</f>
        <v>1.2327441554029761E-2</v>
      </c>
      <c r="F79" s="6" cm="1">
        <f t="array" ref="F79">PRODUCT(1+IF(Rend_j[[Week,Year]:[Week,Year]]='Rend hebdo'!$A79,Rend_j[Japon]))-1</f>
        <v>-3.7949137013097989E-3</v>
      </c>
      <c r="G79" s="6" cm="1">
        <f t="array" ref="G79">PRODUCT(1+IF(Rend_j[[Week,Year]:[Week,Year]]='Rend hebdo'!$A79,Rend_j[Monde]))-1</f>
        <v>-2.7070767645781313E-2</v>
      </c>
      <c r="H79" s="6" cm="1">
        <f t="array" ref="H79">PRODUCT(1+IF(Rend_j[[Week,Year]:[Week,Year]]='Rend hebdo'!$A79,Rend_j[RU]))-1</f>
        <v>-2.3185297128650251E-2</v>
      </c>
      <c r="I79" s="6" cm="1">
        <f t="array" ref="I79">PRODUCT(1+IF(Rend_j[[Week,Year]:[Week,Year]]='Rend hebdo'!$A79,Rend_j[US]))-1</f>
        <v>-5.0710159521580866E-2</v>
      </c>
      <c r="J79" s="6" cm="1">
        <f t="array" ref="J79">PRODUCT(1+IF(Rend_j[[Week,Year]:[Week,Year]]='Rend hebdo'!$A79,Rend_j[France]))-1</f>
        <v>-4.596083973946663E-2</v>
      </c>
      <c r="K79" s="6" cm="1">
        <f t="array" ref="K79">PRODUCT(1+IF(Rend_j[[Week,Year]:[Week,Year]]='Rend hebdo'!$A79,Rend_j[Europe]))-1</f>
        <v>-3.9491933827098591E-2</v>
      </c>
      <c r="L79" s="6" cm="1">
        <f t="array" ref="L79">PRODUCT(1+IF(Rend_j[[Week,Year]:[Week,Year]]='Rend hebdo'!$A79,Rend_j[Allemagne]))-1</f>
        <v>-4.8288756690048396E-2</v>
      </c>
      <c r="M79" s="10">
        <f>VALUE(LEFT(Rend_h[[#This Row],[Week,Year]],FIND(",",Rend_h[[#This Row],[Week,Year]])-1))</f>
        <v>23</v>
      </c>
      <c r="N79" s="10">
        <f>VALUE(RIGHT(Rend_h[[#This Row],[Week,Year]],4))</f>
        <v>2022</v>
      </c>
    </row>
    <row r="80" spans="1:16" x14ac:dyDescent="0.25">
      <c r="A80" s="62" t="s">
        <v>104</v>
      </c>
      <c r="B80" s="6" cm="1">
        <f t="array" ref="B80">PRODUCT(1+IF(Rend_j[[Week,Year]:[Week,Year]]='Rend hebdo'!$A80,Rend_j[Chine]))-1</f>
        <v>-4.4322425729346193E-3</v>
      </c>
      <c r="C80" s="6" cm="1">
        <f t="array" ref="C80">PRODUCT(1+IF(Rend_j[[Week,Year]:[Week,Year]]='Rend hebdo'!$A80,Rend_j[DM]))-1</f>
        <v>-5.2455087015248147E-2</v>
      </c>
      <c r="D80" s="6" cm="1">
        <f t="array" ref="D80">PRODUCT(1+IF(Rend_j[[Week,Year]:[Week,Year]]='Rend hebdo'!$A80,Rend_j[EM ex China]))-1</f>
        <v>-5.0278128720996795E-2</v>
      </c>
      <c r="E80" s="6" cm="1">
        <f t="array" ref="E80">PRODUCT(1+IF(Rend_j[[Week,Year]:[Week,Year]]='Rend hebdo'!$A80,Rend_j[EM]))-1</f>
        <v>-4.0764807272837933E-2</v>
      </c>
      <c r="F80" s="6" cm="1">
        <f t="array" ref="F80">PRODUCT(1+IF(Rend_j[[Week,Year]:[Week,Year]]='Rend hebdo'!$A80,Rend_j[Japon]))-1</f>
        <v>-5.978162926689834E-2</v>
      </c>
      <c r="G80" s="6" cm="1">
        <f t="array" ref="G80">PRODUCT(1+IF(Rend_j[[Week,Year]:[Week,Year]]='Rend hebdo'!$A80,Rend_j[Monde]))-1</f>
        <v>-5.1068587978237101E-2</v>
      </c>
      <c r="H80" s="6" cm="1">
        <f t="array" ref="H80">PRODUCT(1+IF(Rend_j[[Week,Year]:[Week,Year]]='Rend hebdo'!$A80,Rend_j[RU]))-1</f>
        <v>-4.7032050066375897E-2</v>
      </c>
      <c r="I80" s="6" cm="1">
        <f t="array" ref="I80">PRODUCT(1+IF(Rend_j[[Week,Year]:[Week,Year]]='Rend hebdo'!$A80,Rend_j[US]))-1</f>
        <v>-6.0094026659902156E-2</v>
      </c>
      <c r="J80" s="6" cm="1">
        <f t="array" ref="J80">PRODUCT(1+IF(Rend_j[[Week,Year]:[Week,Year]]='Rend hebdo'!$A80,Rend_j[France]))-1</f>
        <v>-4.9227211366725476E-2</v>
      </c>
      <c r="K80" s="6" cm="1">
        <f t="array" ref="K80">PRODUCT(1+IF(Rend_j[[Week,Year]:[Week,Year]]='Rend hebdo'!$A80,Rend_j[Europe]))-1</f>
        <v>-4.6036269343820657E-2</v>
      </c>
      <c r="L80" s="6" cm="1">
        <f t="array" ref="L80">PRODUCT(1+IF(Rend_j[[Week,Year]:[Week,Year]]='Rend hebdo'!$A80,Rend_j[Allemagne]))-1</f>
        <v>-4.6183560348101449E-2</v>
      </c>
      <c r="M80" s="10">
        <f>VALUE(LEFT(Rend_h[[#This Row],[Week,Year]],FIND(",",Rend_h[[#This Row],[Week,Year]])-1))</f>
        <v>24</v>
      </c>
      <c r="N80" s="10">
        <f>VALUE(RIGHT(Rend_h[[#This Row],[Week,Year]],4))</f>
        <v>2022</v>
      </c>
    </row>
    <row r="81" spans="1:14" x14ac:dyDescent="0.25">
      <c r="A81" s="61" t="s">
        <v>105</v>
      </c>
      <c r="B81" s="6" cm="1">
        <f t="array" ref="B81">PRODUCT(1+IF(Rend_j[[Week,Year]:[Week,Year]]='Rend hebdo'!$A81,Rend_j[Chine]))-1</f>
        <v>2.5050064135699657E-2</v>
      </c>
      <c r="C81" s="6" cm="1">
        <f t="array" ref="C81">PRODUCT(1+IF(Rend_j[[Week,Year]:[Week,Year]]='Rend hebdo'!$A81,Rend_j[DM]))-1</f>
        <v>4.5092182511071943E-2</v>
      </c>
      <c r="D81" s="6" cm="1">
        <f t="array" ref="D81">PRODUCT(1+IF(Rend_j[[Week,Year]:[Week,Year]]='Rend hebdo'!$A81,Rend_j[EM ex China]))-1</f>
        <v>-2.1368272145503409E-2</v>
      </c>
      <c r="E81" s="6" cm="1">
        <f t="array" ref="E81">PRODUCT(1+IF(Rend_j[[Week,Year]:[Week,Year]]='Rend hebdo'!$A81,Rend_j[EM]))-1</f>
        <v>-1.7889372122790181E-3</v>
      </c>
      <c r="F81" s="6" cm="1">
        <f t="array" ref="F81">PRODUCT(1+IF(Rend_j[[Week,Year]:[Week,Year]]='Rend hebdo'!$A81,Rend_j[Japon]))-1</f>
        <v>8.2419579772503582E-3</v>
      </c>
      <c r="G81" s="6" cm="1">
        <f t="array" ref="G81">PRODUCT(1+IF(Rend_j[[Week,Year]:[Week,Year]]='Rend hebdo'!$A81,Rend_j[Monde]))-1</f>
        <v>3.9468534263800814E-2</v>
      </c>
      <c r="H81" s="6" cm="1">
        <f t="array" ref="H81">PRODUCT(1+IF(Rend_j[[Week,Year]:[Week,Year]]='Rend hebdo'!$A81,Rend_j[RU]))-1</f>
        <v>2.8541503011259461E-2</v>
      </c>
      <c r="I81" s="6" cm="1">
        <f t="array" ref="I81">PRODUCT(1+IF(Rend_j[[Week,Year]:[Week,Year]]='Rend hebdo'!$A81,Rend_j[US]))-1</f>
        <v>6.5311371589205969E-2</v>
      </c>
      <c r="J81" s="6" cm="1">
        <f t="array" ref="J81">PRODUCT(1+IF(Rend_j[[Week,Year]:[Week,Year]]='Rend hebdo'!$A81,Rend_j[France]))-1</f>
        <v>3.2417396781536212E-2</v>
      </c>
      <c r="K81" s="6" cm="1">
        <f t="array" ref="K81">PRODUCT(1+IF(Rend_j[[Week,Year]:[Week,Year]]='Rend hebdo'!$A81,Rend_j[Europe]))-1</f>
        <v>2.4004942343459401E-2</v>
      </c>
      <c r="L81" s="6" cm="1">
        <f t="array" ref="L81">PRODUCT(1+IF(Rend_j[[Week,Year]:[Week,Year]]='Rend hebdo'!$A81,Rend_j[Allemagne]))-1</f>
        <v>-6.1936074269863806E-4</v>
      </c>
      <c r="M81" s="10">
        <f>VALUE(LEFT(Rend_h[[#This Row],[Week,Year]],FIND(",",Rend_h[[#This Row],[Week,Year]])-1))</f>
        <v>25</v>
      </c>
      <c r="N81" s="10">
        <f>VALUE(RIGHT(Rend_h[[#This Row],[Week,Year]],4))</f>
        <v>2022</v>
      </c>
    </row>
    <row r="82" spans="1:14" x14ac:dyDescent="0.25">
      <c r="A82" s="62" t="s">
        <v>106</v>
      </c>
      <c r="B82" s="6" cm="1">
        <f t="array" ref="B82">PRODUCT(1+IF(Rend_j[[Week,Year]:[Week,Year]]='Rend hebdo'!$A82,Rend_j[Chine]))-1</f>
        <v>1.7916215925458667E-2</v>
      </c>
      <c r="C82" s="6" cm="1">
        <f t="array" ref="C82">PRODUCT(1+IF(Rend_j[[Week,Year]:[Week,Year]]='Rend hebdo'!$A82,Rend_j[DM]))-1</f>
        <v>-8.333661844128204E-3</v>
      </c>
      <c r="D82" s="6" cm="1">
        <f t="array" ref="D82">PRODUCT(1+IF(Rend_j[[Week,Year]:[Week,Year]]='Rend hebdo'!$A82,Rend_j[EM ex China]))-1</f>
        <v>-1.0842118566157688E-2</v>
      </c>
      <c r="E82" s="6" cm="1">
        <f t="array" ref="E82">PRODUCT(1+IF(Rend_j[[Week,Year]:[Week,Year]]='Rend hebdo'!$A82,Rend_j[EM]))-1</f>
        <v>-3.6825224880786545E-3</v>
      </c>
      <c r="F82" s="6" cm="1">
        <f t="array" ref="F82">PRODUCT(1+IF(Rend_j[[Week,Year]:[Week,Year]]='Rend hebdo'!$A82,Rend_j[Japon]))-1</f>
        <v>2.0715062997391787E-3</v>
      </c>
      <c r="G82" s="6" cm="1">
        <f t="array" ref="G82">PRODUCT(1+IF(Rend_j[[Week,Year]:[Week,Year]]='Rend hebdo'!$A82,Rend_j[Monde]))-1</f>
        <v>-7.7990746860542304E-3</v>
      </c>
      <c r="H82" s="6" cm="1">
        <f t="array" ref="H82">PRODUCT(1+IF(Rend_j[[Week,Year]:[Week,Year]]='Rend hebdo'!$A82,Rend_j[RU]))-1</f>
        <v>-1.3228105906313847E-2</v>
      </c>
      <c r="I82" s="6" cm="1">
        <f t="array" ref="I82">PRODUCT(1+IF(Rend_j[[Week,Year]:[Week,Year]]='Rend hebdo'!$A82,Rend_j[US]))-1</f>
        <v>-2.3325029669645003E-2</v>
      </c>
      <c r="J82" s="6" cm="1">
        <f t="array" ref="J82">PRODUCT(1+IF(Rend_j[[Week,Year]:[Week,Year]]='Rend hebdo'!$A82,Rend_j[France]))-1</f>
        <v>-2.3428591585203606E-2</v>
      </c>
      <c r="K82" s="6" cm="1">
        <f t="array" ref="K82">PRODUCT(1+IF(Rend_j[[Week,Year]:[Week,Year]]='Rend hebdo'!$A82,Rend_j[Europe]))-1</f>
        <v>-1.4045935384500163E-2</v>
      </c>
      <c r="L82" s="6" cm="1">
        <f t="array" ref="L82">PRODUCT(1+IF(Rend_j[[Week,Year]:[Week,Year]]='Rend hebdo'!$A82,Rend_j[Allemagne]))-1</f>
        <v>-2.3257858611779647E-2</v>
      </c>
      <c r="M82" s="10">
        <f>VALUE(LEFT(Rend_h[[#This Row],[Week,Year]],FIND(",",Rend_h[[#This Row],[Week,Year]])-1))</f>
        <v>26</v>
      </c>
      <c r="N82" s="10">
        <f>VALUE(RIGHT(Rend_h[[#This Row],[Week,Year]],4))</f>
        <v>2022</v>
      </c>
    </row>
    <row r="83" spans="1:14" x14ac:dyDescent="0.25">
      <c r="A83" s="59" t="s">
        <v>154</v>
      </c>
      <c r="B83" s="56" cm="1">
        <f t="array" ref="B83">PRODUCT(1+IF(Rend_j[[Week,Year]:[Week,Year]]='Rend hebdo'!$A83,Rend_j[Chine]))-1</f>
        <v>1.6350982647929335E-2</v>
      </c>
      <c r="C83" s="56" cm="1">
        <f t="array" ref="C83">PRODUCT(1+IF(Rend_j[[Week,Year]:[Week,Year]]='Rend hebdo'!$A83,Rend_j[DM]))-1</f>
        <v>3.8850196377745227E-2</v>
      </c>
      <c r="D83" s="56" cm="1">
        <f t="array" ref="D83">PRODUCT(1+IF(Rend_j[[Week,Year]:[Week,Year]]='Rend hebdo'!$A83,Rend_j[EM ex China]))-1</f>
        <v>3.324668224883065E-2</v>
      </c>
      <c r="E83" s="56" cm="1">
        <f t="array" ref="E83">PRODUCT(1+IF(Rend_j[[Week,Year]:[Week,Year]]='Rend hebdo'!$A83,Rend_j[EM]))-1</f>
        <v>2.8359231140258512E-2</v>
      </c>
      <c r="F83" s="56" cm="1">
        <f t="array" ref="F83">PRODUCT(1+IF(Rend_j[[Week,Year]:[Week,Year]]='Rend hebdo'!$A83,Rend_j[Japon]))-1</f>
        <v>3.9761353377556263E-2</v>
      </c>
      <c r="G83" s="56" cm="1">
        <f t="array" ref="G83">PRODUCT(1+IF(Rend_j[[Week,Year]:[Week,Year]]='Rend hebdo'!$A83,Rend_j[Monde]))-1</f>
        <v>3.7638576007880786E-2</v>
      </c>
      <c r="H83" s="56" cm="1">
        <f t="array" ref="H83">PRODUCT(1+IF(Rend_j[[Week,Year]:[Week,Year]]='Rend hebdo'!$A83,Rend_j[RU]))-1</f>
        <v>2.604720281524453E-2</v>
      </c>
      <c r="I83" s="56" cm="1">
        <f t="array" ref="I83">PRODUCT(1+IF(Rend_j[[Week,Year]:[Week,Year]]='Rend hebdo'!$A83,Rend_j[US]))-1</f>
        <v>2.0520563142441883E-2</v>
      </c>
      <c r="J83" s="56" cm="1">
        <f t="array" ref="J83">PRODUCT(1+IF(Rend_j[[Week,Year]:[Week,Year]]='Rend hebdo'!$A83,Rend_j[France]))-1</f>
        <v>1.7209372858249194E-2</v>
      </c>
      <c r="K83" s="56" cm="1">
        <f t="array" ref="K83">PRODUCT(1+IF(Rend_j[[Week,Year]:[Week,Year]]='Rend hebdo'!$A83,Rend_j[Europe]))-1</f>
        <v>2.453759211385087E-2</v>
      </c>
      <c r="L83" s="56" cm="1">
        <f t="array" ref="L83">PRODUCT(1+IF(Rend_j[[Week,Year]:[Week,Year]]='Rend hebdo'!$A83,Rend_j[Allemagne]))-1</f>
        <v>1.5780825904503137E-2</v>
      </c>
      <c r="M83" s="57">
        <f>VALUE(LEFT(Rend_h[[#This Row],[Week,Year]],FIND(",",Rend_h[[#This Row],[Week,Year]])-1))</f>
        <v>27</v>
      </c>
      <c r="N83" s="57">
        <f>VALUE(RIGHT(Rend_h[[#This Row],[Week,Year]],4))</f>
        <v>2022</v>
      </c>
    </row>
    <row r="84" spans="1:14" x14ac:dyDescent="0.25">
      <c r="A84" s="59" t="s">
        <v>155</v>
      </c>
      <c r="B84" s="56" cm="1">
        <f t="array" ref="B84">PRODUCT(1+IF(Rend_j[[Week,Year]:[Week,Year]]='Rend hebdo'!$A84,Rend_j[Chine]))-1</f>
        <v>-5.3907218102883236E-2</v>
      </c>
      <c r="C84" s="56" cm="1">
        <f t="array" ref="C84">PRODUCT(1+IF(Rend_j[[Week,Year]:[Week,Year]]='Rend hebdo'!$A84,Rend_j[DM]))-1</f>
        <v>-4.2360396282082879E-3</v>
      </c>
      <c r="D84" s="56" cm="1">
        <f t="array" ref="D84">PRODUCT(1+IF(Rend_j[[Week,Year]:[Week,Year]]='Rend hebdo'!$A84,Rend_j[EM ex China]))-1</f>
        <v>-8.2327364419817473E-3</v>
      </c>
      <c r="E84" s="56" cm="1">
        <f t="array" ref="E84">PRODUCT(1+IF(Rend_j[[Week,Year]:[Week,Year]]='Rend hebdo'!$A84,Rend_j[EM]))-1</f>
        <v>-2.8761411664710135E-2</v>
      </c>
      <c r="F84" s="56" cm="1">
        <f t="array" ref="F84">PRODUCT(1+IF(Rend_j[[Week,Year]:[Week,Year]]='Rend hebdo'!$A84,Rend_j[Japon]))-1</f>
        <v>-5.4171385428464225E-3</v>
      </c>
      <c r="G84" s="56" cm="1">
        <f t="array" ref="G84">PRODUCT(1+IF(Rend_j[[Week,Year]:[Week,Year]]='Rend hebdo'!$A84,Rend_j[Monde]))-1</f>
        <v>-7.0500075869287526E-3</v>
      </c>
      <c r="H84" s="56" cm="1">
        <f t="array" ref="H84">PRODUCT(1+IF(Rend_j[[Week,Year]:[Week,Year]]='Rend hebdo'!$A84,Rend_j[RU]))-1</f>
        <v>-9.8667337188835802E-3</v>
      </c>
      <c r="I84" s="56" cm="1">
        <f t="array" ref="I84">PRODUCT(1+IF(Rend_j[[Week,Year]:[Week,Year]]='Rend hebdo'!$A84,Rend_j[US]))-1</f>
        <v>-1.051335681756993E-2</v>
      </c>
      <c r="J84" s="56" cm="1">
        <f t="array" ref="J84">PRODUCT(1+IF(Rend_j[[Week,Year]:[Week,Year]]='Rend hebdo'!$A84,Rend_j[France]))-1</f>
        <v>4.7572604198142798E-4</v>
      </c>
      <c r="K84" s="56" cm="1">
        <f t="array" ref="K84">PRODUCT(1+IF(Rend_j[[Week,Year]:[Week,Year]]='Rend hebdo'!$A84,Rend_j[Europe]))-1</f>
        <v>-8.007278576995458E-3</v>
      </c>
      <c r="L84" s="56" cm="1">
        <f t="array" ref="L84">PRODUCT(1+IF(Rend_j[[Week,Year]:[Week,Year]]='Rend hebdo'!$A84,Rend_j[Allemagne]))-1</f>
        <v>-1.1564200906539868E-2</v>
      </c>
      <c r="M84" s="57">
        <f>VALUE(LEFT(Rend_h[[#This Row],[Week,Year]],FIND(",",Rend_h[[#This Row],[Week,Year]])-1))</f>
        <v>28</v>
      </c>
      <c r="N84" s="57">
        <f>VALUE(RIGHT(Rend_h[[#This Row],[Week,Year]],4))</f>
        <v>2022</v>
      </c>
    </row>
    <row r="85" spans="1:14" x14ac:dyDescent="0.25">
      <c r="A85" s="59" t="s">
        <v>157</v>
      </c>
      <c r="B85" s="56" cm="1">
        <f t="array" ref="B85">PRODUCT(1+IF(Rend_j[[Week,Year]:[Week,Year]]='Rend hebdo'!$A85,Rend_j[Chine]))-1</f>
        <v>-8.2513736069773636E-3</v>
      </c>
      <c r="C85" s="56" cm="1">
        <f t="array" ref="C85">PRODUCT(1+IF(Rend_j[[Week,Year]:[Week,Year]]='Rend hebdo'!$A85,Rend_j[DM]))-1</f>
        <v>1.6762610386516164E-2</v>
      </c>
      <c r="D85" s="56" cm="1">
        <f t="array" ref="D85">PRODUCT(1+IF(Rend_j[[Week,Year]:[Week,Year]]='Rend hebdo'!$A85,Rend_j[EM ex China]))-1</f>
        <v>2.3504325741216414E-2</v>
      </c>
      <c r="E85" s="56" cm="1">
        <f t="array" ref="E85">PRODUCT(1+IF(Rend_j[[Week,Year]:[Week,Year]]='Rend hebdo'!$A85,Rend_j[EM]))-1</f>
        <v>1.445037353255052E-2</v>
      </c>
      <c r="F85" s="56" cm="1">
        <f t="array" ref="F85">PRODUCT(1+IF(Rend_j[[Week,Year]:[Week,Year]]='Rend hebdo'!$A85,Rend_j[Japon]))-1</f>
        <v>3.7772253113949494E-2</v>
      </c>
      <c r="G85" s="56" cm="1">
        <f t="array" ref="G85">PRODUCT(1+IF(Rend_j[[Week,Year]:[Week,Year]]='Rend hebdo'!$A85,Rend_j[Monde]))-1</f>
        <v>1.6504120152502244E-2</v>
      </c>
      <c r="H85" s="56" cm="1">
        <f t="array" ref="H85">PRODUCT(1+IF(Rend_j[[Week,Year]:[Week,Year]]='Rend hebdo'!$A85,Rend_j[RU]))-1</f>
        <v>1.6689691601316614E-2</v>
      </c>
      <c r="I85" s="56" cm="1">
        <f t="array" ref="I85">PRODUCT(1+IF(Rend_j[[Week,Year]:[Week,Year]]='Rend hebdo'!$A85,Rend_j[US]))-1</f>
        <v>2.7779667202666003E-2</v>
      </c>
      <c r="J85" s="56" cm="1">
        <f t="array" ref="J85">PRODUCT(1+IF(Rend_j[[Week,Year]:[Week,Year]]='Rend hebdo'!$A85,Rend_j[France]))-1</f>
        <v>2.9956895957587992E-2</v>
      </c>
      <c r="K85" s="56" cm="1">
        <f t="array" ref="K85">PRODUCT(1+IF(Rend_j[[Week,Year]:[Week,Year]]='Rend hebdo'!$A85,Rend_j[Europe]))-1</f>
        <v>2.8831727074367208E-2</v>
      </c>
      <c r="L85" s="56" cm="1">
        <f t="array" ref="L85">PRODUCT(1+IF(Rend_j[[Week,Year]:[Week,Year]]='Rend hebdo'!$A85,Rend_j[Allemagne]))-1</f>
        <v>3.0234623696695273E-2</v>
      </c>
      <c r="M85" s="57">
        <f>VALUE(LEFT(Rend_h[[#This Row],[Week,Year]],FIND(",",Rend_h[[#This Row],[Week,Year]])-1))</f>
        <v>29</v>
      </c>
      <c r="N85" s="57">
        <f>VALUE(RIGHT(Rend_h[[#This Row],[Week,Year]],4))</f>
        <v>2022</v>
      </c>
    </row>
    <row r="86" spans="1:14" x14ac:dyDescent="0.25">
      <c r="A86" s="59" t="s">
        <v>158</v>
      </c>
      <c r="B86" s="56" cm="1">
        <f t="array" ref="B86">PRODUCT(1+IF(Rend_j[[Week,Year]:[Week,Year]]='Rend hebdo'!$A86,Rend_j[Chine]))-1</f>
        <v>-2.1752280974498439E-2</v>
      </c>
      <c r="C86" s="56" cm="1">
        <f t="array" ref="C86">PRODUCT(1+IF(Rend_j[[Week,Year]:[Week,Year]]='Rend hebdo'!$A86,Rend_j[DM]))-1</f>
        <v>3.9499742992773257E-2</v>
      </c>
      <c r="D86" s="56" cm="1">
        <f t="array" ref="D86">PRODUCT(1+IF(Rend_j[[Week,Year]:[Week,Year]]='Rend hebdo'!$A86,Rend_j[EM ex China]))-1</f>
        <v>2.713469816718761E-2</v>
      </c>
      <c r="E86" s="56" cm="1">
        <f t="array" ref="E86">PRODUCT(1+IF(Rend_j[[Week,Year]:[Week,Year]]='Rend hebdo'!$A86,Rend_j[EM]))-1</f>
        <v>6.7908767647864021E-3</v>
      </c>
      <c r="F86" s="56" cm="1">
        <f t="array" ref="F86">PRODUCT(1+IF(Rend_j[[Week,Year]:[Week,Year]]='Rend hebdo'!$A86,Rend_j[Japon]))-1</f>
        <v>1.2630295641572697E-2</v>
      </c>
      <c r="G86" s="56" cm="1">
        <f t="array" ref="G86">PRODUCT(1+IF(Rend_j[[Week,Year]:[Week,Year]]='Rend hebdo'!$A86,Rend_j[Monde]))-1</f>
        <v>3.5833644924659236E-2</v>
      </c>
      <c r="H86" s="56" cm="1">
        <f t="array" ref="H86">PRODUCT(1+IF(Rend_j[[Week,Year]:[Week,Year]]='Rend hebdo'!$A86,Rend_j[RU]))-1</f>
        <v>3.4270184939102943E-2</v>
      </c>
      <c r="I86" s="56" cm="1">
        <f t="array" ref="I86">PRODUCT(1+IF(Rend_j[[Week,Year]:[Week,Year]]='Rend hebdo'!$A86,Rend_j[US]))-1</f>
        <v>4.1953437700576135E-2</v>
      </c>
      <c r="J86" s="56" cm="1">
        <f t="array" ref="J86">PRODUCT(1+IF(Rend_j[[Week,Year]:[Week,Year]]='Rend hebdo'!$A86,Rend_j[France]))-1</f>
        <v>3.7266670509832123E-2</v>
      </c>
      <c r="K86" s="56" cm="1">
        <f t="array" ref="K86">PRODUCT(1+IF(Rend_j[[Week,Year]:[Week,Year]]='Rend hebdo'!$A86,Rend_j[Europe]))-1</f>
        <v>2.95506759671047E-2</v>
      </c>
      <c r="L86" s="56" cm="1">
        <f t="array" ref="L86">PRODUCT(1+IF(Rend_j[[Week,Year]:[Week,Year]]='Rend hebdo'!$A86,Rend_j[Allemagne]))-1</f>
        <v>1.7381597064987986E-2</v>
      </c>
      <c r="M86" s="57">
        <f>VALUE(LEFT(Rend_h[[#This Row],[Week,Year]],FIND(",",Rend_h[[#This Row],[Week,Year]])-1))</f>
        <v>30</v>
      </c>
      <c r="N86" s="57">
        <f>VALUE(RIGHT(Rend_h[[#This Row],[Week,Year]],4))</f>
        <v>2022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639D2-013C-4B91-8FA5-37181108E0D7}">
  <sheetPr codeName="Sheet5">
    <tabColor rgb="FF276399"/>
  </sheetPr>
  <dimension ref="A1:Q23"/>
  <sheetViews>
    <sheetView workbookViewId="0">
      <selection activeCell="J20" sqref="J20"/>
    </sheetView>
  </sheetViews>
  <sheetFormatPr defaultRowHeight="15" x14ac:dyDescent="0.25"/>
  <cols>
    <col min="1" max="1" width="13.7109375" style="58" customWidth="1"/>
    <col min="2" max="2" width="9.140625" style="6"/>
    <col min="3" max="3" width="10.28515625" style="6" customWidth="1"/>
    <col min="4" max="4" width="14" style="6" customWidth="1"/>
    <col min="5" max="6" width="9.140625" style="6"/>
    <col min="7" max="7" width="9.5703125" style="6" customWidth="1"/>
    <col min="8" max="10" width="9.140625" style="6"/>
    <col min="11" max="11" width="9.42578125" style="6" customWidth="1"/>
    <col min="12" max="12" width="12.7109375" style="6" customWidth="1"/>
    <col min="13" max="14" width="9.140625" style="9"/>
  </cols>
  <sheetData>
    <row r="1" spans="1:17" x14ac:dyDescent="0.25">
      <c r="A1" s="63"/>
    </row>
    <row r="2" spans="1:17" x14ac:dyDescent="0.25">
      <c r="A2" s="63"/>
    </row>
    <row r="3" spans="1:17" x14ac:dyDescent="0.25">
      <c r="A3" s="63"/>
      <c r="M3" s="25" t="s">
        <v>23</v>
      </c>
      <c r="N3" s="25"/>
    </row>
    <row r="4" spans="1:17" x14ac:dyDescent="0.25">
      <c r="A4" s="64" t="s">
        <v>107</v>
      </c>
      <c r="B4" s="15" t="s">
        <v>15</v>
      </c>
      <c r="C4" s="15" t="s">
        <v>1</v>
      </c>
      <c r="D4" s="15" t="s">
        <v>2</v>
      </c>
      <c r="E4" s="15" t="s">
        <v>3</v>
      </c>
      <c r="F4" s="15" t="s">
        <v>4</v>
      </c>
      <c r="G4" s="15" t="s">
        <v>5</v>
      </c>
      <c r="H4" s="15" t="s">
        <v>6</v>
      </c>
      <c r="I4" s="15" t="s">
        <v>7</v>
      </c>
      <c r="J4" s="15" t="s">
        <v>8</v>
      </c>
      <c r="K4" s="15" t="s">
        <v>9</v>
      </c>
      <c r="L4" s="16" t="s">
        <v>10</v>
      </c>
      <c r="M4" s="24" t="s">
        <v>26</v>
      </c>
      <c r="N4" s="24" t="s">
        <v>27</v>
      </c>
    </row>
    <row r="5" spans="1:17" x14ac:dyDescent="0.25">
      <c r="A5" s="65" t="s">
        <v>29</v>
      </c>
      <c r="B5" s="6" cm="1">
        <f t="array" ref="B5">PRODUCT(1+IF(Rend_j[[Month,Year]:[Month,Year]]='Rend mensuels'!$A5,Rend_j[Chine]))-1</f>
        <v>7.0324281180652148E-2</v>
      </c>
      <c r="C5" s="6" cm="1">
        <f t="array" ref="C5">PRODUCT(1+IF(Rend_j[[Month,Year]:[Month,Year]]='Rend mensuels'!$A5,Rend_j[DM]))-1</f>
        <v>-3.492189344368235E-3</v>
      </c>
      <c r="D5" s="6" cm="1">
        <f t="array" ref="D5">PRODUCT(1+IF(Rend_j[[Month,Year]:[Month,Year]]='Rend mensuels'!$A5,Rend_j[EM ex China]))-1</f>
        <v>8.5678071451209536E-3</v>
      </c>
      <c r="E5" s="6" cm="1">
        <f t="array" ref="E5">PRODUCT(1+IF(Rend_j[[Month,Year]:[Month,Year]]='Rend mensuels'!$A5,Rend_j[EM]))-1</f>
        <v>3.6601512100421063E-2</v>
      </c>
      <c r="F5" s="6" cm="1">
        <f t="array" ref="F5">PRODUCT(1+IF(Rend_j[[Month,Year]:[Month,Year]]='Rend mensuels'!$A5,Rend_j[Japon]))-1</f>
        <v>-3.0119576522354974E-3</v>
      </c>
      <c r="G5" s="6" cm="1">
        <f t="array" ref="G5">PRODUCT(1+IF(Rend_j[[Month,Year]:[Month,Year]]='Rend mensuels'!$A5,Rend_j[Monde]))-1</f>
        <v>1.8285885499518262E-3</v>
      </c>
      <c r="H5" s="6" cm="1">
        <f t="array" ref="H5">PRODUCT(1+IF(Rend_j[[Month,Year]:[Month,Year]]='Rend mensuels'!$A5,Rend_j[RU]))-1</f>
        <v>4.3594001856104292E-3</v>
      </c>
      <c r="I5" s="6" cm="1">
        <f t="array" ref="I5">PRODUCT(1+IF(Rend_j[[Month,Year]:[Month,Year]]='Rend mensuels'!$A5,Rend_j[US]))-1</f>
        <v>-4.8241789609465568E-3</v>
      </c>
      <c r="J5" s="6" cm="1">
        <f t="array" ref="J5">PRODUCT(1+IF(Rend_j[[Month,Year]:[Month,Year]]='Rend mensuels'!$A5,Rend_j[France]))-1</f>
        <v>-2.7416465186322569E-2</v>
      </c>
      <c r="K5" s="6" cm="1">
        <f t="array" ref="K5">PRODUCT(1+IF(Rend_j[[Month,Year]:[Month,Year]]='Rend mensuels'!$A5,Rend_j[Europe]))-1</f>
        <v>-1.0993114303560425E-2</v>
      </c>
      <c r="L5" s="6" cm="1">
        <f t="array" ref="L5">PRODUCT(1+IF(Rend_j[[Month,Year]:[Month,Year]]='Rend mensuels'!$A5,Rend_j[Allemagne]))-1</f>
        <v>-2.0840765724065458E-2</v>
      </c>
      <c r="M5" s="10">
        <f>VALUE(LEFT(Rend_m[[#This Row],[Month,Year]],FIND(",",Rend_m[[#This Row],[Month,Year]])-1))</f>
        <v>1</v>
      </c>
      <c r="N5" s="10">
        <f>VALUE(RIGHT(Rend_m[[#This Row],[Month,Year]],4))</f>
        <v>2021</v>
      </c>
    </row>
    <row r="6" spans="1:17" x14ac:dyDescent="0.25">
      <c r="A6" s="66" t="s">
        <v>30</v>
      </c>
      <c r="B6" s="6" cm="1">
        <f t="array" ref="B6">PRODUCT(1+IF(Rend_j[[Month,Year]:[Month,Year]]='Rend mensuels'!$A6,Rend_j[Chine]))-1</f>
        <v>-9.4612526940393016E-3</v>
      </c>
      <c r="C6" s="6" cm="1">
        <f t="array" ref="C6">PRODUCT(1+IF(Rend_j[[Month,Year]:[Month,Year]]='Rend mensuels'!$A6,Rend_j[DM]))-1</f>
        <v>2.5429448812561706E-2</v>
      </c>
      <c r="D6" s="6" cm="1">
        <f t="array" ref="D6">PRODUCT(1+IF(Rend_j[[Month,Year]:[Month,Year]]='Rend mensuels'!$A6,Rend_j[EM ex China]))-1</f>
        <v>2.0126774160198257E-2</v>
      </c>
      <c r="E6" s="6" cm="1">
        <f t="array" ref="E6">PRODUCT(1+IF(Rend_j[[Month,Year]:[Month,Year]]='Rend mensuels'!$A6,Rend_j[EM]))-1</f>
        <v>8.2032049731064483E-3</v>
      </c>
      <c r="F6" s="6" cm="1">
        <f t="array" ref="F6">PRODUCT(1+IF(Rend_j[[Month,Year]:[Month,Year]]='Rend mensuels'!$A6,Rend_j[Japon]))-1</f>
        <v>1.5696230010372014E-2</v>
      </c>
      <c r="G6" s="6" cm="1">
        <f t="array" ref="G6">PRODUCT(1+IF(Rend_j[[Month,Year]:[Month,Year]]='Rend mensuels'!$A6,Rend_j[Monde]))-1</f>
        <v>2.3077329064151497E-2</v>
      </c>
      <c r="H6" s="6" cm="1">
        <f t="array" ref="H6">PRODUCT(1+IF(Rend_j[[Month,Year]:[Month,Year]]='Rend mensuels'!$A6,Rend_j[RU]))-1</f>
        <v>3.2620457391578928E-2</v>
      </c>
      <c r="I6" s="6" cm="1">
        <f t="array" ref="I6">PRODUCT(1+IF(Rend_j[[Month,Year]:[Month,Year]]='Rend mensuels'!$A6,Rend_j[US]))-1</f>
        <v>3.0007018899497195E-2</v>
      </c>
      <c r="J6" s="6" cm="1">
        <f t="array" ref="J6">PRODUCT(1+IF(Rend_j[[Month,Year]:[Month,Year]]='Rend mensuels'!$A6,Rend_j[France]))-1</f>
        <v>5.6306433014450707E-2</v>
      </c>
      <c r="K6" s="6" cm="1">
        <f t="array" ref="K6">PRODUCT(1+IF(Rend_j[[Month,Year]:[Month,Year]]='Rend mensuels'!$A6,Rend_j[Europe]))-1</f>
        <v>2.308951335471221E-2</v>
      </c>
      <c r="L6" s="6" cm="1">
        <f t="array" ref="L6">PRODUCT(1+IF(Rend_j[[Month,Year]:[Month,Year]]='Rend mensuels'!$A6,Rend_j[Allemagne]))-1</f>
        <v>2.6310082420419878E-2</v>
      </c>
      <c r="M6" s="10">
        <f>VALUE(LEFT(Rend_m[[#This Row],[Month,Year]],FIND(",",Rend_m[[#This Row],[Month,Year]])-1))</f>
        <v>2</v>
      </c>
      <c r="N6" s="10">
        <f>VALUE(RIGHT(Rend_m[[#This Row],[Month,Year]],4))</f>
        <v>2021</v>
      </c>
    </row>
    <row r="7" spans="1:17" x14ac:dyDescent="0.25">
      <c r="A7" s="65" t="s">
        <v>31</v>
      </c>
      <c r="B7" s="6" cm="1">
        <f t="array" ref="B7">PRODUCT(1+IF(Rend_j[[Month,Year]:[Month,Year]]='Rend mensuels'!$A7,Rend_j[Chine]))-1</f>
        <v>-3.2832254579744147E-2</v>
      </c>
      <c r="C7" s="6" cm="1">
        <f t="array" ref="C7">PRODUCT(1+IF(Rend_j[[Month,Year]:[Month,Year]]='Rend mensuels'!$A7,Rend_j[DM]))-1</f>
        <v>6.4867527440432893E-2</v>
      </c>
      <c r="D7" s="6" cm="1">
        <f t="array" ref="D7">PRODUCT(1+IF(Rend_j[[Month,Year]:[Month,Year]]='Rend mensuels'!$A7,Rend_j[EM ex China]))-1</f>
        <v>4.6365838917411306E-2</v>
      </c>
      <c r="E7" s="6" cm="1">
        <f t="array" ref="E7">PRODUCT(1+IF(Rend_j[[Month,Year]:[Month,Year]]='Rend mensuels'!$A7,Rend_j[EM]))-1</f>
        <v>1.5149137664470791E-2</v>
      </c>
      <c r="F7" s="6" cm="1">
        <f t="array" ref="F7">PRODUCT(1+IF(Rend_j[[Month,Year]:[Month,Year]]='Rend mensuels'!$A7,Rend_j[Japon]))-1</f>
        <v>3.6315817595687472E-2</v>
      </c>
      <c r="G7" s="6" cm="1">
        <f t="array" ref="G7">PRODUCT(1+IF(Rend_j[[Month,Year]:[Month,Year]]='Rend mensuels'!$A7,Rend_j[Monde]))-1</f>
        <v>5.8122288952036305E-2</v>
      </c>
      <c r="H7" s="6" cm="1">
        <f t="array" ref="H7">PRODUCT(1+IF(Rend_j[[Month,Year]:[Month,Year]]='Rend mensuels'!$A7,Rend_j[RU]))-1</f>
        <v>5.4231620590590612E-2</v>
      </c>
      <c r="I7" s="6" cm="1">
        <f t="array" ref="I7">PRODUCT(1+IF(Rend_j[[Month,Year]:[Month,Year]]='Rend mensuels'!$A7,Rend_j[US]))-1</f>
        <v>3.4451312497260966E-2</v>
      </c>
      <c r="J7" s="6" cm="1">
        <f t="array" ref="J7">PRODUCT(1+IF(Rend_j[[Month,Year]:[Month,Year]]='Rend mensuels'!$A7,Rend_j[France]))-1</f>
        <v>6.3825304175108011E-2</v>
      </c>
      <c r="K7" s="6" cm="1">
        <f t="array" ref="K7">PRODUCT(1+IF(Rend_j[[Month,Year]:[Month,Year]]='Rend mensuels'!$A7,Rend_j[Europe]))-1</f>
        <v>6.0766973524456036E-2</v>
      </c>
      <c r="L7" s="6" cm="1">
        <f t="array" ref="L7">PRODUCT(1+IF(Rend_j[[Month,Year]:[Month,Year]]='Rend mensuels'!$A7,Rend_j[Allemagne]))-1</f>
        <v>8.8642397371178294E-2</v>
      </c>
      <c r="M7" s="10">
        <f>VALUE(LEFT(Rend_m[[#This Row],[Month,Year]],FIND(",",Rend_m[[#This Row],[Month,Year]])-1))</f>
        <v>3</v>
      </c>
      <c r="N7" s="10">
        <f>VALUE(RIGHT(Rend_m[[#This Row],[Month,Year]],4))</f>
        <v>2021</v>
      </c>
    </row>
    <row r="8" spans="1:17" x14ac:dyDescent="0.25">
      <c r="A8" s="66" t="s">
        <v>32</v>
      </c>
      <c r="B8" s="6" cm="1">
        <f t="array" ref="B8">PRODUCT(1+IF(Rend_j[[Month,Year]:[Month,Year]]='Rend mensuels'!$A8,Rend_j[Chine]))-1</f>
        <v>-1.6836307610951229E-3</v>
      </c>
      <c r="C8" s="6" cm="1">
        <f t="array" ref="C8">PRODUCT(1+IF(Rend_j[[Month,Year]:[Month,Year]]='Rend mensuels'!$A8,Rend_j[DM]))-1</f>
        <v>2.0447260803890588E-2</v>
      </c>
      <c r="D8" s="6" cm="1">
        <f t="array" ref="D8">PRODUCT(1+IF(Rend_j[[Month,Year]:[Month,Year]]='Rend mensuels'!$A8,Rend_j[EM ex China]))-1</f>
        <v>5.6618369398004909E-3</v>
      </c>
      <c r="E8" s="6" cm="1">
        <f t="array" ref="E8">PRODUCT(1+IF(Rend_j[[Month,Year]:[Month,Year]]='Rend mensuels'!$A8,Rend_j[EM]))-1</f>
        <v>-5.4555001670808512E-4</v>
      </c>
      <c r="F8" s="6" cm="1">
        <f t="array" ref="F8">PRODUCT(1+IF(Rend_j[[Month,Year]:[Month,Year]]='Rend mensuels'!$A8,Rend_j[Japon]))-1</f>
        <v>-3.8554962304360396E-2</v>
      </c>
      <c r="G8" s="6" cm="1">
        <f t="array" ref="G8">PRODUCT(1+IF(Rend_j[[Month,Year]:[Month,Year]]='Rend mensuels'!$A8,Rend_j[Monde]))-1</f>
        <v>1.7714000154387177E-2</v>
      </c>
      <c r="H8" s="6" cm="1">
        <f t="array" ref="H8">PRODUCT(1+IF(Rend_j[[Month,Year]:[Month,Year]]='Rend mensuels'!$A8,Rend_j[RU]))-1</f>
        <v>1.616073622372638E-2</v>
      </c>
      <c r="I8" s="6" cm="1">
        <f t="array" ref="I8">PRODUCT(1+IF(Rend_j[[Month,Year]:[Month,Year]]='Rend mensuels'!$A8,Rend_j[US]))-1</f>
        <v>5.1262438298216306E-2</v>
      </c>
      <c r="J8" s="6" cm="1">
        <f t="array" ref="J8">PRODUCT(1+IF(Rend_j[[Month,Year]:[Month,Year]]='Rend mensuels'!$A8,Rend_j[France]))-1</f>
        <v>3.3334816821959601E-2</v>
      </c>
      <c r="K8" s="6" cm="1">
        <f t="array" ref="K8">PRODUCT(1+IF(Rend_j[[Month,Year]:[Month,Year]]='Rend mensuels'!$A8,Rend_j[Europe]))-1</f>
        <v>1.8133167810058248E-2</v>
      </c>
      <c r="L8" s="6" cm="1">
        <f t="array" ref="L8">PRODUCT(1+IF(Rend_j[[Month,Year]:[Month,Year]]='Rend mensuels'!$A8,Rend_j[Allemagne]))-1</f>
        <v>8.4999621117312074E-3</v>
      </c>
      <c r="M8" s="10">
        <f>VALUE(LEFT(Rend_m[[#This Row],[Month,Year]],FIND(",",Rend_m[[#This Row],[Month,Year]])-1))</f>
        <v>4</v>
      </c>
      <c r="N8" s="10">
        <f>VALUE(RIGHT(Rend_m[[#This Row],[Month,Year]],4))</f>
        <v>2021</v>
      </c>
    </row>
    <row r="9" spans="1:17" x14ac:dyDescent="0.25">
      <c r="A9" s="65" t="s">
        <v>33</v>
      </c>
      <c r="B9" s="6" cm="1">
        <f t="array" ref="B9">PRODUCT(1+IF(Rend_j[[Month,Year]:[Month,Year]]='Rend mensuels'!$A9,Rend_j[Chine]))-1</f>
        <v>1.0316039323578829E-2</v>
      </c>
      <c r="C9" s="6" cm="1">
        <f t="array" ref="C9">PRODUCT(1+IF(Rend_j[[Month,Year]:[Month,Year]]='Rend mensuels'!$A9,Rend_j[DM]))-1</f>
        <v>-3.0407329851338538E-3</v>
      </c>
      <c r="D9" s="6" cm="1">
        <f t="array" ref="D9">PRODUCT(1+IF(Rend_j[[Month,Year]:[Month,Year]]='Rend mensuels'!$A9,Rend_j[EM ex China]))-1</f>
        <v>1.485713342277184E-2</v>
      </c>
      <c r="E9" s="6" cm="1">
        <f t="array" ref="E9">PRODUCT(1+IF(Rend_j[[Month,Year]:[Month,Year]]='Rend mensuels'!$A9,Rend_j[EM]))-1</f>
        <v>5.4743986008101153E-3</v>
      </c>
      <c r="F9" s="6" cm="1">
        <f t="array" ref="F9">PRODUCT(1+IF(Rend_j[[Month,Year]:[Month,Year]]='Rend mensuels'!$A9,Rend_j[Japon]))-1</f>
        <v>-8.5207298034895018E-4</v>
      </c>
      <c r="G9" s="6" cm="1">
        <f t="array" ref="G9">PRODUCT(1+IF(Rend_j[[Month,Year]:[Month,Year]]='Rend mensuels'!$A9,Rend_j[Monde]))-1</f>
        <v>-1.9202133392949294E-3</v>
      </c>
      <c r="H9" s="6" cm="1">
        <f t="array" ref="H9">PRODUCT(1+IF(Rend_j[[Month,Year]:[Month,Year]]='Rend mensuels'!$A9,Rend_j[RU]))-1</f>
        <v>2.0662746606583626E-2</v>
      </c>
      <c r="I9" s="6" cm="1">
        <f t="array" ref="I9">PRODUCT(1+IF(Rend_j[[Month,Year]:[Month,Year]]='Rend mensuels'!$A9,Rend_j[US]))-1</f>
        <v>2.9968212725164367E-3</v>
      </c>
      <c r="J9" s="6" cm="1">
        <f t="array" ref="J9">PRODUCT(1+IF(Rend_j[[Month,Year]:[Month,Year]]='Rend mensuels'!$A9,Rend_j[France]))-1</f>
        <v>2.8342054295865893E-2</v>
      </c>
      <c r="K9" s="6" cm="1">
        <f t="array" ref="K9">PRODUCT(1+IF(Rend_j[[Month,Year]:[Month,Year]]='Rend mensuels'!$A9,Rend_j[Europe]))-1</f>
        <v>2.1422516926912882E-2</v>
      </c>
      <c r="L9" s="6" cm="1">
        <f t="array" ref="L9">PRODUCT(1+IF(Rend_j[[Month,Year]:[Month,Year]]='Rend mensuels'!$A9,Rend_j[Allemagne]))-1</f>
        <v>1.8843909417073368E-2</v>
      </c>
      <c r="M9" s="10">
        <f>VALUE(LEFT(Rend_m[[#This Row],[Month,Year]],FIND(",",Rend_m[[#This Row],[Month,Year]])-1))</f>
        <v>5</v>
      </c>
      <c r="N9" s="10">
        <f>VALUE(RIGHT(Rend_m[[#This Row],[Month,Year]],4))</f>
        <v>2021</v>
      </c>
    </row>
    <row r="10" spans="1:17" x14ac:dyDescent="0.25">
      <c r="A10" s="66" t="s">
        <v>34</v>
      </c>
      <c r="B10" s="6" cm="1">
        <f t="array" ref="B10">PRODUCT(1+IF(Rend_j[[Month,Year]:[Month,Year]]='Rend mensuels'!$A10,Rend_j[Chine]))-1</f>
        <v>2.1401187807841948E-2</v>
      </c>
      <c r="C10" s="6" cm="1">
        <f t="array" ref="C10">PRODUCT(1+IF(Rend_j[[Month,Year]:[Month,Year]]='Rend mensuels'!$A10,Rend_j[DM]))-1</f>
        <v>4.5375899309523682E-2</v>
      </c>
      <c r="D10" s="6" cm="1">
        <f t="array" ref="D10">PRODUCT(1+IF(Rend_j[[Month,Year]:[Month,Year]]='Rend mensuels'!$A10,Rend_j[EM ex China]))-1</f>
        <v>3.1312077374706204E-2</v>
      </c>
      <c r="E10" s="6" cm="1">
        <f t="array" ref="E10">PRODUCT(1+IF(Rend_j[[Month,Year]:[Month,Year]]='Rend mensuels'!$A10,Rend_j[EM]))-1</f>
        <v>2.9812934017960702E-2</v>
      </c>
      <c r="F10" s="6" cm="1">
        <f t="array" ref="F10">PRODUCT(1+IF(Rend_j[[Month,Year]:[Month,Year]]='Rend mensuels'!$A10,Rend_j[Japon]))-1</f>
        <v>2.7027188206317776E-2</v>
      </c>
      <c r="G10" s="6" cm="1">
        <f t="array" ref="G10">PRODUCT(1+IF(Rend_j[[Month,Year]:[Month,Year]]='Rend mensuels'!$A10,Rend_j[Monde]))-1</f>
        <v>4.3337919779851353E-2</v>
      </c>
      <c r="H10" s="6" cm="1">
        <f t="array" ref="H10">PRODUCT(1+IF(Rend_j[[Month,Year]:[Month,Year]]='Rend mensuels'!$A10,Rend_j[RU]))-1</f>
        <v>4.2750228826786696E-3</v>
      </c>
      <c r="I10" s="6" cm="1">
        <f t="array" ref="I10">PRODUCT(1+IF(Rend_j[[Month,Year]:[Month,Year]]='Rend mensuels'!$A10,Rend_j[US]))-1</f>
        <v>2.4808513887714767E-2</v>
      </c>
      <c r="J10" s="6" cm="1">
        <f t="array" ref="J10">PRODUCT(1+IF(Rend_j[[Month,Year]:[Month,Year]]='Rend mensuels'!$A10,Rend_j[France]))-1</f>
        <v>9.4088036663970698E-3</v>
      </c>
      <c r="K10" s="6" cm="1">
        <f t="array" ref="K10">PRODUCT(1+IF(Rend_j[[Month,Year]:[Month,Year]]='Rend mensuels'!$A10,Rend_j[Europe]))-1</f>
        <v>1.36090649653271E-2</v>
      </c>
      <c r="L10" s="6" cm="1">
        <f t="array" ref="L10">PRODUCT(1+IF(Rend_j[[Month,Year]:[Month,Year]]='Rend mensuels'!$A10,Rend_j[Allemagne]))-1</f>
        <v>7.1272442976151318E-3</v>
      </c>
      <c r="M10" s="10">
        <f>VALUE(LEFT(Rend_m[[#This Row],[Month,Year]],FIND(",",Rend_m[[#This Row],[Month,Year]])-1))</f>
        <v>6</v>
      </c>
      <c r="N10" s="10">
        <f>VALUE(RIGHT(Rend_m[[#This Row],[Month,Year]],4))</f>
        <v>2021</v>
      </c>
    </row>
    <row r="11" spans="1:17" x14ac:dyDescent="0.25">
      <c r="A11" s="65" t="s">
        <v>35</v>
      </c>
      <c r="B11" s="6" cm="1">
        <f t="array" ref="B11">PRODUCT(1+IF(Rend_j[[Month,Year]:[Month,Year]]='Rend mensuels'!$A11,Rend_j[Chine]))-1</f>
        <v>-0.11503443890872367</v>
      </c>
      <c r="C11" s="6" cm="1">
        <f t="array" ref="C11">PRODUCT(1+IF(Rend_j[[Month,Year]:[Month,Year]]='Rend mensuels'!$A11,Rend_j[DM]))-1</f>
        <v>1.7328647695735722E-2</v>
      </c>
      <c r="D11" s="6" cm="1">
        <f t="array" ref="D11">PRODUCT(1+IF(Rend_j[[Month,Year]:[Month,Year]]='Rend mensuels'!$A11,Rend_j[EM ex China]))-1</f>
        <v>-2.771629966223399E-2</v>
      </c>
      <c r="E11" s="6" cm="1">
        <f t="array" ref="E11">PRODUCT(1+IF(Rend_j[[Month,Year]:[Month,Year]]='Rend mensuels'!$A11,Rend_j[EM]))-1</f>
        <v>-7.0362641948733429E-2</v>
      </c>
      <c r="F11" s="6" cm="1">
        <f t="array" ref="F11">PRODUCT(1+IF(Rend_j[[Month,Year]:[Month,Year]]='Rend mensuels'!$A11,Rend_j[Japon]))-1</f>
        <v>-1.2652788665330927E-2</v>
      </c>
      <c r="G11" s="6" cm="1">
        <f t="array" ref="G11">PRODUCT(1+IF(Rend_j[[Month,Year]:[Month,Year]]='Rend mensuels'!$A11,Rend_j[Monde]))-1</f>
        <v>5.9690163199119795E-3</v>
      </c>
      <c r="H11" s="6" cm="1">
        <f t="array" ref="H11">PRODUCT(1+IF(Rend_j[[Month,Year]:[Month,Year]]='Rend mensuels'!$A11,Rend_j[RU]))-1</f>
        <v>7.7845210267855069E-3</v>
      </c>
      <c r="I11" s="6" cm="1">
        <f t="array" ref="I11">PRODUCT(1+IF(Rend_j[[Month,Year]:[Month,Year]]='Rend mensuels'!$A11,Rend_j[US]))-1</f>
        <v>1.7158598815583792E-2</v>
      </c>
      <c r="J11" s="6" cm="1">
        <f t="array" ref="J11">PRODUCT(1+IF(Rend_j[[Month,Year]:[Month,Year]]='Rend mensuels'!$A11,Rend_j[France]))-1</f>
        <v>1.6123605985767897E-2</v>
      </c>
      <c r="K11" s="6" cm="1">
        <f t="array" ref="K11">PRODUCT(1+IF(Rend_j[[Month,Year]:[Month,Year]]='Rend mensuels'!$A11,Rend_j[Europe]))-1</f>
        <v>1.9653727759506801E-2</v>
      </c>
      <c r="L11" s="6" cm="1">
        <f t="array" ref="L11">PRODUCT(1+IF(Rend_j[[Month,Year]:[Month,Year]]='Rend mensuels'!$A11,Rend_j[Allemagne]))-1</f>
        <v>8.5954385318842697E-4</v>
      </c>
      <c r="M11" s="10">
        <f>VALUE(LEFT(Rend_m[[#This Row],[Month,Year]],FIND(",",Rend_m[[#This Row],[Month,Year]])-1))</f>
        <v>7</v>
      </c>
      <c r="N11" s="10">
        <f>VALUE(RIGHT(Rend_m[[#This Row],[Month,Year]],4))</f>
        <v>2021</v>
      </c>
    </row>
    <row r="12" spans="1:17" x14ac:dyDescent="0.25">
      <c r="A12" s="66" t="s">
        <v>36</v>
      </c>
      <c r="B12" s="6" cm="1">
        <f t="array" ref="B12">PRODUCT(1+IF(Rend_j[[Month,Year]:[Month,Year]]='Rend mensuels'!$A12,Rend_j[Chine]))-1</f>
        <v>5.9073260325546162E-3</v>
      </c>
      <c r="C12" s="6" cm="1">
        <f t="array" ref="C12">PRODUCT(1+IF(Rend_j[[Month,Year]:[Month,Year]]='Rend mensuels'!$A12,Rend_j[DM]))-1</f>
        <v>2.8130592539623578E-2</v>
      </c>
      <c r="D12" s="6" cm="1">
        <f t="array" ref="D12">PRODUCT(1+IF(Rend_j[[Month,Year]:[Month,Year]]='Rend mensuels'!$A12,Rend_j[EM ex China]))-1</f>
        <v>4.1997050147492443E-2</v>
      </c>
      <c r="E12" s="6" cm="1">
        <f t="array" ref="E12">PRODUCT(1+IF(Rend_j[[Month,Year]:[Month,Year]]='Rend mensuels'!$A12,Rend_j[EM]))-1</f>
        <v>2.8797172263228754E-2</v>
      </c>
      <c r="F12" s="6" cm="1">
        <f t="array" ref="F12">PRODUCT(1+IF(Rend_j[[Month,Year]:[Month,Year]]='Rend mensuels'!$A12,Rend_j[Japon]))-1</f>
        <v>3.4998470912042778E-2</v>
      </c>
      <c r="G12" s="6" cm="1">
        <f t="array" ref="G12">PRODUCT(1+IF(Rend_j[[Month,Year]:[Month,Year]]='Rend mensuels'!$A12,Rend_j[Monde]))-1</f>
        <v>2.8200789622109479E-2</v>
      </c>
      <c r="H12" s="6" cm="1">
        <f t="array" ref="H12">PRODUCT(1+IF(Rend_j[[Month,Year]:[Month,Year]]='Rend mensuels'!$A12,Rend_j[RU]))-1</f>
        <v>2.862067497978682E-3</v>
      </c>
      <c r="I12" s="6" cm="1">
        <f t="array" ref="I12">PRODUCT(1+IF(Rend_j[[Month,Year]:[Month,Year]]='Rend mensuels'!$A12,Rend_j[US]))-1</f>
        <v>2.7437467494984658E-2</v>
      </c>
      <c r="J12" s="6" cm="1">
        <f t="array" ref="J12">PRODUCT(1+IF(Rend_j[[Month,Year]:[Month,Year]]='Rend mensuels'!$A12,Rend_j[France]))-1</f>
        <v>1.0195502692634362E-2</v>
      </c>
      <c r="K12" s="6" cm="1">
        <f t="array" ref="K12">PRODUCT(1+IF(Rend_j[[Month,Year]:[Month,Year]]='Rend mensuels'!$A12,Rend_j[Europe]))-1</f>
        <v>1.9794722566698564E-2</v>
      </c>
      <c r="L12" s="6" cm="1">
        <f t="array" ref="L12">PRODUCT(1+IF(Rend_j[[Month,Year]:[Month,Year]]='Rend mensuels'!$A12,Rend_j[Allemagne]))-1</f>
        <v>1.8701293299091315E-2</v>
      </c>
      <c r="M12" s="10">
        <f>VALUE(LEFT(Rend_m[[#This Row],[Month,Year]],FIND(",",Rend_m[[#This Row],[Month,Year]])-1))</f>
        <v>8</v>
      </c>
      <c r="N12" s="10">
        <f>VALUE(RIGHT(Rend_m[[#This Row],[Month,Year]],4))</f>
        <v>2021</v>
      </c>
    </row>
    <row r="13" spans="1:17" x14ac:dyDescent="0.25">
      <c r="A13" s="65" t="s">
        <v>37</v>
      </c>
      <c r="B13" s="6" cm="1">
        <f t="array" ref="B13">PRODUCT(1+IF(Rend_j[[Month,Year]:[Month,Year]]='Rend mensuels'!$A13,Rend_j[Chine]))-1</f>
        <v>-1.0024661693041392E-2</v>
      </c>
      <c r="C13" s="6" cm="1">
        <f t="array" ref="C13">PRODUCT(1+IF(Rend_j[[Month,Year]:[Month,Year]]='Rend mensuels'!$A13,Rend_j[DM]))-1</f>
        <v>-2.5141864590156437E-2</v>
      </c>
      <c r="D13" s="6" cm="1">
        <f t="array" ref="D13">PRODUCT(1+IF(Rend_j[[Month,Year]:[Month,Year]]='Rend mensuels'!$A13,Rend_j[EM ex China]))-1</f>
        <v>-1.9842910000933855E-2</v>
      </c>
      <c r="E13" s="6" cm="1">
        <f t="array" ref="E13">PRODUCT(1+IF(Rend_j[[Month,Year]:[Month,Year]]='Rend mensuels'!$A13,Rend_j[EM]))-1</f>
        <v>-2.4702359079885383E-2</v>
      </c>
      <c r="F13" s="6" cm="1">
        <f t="array" ref="F13">PRODUCT(1+IF(Rend_j[[Month,Year]:[Month,Year]]='Rend mensuels'!$A13,Rend_j[Japon]))-1</f>
        <v>3.9525646780727897E-2</v>
      </c>
      <c r="G13" s="6" cm="1">
        <f t="array" ref="G13">PRODUCT(1+IF(Rend_j[[Month,Year]:[Month,Year]]='Rend mensuels'!$A13,Rend_j[Monde]))-1</f>
        <v>-2.5088582823086458E-2</v>
      </c>
      <c r="H13" s="6" cm="1">
        <f t="array" ref="H13">PRODUCT(1+IF(Rend_j[[Month,Year]:[Month,Year]]='Rend mensuels'!$A13,Rend_j[RU]))-1</f>
        <v>-5.357692266887315E-3</v>
      </c>
      <c r="I13" s="6" cm="1">
        <f t="array" ref="I13">PRODUCT(1+IF(Rend_j[[Month,Year]:[Month,Year]]='Rend mensuels'!$A13,Rend_j[US]))-1</f>
        <v>-4.6113539345641552E-2</v>
      </c>
      <c r="J13" s="6" cm="1">
        <f t="array" ref="J13">PRODUCT(1+IF(Rend_j[[Month,Year]:[Month,Year]]='Rend mensuels'!$A13,Rend_j[France]))-1</f>
        <v>-2.3976959569959932E-2</v>
      </c>
      <c r="K13" s="6" cm="1">
        <f t="array" ref="K13">PRODUCT(1+IF(Rend_j[[Month,Year]:[Month,Year]]='Rend mensuels'!$A13,Rend_j[Europe]))-1</f>
        <v>-3.4127605397048066E-2</v>
      </c>
      <c r="L13" s="6" cm="1">
        <f t="array" ref="L13">PRODUCT(1+IF(Rend_j[[Month,Year]:[Month,Year]]='Rend mensuels'!$A13,Rend_j[Allemagne]))-1</f>
        <v>-3.6273833353887452E-2</v>
      </c>
      <c r="M13" s="10">
        <f>VALUE(LEFT(Rend_m[[#This Row],[Month,Year]],FIND(",",Rend_m[[#This Row],[Month,Year]])-1))</f>
        <v>9</v>
      </c>
      <c r="N13" s="10">
        <f>VALUE(RIGHT(Rend_m[[#This Row],[Month,Year]],4))</f>
        <v>2021</v>
      </c>
    </row>
    <row r="14" spans="1:17" x14ac:dyDescent="0.25">
      <c r="A14" s="66" t="s">
        <v>38</v>
      </c>
      <c r="B14" s="6" cm="1">
        <f t="array" ref="B14">PRODUCT(1+IF(Rend_j[[Month,Year]:[Month,Year]]='Rend mensuels'!$A14,Rend_j[Chine]))-1</f>
        <v>2.9013048260666974E-2</v>
      </c>
      <c r="C14" s="6" cm="1">
        <f t="array" ref="C14">PRODUCT(1+IF(Rend_j[[Month,Year]:[Month,Year]]='Rend mensuels'!$A14,Rend_j[DM]))-1</f>
        <v>5.7469441990743775E-2</v>
      </c>
      <c r="D14" s="6" cm="1">
        <f t="array" ref="D14">PRODUCT(1+IF(Rend_j[[Month,Year]:[Month,Year]]='Rend mensuels'!$A14,Rend_j[EM ex China]))-1</f>
        <v>-5.7163721471398254E-4</v>
      </c>
      <c r="E14" s="6" cm="1">
        <f t="array" ref="E14">PRODUCT(1+IF(Rend_j[[Month,Year]:[Month,Year]]='Rend mensuels'!$A14,Rend_j[EM]))-1</f>
        <v>1.0784895494833524E-2</v>
      </c>
      <c r="F14" s="6" cm="1">
        <f t="array" ref="F14">PRODUCT(1+IF(Rend_j[[Month,Year]:[Month,Year]]='Rend mensuels'!$A14,Rend_j[Japon]))-1</f>
        <v>-3.2299678041794455E-2</v>
      </c>
      <c r="G14" s="6" cm="1">
        <f t="array" ref="G14">PRODUCT(1+IF(Rend_j[[Month,Year]:[Month,Year]]='Rend mensuels'!$A14,Rend_j[Monde]))-1</f>
        <v>5.1882829281274301E-2</v>
      </c>
      <c r="H14" s="6" cm="1">
        <f t="array" ref="H14">PRODUCT(1+IF(Rend_j[[Month,Year]:[Month,Year]]='Rend mensuels'!$A14,Rend_j[RU]))-1</f>
        <v>4.0884461131495575E-2</v>
      </c>
      <c r="I14" s="6" cm="1">
        <f t="array" ref="I14">PRODUCT(1+IF(Rend_j[[Month,Year]:[Month,Year]]='Rend mensuels'!$A14,Rend_j[US]))-1</f>
        <v>6.6050642797866654E-2</v>
      </c>
      <c r="J14" s="6" cm="1">
        <f t="array" ref="J14">PRODUCT(1+IF(Rend_j[[Month,Year]:[Month,Year]]='Rend mensuels'!$A14,Rend_j[France]))-1</f>
        <v>4.7596566437412724E-2</v>
      </c>
      <c r="K14" s="6" cm="1">
        <f t="array" ref="K14">PRODUCT(1+IF(Rend_j[[Month,Year]:[Month,Year]]='Rend mensuels'!$A14,Rend_j[Europe]))-1</f>
        <v>4.5513537721305841E-2</v>
      </c>
      <c r="L14" s="6" cm="1">
        <f t="array" ref="L14">PRODUCT(1+IF(Rend_j[[Month,Year]:[Month,Year]]='Rend mensuels'!$A14,Rend_j[Allemagne]))-1</f>
        <v>2.8051096505991469E-2</v>
      </c>
      <c r="M14" s="10">
        <f>VALUE(LEFT(Rend_m[[#This Row],[Month,Year]],FIND(",",Rend_m[[#This Row],[Month,Year]])-1))</f>
        <v>10</v>
      </c>
      <c r="N14" s="10">
        <f>VALUE(RIGHT(Rend_m[[#This Row],[Month,Year]],4))</f>
        <v>2021</v>
      </c>
    </row>
    <row r="15" spans="1:17" x14ac:dyDescent="0.25">
      <c r="A15" s="65" t="s">
        <v>39</v>
      </c>
      <c r="B15" s="6" cm="1">
        <f t="array" ref="B15">PRODUCT(1+IF(Rend_j[[Month,Year]:[Month,Year]]='Rend mensuels'!$A15,Rend_j[Chine]))-1</f>
        <v>-1.0171648467666272E-2</v>
      </c>
      <c r="C15" s="6" cm="1">
        <f t="array" ref="C15">PRODUCT(1+IF(Rend_j[[Month,Year]:[Month,Year]]='Rend mensuels'!$A15,Rend_j[DM]))-1</f>
        <v>4.5014814550390359E-3</v>
      </c>
      <c r="D15" s="6" cm="1">
        <f t="array" ref="D15">PRODUCT(1+IF(Rend_j[[Month,Year]:[Month,Year]]='Rend mensuels'!$A15,Rend_j[EM ex China]))-1</f>
        <v>-4.2638423758264432E-3</v>
      </c>
      <c r="E15" s="6" cm="1">
        <f t="array" ref="E15">PRODUCT(1+IF(Rend_j[[Month,Year]:[Month,Year]]='Rend mensuels'!$A15,Rend_j[EM]))-1</f>
        <v>-1.4422897718801786E-2</v>
      </c>
      <c r="F15" s="6" cm="1">
        <f t="array" ref="F15">PRODUCT(1+IF(Rend_j[[Month,Year]:[Month,Year]]='Rend mensuels'!$A15,Rend_j[Japon]))-1</f>
        <v>2.4910469175414285E-3</v>
      </c>
      <c r="G15" s="6" cm="1">
        <f t="array" ref="G15">PRODUCT(1+IF(Rend_j[[Month,Year]:[Month,Year]]='Rend mensuels'!$A15,Rend_j[Monde]))-1</f>
        <v>2.323967587338549E-3</v>
      </c>
      <c r="H15" s="6" cm="1">
        <f t="array" ref="H15">PRODUCT(1+IF(Rend_j[[Month,Year]:[Month,Year]]='Rend mensuels'!$A15,Rend_j[RU]))-1</f>
        <v>-3.0066096223805294E-2</v>
      </c>
      <c r="I15" s="6" cm="1">
        <f t="array" ref="I15">PRODUCT(1+IF(Rend_j[[Month,Year]:[Month,Year]]='Rend mensuels'!$A15,Rend_j[US]))-1</f>
        <v>-1.5183663947749504E-2</v>
      </c>
      <c r="J15" s="6" cm="1">
        <f t="array" ref="J15">PRODUCT(1+IF(Rend_j[[Month,Year]:[Month,Year]]='Rend mensuels'!$A15,Rend_j[France]))-1</f>
        <v>-1.5984517680464494E-2</v>
      </c>
      <c r="K15" s="6" cm="1">
        <f t="array" ref="K15">PRODUCT(1+IF(Rend_j[[Month,Year]:[Month,Year]]='Rend mensuels'!$A15,Rend_j[Europe]))-1</f>
        <v>-2.6392754592063805E-2</v>
      </c>
      <c r="L15" s="6" cm="1">
        <f t="array" ref="L15">PRODUCT(1+IF(Rend_j[[Month,Year]:[Month,Year]]='Rend mensuels'!$A15,Rend_j[Allemagne]))-1</f>
        <v>-3.7519809878932664E-2</v>
      </c>
      <c r="M15" s="10">
        <f>VALUE(LEFT(Rend_m[[#This Row],[Month,Year]],FIND(",",Rend_m[[#This Row],[Month,Year]])-1))</f>
        <v>11</v>
      </c>
      <c r="N15" s="10">
        <f>VALUE(RIGHT(Rend_m[[#This Row],[Month,Year]],4))</f>
        <v>2021</v>
      </c>
    </row>
    <row r="16" spans="1:17" x14ac:dyDescent="0.25">
      <c r="A16" s="66" t="s">
        <v>40</v>
      </c>
      <c r="B16" s="6" cm="1">
        <f t="array" ref="B16">PRODUCT(1+IF(Rend_j[[Month,Year]:[Month,Year]]='Rend mensuels'!$A16,Rend_j[Chine]))-1</f>
        <v>-2.5329948545769532E-2</v>
      </c>
      <c r="C16" s="6" cm="1">
        <f t="array" ref="C16">PRODUCT(1+IF(Rend_j[[Month,Year]:[Month,Year]]='Rend mensuels'!$A16,Rend_j[DM]))-1</f>
        <v>3.126254926419092E-2</v>
      </c>
      <c r="D16" s="6" cm="1">
        <f t="array" ref="D16">PRODUCT(1+IF(Rend_j[[Month,Year]:[Month,Year]]='Rend mensuels'!$A16,Rend_j[EM ex China]))-1</f>
        <v>3.020301824602889E-2</v>
      </c>
      <c r="E16" s="6" cm="1">
        <f t="array" ref="E16">PRODUCT(1+IF(Rend_j[[Month,Year]:[Month,Year]]='Rend mensuels'!$A16,Rend_j[EM]))-1</f>
        <v>5.7888180552496671E-3</v>
      </c>
      <c r="F16" s="6" cm="1">
        <f t="array" ref="F16">PRODUCT(1+IF(Rend_j[[Month,Year]:[Month,Year]]='Rend mensuels'!$A16,Rend_j[Japon]))-1</f>
        <v>7.4883786448791678E-3</v>
      </c>
      <c r="G16" s="6" cm="1">
        <f t="array" ref="G16">PRODUCT(1+IF(Rend_j[[Month,Year]:[Month,Year]]='Rend mensuels'!$A16,Rend_j[Monde]))-1</f>
        <v>2.8349409537546499E-2</v>
      </c>
      <c r="H16" s="6" cm="1">
        <f t="array" ref="H16">PRODUCT(1+IF(Rend_j[[Month,Year]:[Month,Year]]='Rend mensuels'!$A16,Rend_j[RU]))-1</f>
        <v>6.0485362014136346E-2</v>
      </c>
      <c r="I16" s="6" cm="1">
        <f t="array" ref="I16">PRODUCT(1+IF(Rend_j[[Month,Year]:[Month,Year]]='Rend mensuels'!$A16,Rend_j[US]))-1</f>
        <v>3.7527446085219962E-2</v>
      </c>
      <c r="J16" s="6" cm="1">
        <f t="array" ref="J16">PRODUCT(1+IF(Rend_j[[Month,Year]:[Month,Year]]='Rend mensuels'!$A16,Rend_j[France]))-1</f>
        <v>6.425522067264855E-2</v>
      </c>
      <c r="K16" s="6" cm="1">
        <f t="array" ref="K16">PRODUCT(1+IF(Rend_j[[Month,Year]:[Month,Year]]='Rend mensuels'!$A16,Rend_j[Europe]))-1</f>
        <v>5.5620357051545444E-2</v>
      </c>
      <c r="L16" s="6" cm="1">
        <f t="array" ref="L16">PRODUCT(1+IF(Rend_j[[Month,Year]:[Month,Year]]='Rend mensuels'!$A16,Rend_j[Allemagne]))-1</f>
        <v>5.1968458300439391E-2</v>
      </c>
      <c r="M16" s="10">
        <f>VALUE(LEFT(Rend_m[[#This Row],[Month,Year]],FIND(",",Rend_m[[#This Row],[Month,Year]])-1))</f>
        <v>12</v>
      </c>
      <c r="N16" s="10">
        <f>VALUE(RIGHT(Rend_m[[#This Row],[Month,Year]],4))</f>
        <v>2021</v>
      </c>
      <c r="P16" s="11"/>
      <c r="Q16" s="11"/>
    </row>
    <row r="17" spans="1:17" x14ac:dyDescent="0.25">
      <c r="A17" s="65" t="s">
        <v>81</v>
      </c>
      <c r="B17" s="6" cm="1">
        <f t="array" ref="B17">PRODUCT(1+IF(Rend_j[[Month,Year]:[Month,Year]]='Rend mensuels'!$A17,Rend_j[Chine]))-1</f>
        <v>-3.9584123921241221E-2</v>
      </c>
      <c r="C17" s="6" cm="1">
        <f t="array" ref="C17">PRODUCT(1+IF(Rend_j[[Month,Year]:[Month,Year]]='Rend mensuels'!$A17,Rend_j[DM]))-1</f>
        <v>-3.9753539085006784E-2</v>
      </c>
      <c r="D17" s="6" cm="1">
        <f t="array" ref="D17">PRODUCT(1+IF(Rend_j[[Month,Year]:[Month,Year]]='Rend mensuels'!$A17,Rend_j[EM ex China]))-1</f>
        <v>-1.4672973462837025E-4</v>
      </c>
      <c r="E17" s="6" cm="1">
        <f t="array" ref="E17">PRODUCT(1+IF(Rend_j[[Month,Year]:[Month,Year]]='Rend mensuels'!$A17,Rend_j[EM]))-1</f>
        <v>-5.125662152824062E-3</v>
      </c>
      <c r="F17" s="6" cm="1">
        <f t="array" ref="F17">PRODUCT(1+IF(Rend_j[[Month,Year]:[Month,Year]]='Rend mensuels'!$A17,Rend_j[Japon]))-1</f>
        <v>-3.7079707389096384E-2</v>
      </c>
      <c r="G17" s="6" cm="1">
        <f t="array" ref="G17">PRODUCT(1+IF(Rend_j[[Month,Year]:[Month,Year]]='Rend mensuels'!$A17,Rend_j[Monde]))-1</f>
        <v>-3.5881719713731219E-2</v>
      </c>
      <c r="H17" s="6" cm="1">
        <f t="array" ref="H17">PRODUCT(1+IF(Rend_j[[Month,Year]:[Month,Year]]='Rend mensuels'!$A17,Rend_j[RU]))-1</f>
        <v>2.2993544273532063E-2</v>
      </c>
      <c r="I17" s="6" cm="1">
        <f t="array" ref="I17">PRODUCT(1+IF(Rend_j[[Month,Year]:[Month,Year]]='Rend mensuels'!$A17,Rend_j[US]))-1</f>
        <v>-5.9772220300133294E-2</v>
      </c>
      <c r="J17" s="6" cm="1">
        <f t="array" ref="J17">PRODUCT(1+IF(Rend_j[[Month,Year]:[Month,Year]]='Rend mensuels'!$A17,Rend_j[France]))-1</f>
        <v>-2.1505515092721139E-2</v>
      </c>
      <c r="K17" s="6" cm="1">
        <f t="array" ref="K17">PRODUCT(1+IF(Rend_j[[Month,Year]:[Month,Year]]='Rend mensuels'!$A17,Rend_j[Europe]))-1</f>
        <v>-4.0576182941183592E-2</v>
      </c>
      <c r="L17" s="6" cm="1">
        <f t="array" ref="L17">PRODUCT(1+IF(Rend_j[[Month,Year]:[Month,Year]]='Rend mensuels'!$A17,Rend_j[Allemagne]))-1</f>
        <v>-2.6041157484900657E-2</v>
      </c>
      <c r="M17" s="10">
        <f>VALUE(LEFT(Rend_m[[#This Row],[Month,Year]],FIND(",",Rend_m[[#This Row],[Month,Year]])-1))</f>
        <v>1</v>
      </c>
      <c r="N17" s="10">
        <f>VALUE(RIGHT(Rend_m[[#This Row],[Month,Year]],4))</f>
        <v>2022</v>
      </c>
      <c r="P17" s="11"/>
      <c r="Q17" s="11"/>
    </row>
    <row r="18" spans="1:17" x14ac:dyDescent="0.25">
      <c r="A18" s="66" t="s">
        <v>82</v>
      </c>
      <c r="B18" s="6" cm="1">
        <f t="array" ref="B18">PRODUCT(1+IF(Rend_j[[Month,Year]:[Month,Year]]='Rend mensuels'!$A18,Rend_j[Chine]))-1</f>
        <v>-1.4231345848713883E-2</v>
      </c>
      <c r="C18" s="6" cm="1">
        <f t="array" ref="C18">PRODUCT(1+IF(Rend_j[[Month,Year]:[Month,Year]]='Rend mensuels'!$A18,Rend_j[DM]))-1</f>
        <v>-2.8418959849561443E-2</v>
      </c>
      <c r="D18" s="6" cm="1">
        <f t="array" ref="D18">PRODUCT(1+IF(Rend_j[[Month,Year]:[Month,Year]]='Rend mensuels'!$A18,Rend_j[EM ex China]))-1</f>
        <v>-2.8486886424145763E-2</v>
      </c>
      <c r="E18" s="6" cm="1">
        <f t="array" ref="E18">PRODUCT(1+IF(Rend_j[[Month,Year]:[Month,Year]]='Rend mensuels'!$A18,Rend_j[EM]))-1</f>
        <v>-3.2457331837241088E-2</v>
      </c>
      <c r="F18" s="6" cm="1">
        <f t="array" ref="F18">PRODUCT(1+IF(Rend_j[[Month,Year]:[Month,Year]]='Rend mensuels'!$A18,Rend_j[Japon]))-1</f>
        <v>-1.3492164902947135E-2</v>
      </c>
      <c r="G18" s="6" cm="1">
        <f t="array" ref="G18">PRODUCT(1+IF(Rend_j[[Month,Year]:[Month,Year]]='Rend mensuels'!$A18,Rend_j[Monde]))-1</f>
        <v>-2.888846861656813E-2</v>
      </c>
      <c r="H18" s="6" cm="1">
        <f t="array" ref="H18">PRODUCT(1+IF(Rend_j[[Month,Year]:[Month,Year]]='Rend mensuels'!$A18,Rend_j[RU]))-1</f>
        <v>1.5387012582295245E-3</v>
      </c>
      <c r="I18" s="6" cm="1">
        <f t="array" ref="I18">PRODUCT(1+IF(Rend_j[[Month,Year]:[Month,Year]]='Rend mensuels'!$A18,Rend_j[US]))-1</f>
        <v>-2.6422020025282045E-2</v>
      </c>
      <c r="J18" s="6" cm="1">
        <f t="array" ref="J18">PRODUCT(1+IF(Rend_j[[Month,Year]:[Month,Year]]='Rend mensuels'!$A18,Rend_j[France]))-1</f>
        <v>-4.8629858772027856E-2</v>
      </c>
      <c r="K18" s="6" cm="1">
        <f t="array" ref="K18">PRODUCT(1+IF(Rend_j[[Month,Year]:[Month,Year]]='Rend mensuels'!$A18,Rend_j[Europe]))-1</f>
        <v>-3.3633381316825584E-2</v>
      </c>
      <c r="L18" s="6" cm="1">
        <f t="array" ref="L18">PRODUCT(1+IF(Rend_j[[Month,Year]:[Month,Year]]='Rend mensuels'!$A18,Rend_j[Allemagne]))-1</f>
        <v>-6.5294266568925008E-2</v>
      </c>
      <c r="M18" s="10">
        <f>VALUE(LEFT(Rend_m[[#This Row],[Month,Year]],FIND(",",Rend_m[[#This Row],[Month,Year]])-1))</f>
        <v>2</v>
      </c>
      <c r="N18" s="10">
        <f>VALUE(RIGHT(Rend_m[[#This Row],[Month,Year]],4))</f>
        <v>2022</v>
      </c>
    </row>
    <row r="19" spans="1:17" x14ac:dyDescent="0.25">
      <c r="A19" s="65" t="s">
        <v>83</v>
      </c>
      <c r="B19" s="6" cm="1">
        <f t="array" ref="B19">PRODUCT(1+IF(Rend_j[[Month,Year]:[Month,Year]]='Rend mensuels'!$A19,Rend_j[Chine]))-1</f>
        <v>-7.4516493073529699E-2</v>
      </c>
      <c r="C19" s="6" cm="1">
        <f t="array" ref="C19">PRODUCT(1+IF(Rend_j[[Month,Year]:[Month,Year]]='Rend mensuels'!$A19,Rend_j[DM]))-1</f>
        <v>3.494586917738074E-2</v>
      </c>
      <c r="D19" s="6" cm="1">
        <f t="array" ref="D19">PRODUCT(1+IF(Rend_j[[Month,Year]:[Month,Year]]='Rend mensuels'!$A19,Rend_j[EM ex China]))-1</f>
        <v>9.9294660845556937E-3</v>
      </c>
      <c r="E19" s="6" cm="1">
        <f t="array" ref="E19">PRODUCT(1+IF(Rend_j[[Month,Year]:[Month,Year]]='Rend mensuels'!$A19,Rend_j[EM]))-1</f>
        <v>-1.5962498626658328E-2</v>
      </c>
      <c r="F19" s="6" cm="1">
        <f t="array" ref="F19">PRODUCT(1+IF(Rend_j[[Month,Year]:[Month,Year]]='Rend mensuels'!$A19,Rend_j[Japon]))-1</f>
        <v>-4.668797946436043E-3</v>
      </c>
      <c r="G19" s="6" cm="1">
        <f t="array" ref="G19">PRODUCT(1+IF(Rend_j[[Month,Year]:[Month,Year]]='Rend mensuels'!$A19,Rend_j[Monde]))-1</f>
        <v>2.9062473081633344E-2</v>
      </c>
      <c r="H19" s="6" cm="1">
        <f t="array" ref="H19">PRODUCT(1+IF(Rend_j[[Month,Year]:[Month,Year]]='Rend mensuels'!$A19,Rend_j[RU]))-1</f>
        <v>3.6366465062913633E-3</v>
      </c>
      <c r="I19" s="6" cm="1">
        <f t="array" ref="I19">PRODUCT(1+IF(Rend_j[[Month,Year]:[Month,Year]]='Rend mensuels'!$A19,Rend_j[US]))-1</f>
        <v>3.1326433021556577E-2</v>
      </c>
      <c r="J19" s="6" cm="1">
        <f t="array" ref="J19">PRODUCT(1+IF(Rend_j[[Month,Year]:[Month,Year]]='Rend mensuels'!$A19,Rend_j[France]))-1</f>
        <v>1.561894488695259E-4</v>
      </c>
      <c r="K19" s="6" cm="1">
        <f t="array" ref="K19">PRODUCT(1+IF(Rend_j[[Month,Year]:[Month,Year]]='Rend mensuels'!$A19,Rend_j[Europe]))-1</f>
        <v>6.069166628495104E-3</v>
      </c>
      <c r="L19" s="6" cm="1">
        <f t="array" ref="L19">PRODUCT(1+IF(Rend_j[[Month,Year]:[Month,Year]]='Rend mensuels'!$A19,Rend_j[Allemagne]))-1</f>
        <v>-3.199603589775557E-3</v>
      </c>
      <c r="M19" s="10">
        <f>VALUE(LEFT(Rend_m[[#This Row],[Month,Year]],FIND(",",Rend_m[[#This Row],[Month,Year]])-1))</f>
        <v>3</v>
      </c>
      <c r="N19" s="10">
        <f>VALUE(RIGHT(Rend_m[[#This Row],[Month,Year]],4))</f>
        <v>2022</v>
      </c>
    </row>
    <row r="20" spans="1:17" x14ac:dyDescent="0.25">
      <c r="A20" s="66" t="s">
        <v>84</v>
      </c>
      <c r="B20" s="6" cm="1">
        <f t="array" ref="B20">PRODUCT(1+IF(Rend_j[[Month,Year]:[Month,Year]]='Rend mensuels'!$A20,Rend_j[Chine]))-1</f>
        <v>-1.1831146856527974E-2</v>
      </c>
      <c r="C20" s="6" cm="1">
        <f t="array" ref="C20">PRODUCT(1+IF(Rend_j[[Month,Year]:[Month,Year]]='Rend mensuels'!$A20,Rend_j[DM]))-1</f>
        <v>-3.4244130852195132E-2</v>
      </c>
      <c r="D20" s="6" cm="1">
        <f t="array" ref="D20">PRODUCT(1+IF(Rend_j[[Month,Year]:[Month,Year]]='Rend mensuels'!$A20,Rend_j[EM ex China]))-1</f>
        <v>-1.3272889829964774E-2</v>
      </c>
      <c r="E20" s="6" cm="1">
        <f t="array" ref="E20">PRODUCT(1+IF(Rend_j[[Month,Year]:[Month,Year]]='Rend mensuels'!$A20,Rend_j[EM]))-1</f>
        <v>-5.8975752207561793E-3</v>
      </c>
      <c r="F20" s="6" cm="1">
        <f t="array" ref="F20">PRODUCT(1+IF(Rend_j[[Month,Year]:[Month,Year]]='Rend mensuels'!$A20,Rend_j[Japon]))-1</f>
        <v>-3.8182162334819747E-2</v>
      </c>
      <c r="G20" s="6" cm="1">
        <f t="array" ref="G20">PRODUCT(1+IF(Rend_j[[Month,Year]:[Month,Year]]='Rend mensuels'!$A20,Rend_j[Monde]))-1</f>
        <v>-3.1113181522067879E-2</v>
      </c>
      <c r="H20" s="6" cm="1">
        <f t="array" ref="H20">PRODUCT(1+IF(Rend_j[[Month,Year]:[Month,Year]]='Rend mensuels'!$A20,Rend_j[RU]))-1</f>
        <v>1.2158967601922255E-2</v>
      </c>
      <c r="I20" s="6" cm="1">
        <f t="array" ref="I20">PRODUCT(1+IF(Rend_j[[Month,Year]:[Month,Year]]='Rend mensuels'!$A20,Rend_j[US]))-1</f>
        <v>-9.0551665246096702E-2</v>
      </c>
      <c r="J20" s="6" cm="1">
        <f t="array" ref="J20">PRODUCT(1+IF(Rend_j[[Month,Year]:[Month,Year]]='Rend mensuels'!$A20,Rend_j[France]))-1</f>
        <v>-1.8934317754653485E-2</v>
      </c>
      <c r="K20" s="6" cm="1">
        <f t="array" ref="K20">PRODUCT(1+IF(Rend_j[[Month,Year]:[Month,Year]]='Rend mensuels'!$A20,Rend_j[Europe]))-1</f>
        <v>-1.1999232615251598E-2</v>
      </c>
      <c r="L20" s="6" cm="1">
        <f t="array" ref="L20">PRODUCT(1+IF(Rend_j[[Month,Year]:[Month,Year]]='Rend mensuels'!$A20,Rend_j[Allemagne]))-1</f>
        <v>-2.1982352798348481E-2</v>
      </c>
      <c r="M20" s="10">
        <f>VALUE(LEFT(Rend_m[[#This Row],[Month,Year]],FIND(",",Rend_m[[#This Row],[Month,Year]])-1))</f>
        <v>4</v>
      </c>
      <c r="N20" s="10">
        <f>VALUE(RIGHT(Rend_m[[#This Row],[Month,Year]],4))</f>
        <v>2022</v>
      </c>
    </row>
    <row r="21" spans="1:17" x14ac:dyDescent="0.25">
      <c r="A21" s="65" t="s">
        <v>85</v>
      </c>
      <c r="B21" s="6" cm="1">
        <f t="array" ref="B21">PRODUCT(1+IF(Rend_j[[Month,Year]:[Month,Year]]='Rend mensuels'!$A21,Rend_j[Chine]))-1</f>
        <v>1.8639268693743105E-4</v>
      </c>
      <c r="C21" s="6" cm="1">
        <f t="array" ref="C21">PRODUCT(1+IF(Rend_j[[Month,Year]:[Month,Year]]='Rend mensuels'!$A21,Rend_j[DM]))-1</f>
        <v>-1.6836721495644857E-2</v>
      </c>
      <c r="D21" s="6" cm="1">
        <f t="array" ref="D21">PRODUCT(1+IF(Rend_j[[Month,Year]:[Month,Year]]='Rend mensuels'!$A21,Rend_j[EM ex China]))-1</f>
        <v>-1.705930216906526E-2</v>
      </c>
      <c r="E21" s="6" cm="1">
        <f t="array" ref="E21">PRODUCT(1+IF(Rend_j[[Month,Year]:[Month,Year]]='Rend mensuels'!$A21,Rend_j[EM]))-1</f>
        <v>-1.3866773154965539E-2</v>
      </c>
      <c r="F21" s="6" cm="1">
        <f t="array" ref="F21">PRODUCT(1+IF(Rend_j[[Month,Year]:[Month,Year]]='Rend mensuels'!$A21,Rend_j[Japon]))-1</f>
        <v>3.4439708984446149E-4</v>
      </c>
      <c r="G21" s="6" cm="1">
        <f t="array" ref="G21">PRODUCT(1+IF(Rend_j[[Month,Year]:[Month,Year]]='Rend mensuels'!$A21,Rend_j[Monde]))-1</f>
        <v>-1.6501265860823122E-2</v>
      </c>
      <c r="H21" s="6" cm="1">
        <f t="array" ref="H21">PRODUCT(1+IF(Rend_j[[Month,Year]:[Month,Year]]='Rend mensuels'!$A21,Rend_j[RU]))-1</f>
        <v>-1.4358051516694115E-3</v>
      </c>
      <c r="I21" s="6" cm="1">
        <f t="array" ref="I21">PRODUCT(1+IF(Rend_j[[Month,Year]:[Month,Year]]='Rend mensuels'!$A21,Rend_j[US]))-1</f>
        <v>-3.5956202039382212E-3</v>
      </c>
      <c r="J21" s="6" cm="1">
        <f t="array" ref="J21">PRODUCT(1+IF(Rend_j[[Month,Year]:[Month,Year]]='Rend mensuels'!$A21,Rend_j[France]))-1</f>
        <v>-9.9437560246425916E-3</v>
      </c>
      <c r="K21" s="6" cm="1">
        <f t="array" ref="K21">PRODUCT(1+IF(Rend_j[[Month,Year]:[Month,Year]]='Rend mensuels'!$A21,Rend_j[Europe]))-1</f>
        <v>-1.5630917128569122E-2</v>
      </c>
      <c r="L21" s="6" cm="1">
        <f t="array" ref="L21">PRODUCT(1+IF(Rend_j[[Month,Year]:[Month,Year]]='Rend mensuels'!$A21,Rend_j[Allemagne]))-1</f>
        <v>2.060378812079966E-2</v>
      </c>
      <c r="M21" s="10">
        <f>VALUE(LEFT(Rend_m[[#This Row],[Month,Year]],FIND(",",Rend_m[[#This Row],[Month,Year]])-1))</f>
        <v>5</v>
      </c>
      <c r="N21" s="10">
        <f>VALUE(RIGHT(Rend_m[[#This Row],[Month,Year]],4))</f>
        <v>2022</v>
      </c>
    </row>
    <row r="22" spans="1:17" x14ac:dyDescent="0.25">
      <c r="A22" s="66" t="s">
        <v>86</v>
      </c>
      <c r="B22" s="6" cm="1">
        <f t="array" ref="B22">PRODUCT(1+IF(Rend_j[[Month,Year]:[Month,Year]]='Rend mensuels'!$A22,Rend_j[Chine]))-1</f>
        <v>9.6831753131096709E-2</v>
      </c>
      <c r="C22" s="6" cm="1">
        <f t="array" ref="C22">PRODUCT(1+IF(Rend_j[[Month,Year]:[Month,Year]]='Rend mensuels'!$A22,Rend_j[DM]))-1</f>
        <v>-6.5207504050097453E-2</v>
      </c>
      <c r="D22" s="6" cm="1">
        <f t="array" ref="D22">PRODUCT(1+IF(Rend_j[[Month,Year]:[Month,Year]]='Rend mensuels'!$A22,Rend_j[EM ex China]))-1</f>
        <v>-0.10800357080643685</v>
      </c>
      <c r="E22" s="6" cm="1">
        <f t="array" ref="E22">PRODUCT(1+IF(Rend_j[[Month,Year]:[Month,Year]]='Rend mensuels'!$A22,Rend_j[EM]))-1</f>
        <v>-4.8532828500128522E-2</v>
      </c>
      <c r="F22" s="6" cm="1">
        <f t="array" ref="F22">PRODUCT(1+IF(Rend_j[[Month,Year]:[Month,Year]]='Rend mensuels'!$A22,Rend_j[Japon]))-1</f>
        <v>-5.7543695706969933E-2</v>
      </c>
      <c r="G22" s="6" cm="1">
        <f t="array" ref="G22">PRODUCT(1+IF(Rend_j[[Month,Year]:[Month,Year]]='Rend mensuels'!$A22,Rend_j[Monde]))-1</f>
        <v>-6.3285579519457236E-2</v>
      </c>
      <c r="H22" s="6" cm="1">
        <f t="array" ref="H22">PRODUCT(1+IF(Rend_j[[Month,Year]:[Month,Year]]='Rend mensuels'!$A22,Rend_j[RU]))-1</f>
        <v>-6.590235906480979E-2</v>
      </c>
      <c r="I22" s="6" cm="1">
        <f t="array" ref="I22">PRODUCT(1+IF(Rend_j[[Month,Year]:[Month,Year]]='Rend mensuels'!$A22,Rend_j[US]))-1</f>
        <v>-8.5305565032413599E-2</v>
      </c>
      <c r="J22" s="6" cm="1">
        <f t="array" ref="J22">PRODUCT(1+IF(Rend_j[[Month,Year]:[Month,Year]]='Rend mensuels'!$A22,Rend_j[France]))-1</f>
        <v>-8.4395862981881176E-2</v>
      </c>
      <c r="K22" s="6" cm="1">
        <f t="array" ref="K22">PRODUCT(1+IF(Rend_j[[Month,Year]:[Month,Year]]='Rend mensuels'!$A22,Rend_j[Europe]))-1</f>
        <v>-8.153827339747477E-2</v>
      </c>
      <c r="L22" s="6" cm="1">
        <f t="array" ref="L22">PRODUCT(1+IF(Rend_j[[Month,Year]:[Month,Year]]='Rend mensuels'!$A22,Rend_j[Allemagne]))-1</f>
        <v>-0.11151939753290485</v>
      </c>
      <c r="M22" s="10">
        <f>VALUE(LEFT(Rend_m[[#This Row],[Month,Year]],FIND(",",Rend_m[[#This Row],[Month,Year]])-1))</f>
        <v>6</v>
      </c>
      <c r="N22" s="10">
        <f>VALUE(RIGHT(Rend_m[[#This Row],[Month,Year]],4))</f>
        <v>2022</v>
      </c>
    </row>
    <row r="23" spans="1:17" x14ac:dyDescent="0.25">
      <c r="A23" s="67" t="s">
        <v>87</v>
      </c>
      <c r="B23" s="56" cm="1">
        <f t="array" ref="B23">PRODUCT(1+IF(Rend_j[[Month,Year]:[Month,Year]]='Rend mensuels'!$A23,Rend_j[Chine]))-1</f>
        <v>-6.3070391077924781E-2</v>
      </c>
      <c r="C23" s="56" cm="1">
        <f t="array" ref="C23">PRODUCT(1+IF(Rend_j[[Month,Year]:[Month,Year]]='Rend mensuels'!$A23,Rend_j[DM]))-1</f>
        <v>0.10591286515611453</v>
      </c>
      <c r="D23" s="56" cm="1">
        <f t="array" ref="D23">PRODUCT(1+IF(Rend_j[[Month,Year]:[Month,Year]]='Rend mensuels'!$A23,Rend_j[EM ex China]))-1</f>
        <v>7.0559054111843711E-2</v>
      </c>
      <c r="E23" s="56" cm="1">
        <f t="array" ref="E23">PRODUCT(1+IF(Rend_j[[Month,Year]:[Month,Year]]='Rend mensuels'!$A23,Rend_j[EM]))-1</f>
        <v>1.8247689778633891E-2</v>
      </c>
      <c r="F23" s="56" cm="1">
        <f t="array" ref="F23">PRODUCT(1+IF(Rend_j[[Month,Year]:[Month,Year]]='Rend mensuels'!$A23,Rend_j[Japon]))-1</f>
        <v>8.3646990521791142E-2</v>
      </c>
      <c r="G23" s="56" cm="1">
        <f t="array" ref="G23">PRODUCT(1+IF(Rend_j[[Month,Year]:[Month,Year]]='Rend mensuels'!$A23,Rend_j[Monde]))-1</f>
        <v>9.5645827472182754E-2</v>
      </c>
      <c r="H23" s="56" cm="1">
        <f t="array" ref="H23">PRODUCT(1+IF(Rend_j[[Month,Year]:[Month,Year]]='Rend mensuels'!$A23,Rend_j[RU]))-1</f>
        <v>6.2301171931121058E-2</v>
      </c>
      <c r="I23" s="56" cm="1">
        <f t="array" ref="I23">PRODUCT(1+IF(Rend_j[[Month,Year]:[Month,Year]]='Rend mensuels'!$A23,Rend_j[US]))-1</f>
        <v>9.354414489877394E-2</v>
      </c>
      <c r="J23" s="56" cm="1">
        <f t="array" ref="J23">PRODUCT(1+IF(Rend_j[[Month,Year]:[Month,Year]]='Rend mensuels'!$A23,Rend_j[France]))-1</f>
        <v>8.8747691007120322E-2</v>
      </c>
      <c r="K23" s="56" cm="1">
        <f t="array" ref="K23">PRODUCT(1+IF(Rend_j[[Month,Year]:[Month,Year]]='Rend mensuels'!$A23,Rend_j[Europe]))-1</f>
        <v>7.6350678005382644E-2</v>
      </c>
      <c r="L23" s="56" cm="1">
        <f t="array" ref="L23">PRODUCT(1+IF(Rend_j[[Month,Year]:[Month,Year]]='Rend mensuels'!$A23,Rend_j[Allemagne]))-1</f>
        <v>5.4778856764949868E-2</v>
      </c>
      <c r="M23" s="57">
        <f>VALUE(LEFT(Rend_m[[#This Row],[Month,Year]],FIND(",",Rend_m[[#This Row],[Month,Year]])-1))</f>
        <v>7</v>
      </c>
      <c r="N23" s="57">
        <f>VALUE(RIGHT(Rend_m[[#This Row],[Month,Year]],4))</f>
        <v>2022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F5872-FF71-446E-ADBA-98A3094899CB}">
  <sheetPr codeName="Sheet6">
    <tabColor rgb="FF002060"/>
  </sheetPr>
  <dimension ref="A1:AB154"/>
  <sheetViews>
    <sheetView topLeftCell="A7" workbookViewId="0">
      <selection activeCell="C147" sqref="C147"/>
    </sheetView>
  </sheetViews>
  <sheetFormatPr defaultRowHeight="15" x14ac:dyDescent="0.25"/>
  <cols>
    <col min="1" max="1" width="10.7109375" style="1" bestFit="1" customWidth="1"/>
    <col min="2" max="2" width="12.28515625" bestFit="1" customWidth="1"/>
    <col min="3" max="3" width="9.28515625" bestFit="1" customWidth="1"/>
    <col min="4" max="4" width="14" customWidth="1"/>
    <col min="5" max="5" width="9.28515625" bestFit="1" customWidth="1"/>
    <col min="6" max="6" width="10.42578125" customWidth="1"/>
    <col min="7" max="7" width="9.5703125" customWidth="1"/>
    <col min="8" max="10" width="9.28515625" bestFit="1" customWidth="1"/>
    <col min="11" max="11" width="9.42578125" customWidth="1"/>
    <col min="12" max="12" width="12.7109375" customWidth="1"/>
    <col min="15" max="15" width="13.140625" style="1" customWidth="1"/>
    <col min="16" max="17" width="9.28515625" style="6" bestFit="1" customWidth="1"/>
    <col min="18" max="18" width="14.28515625" style="6" bestFit="1" customWidth="1"/>
    <col min="19" max="19" width="9.28515625" style="6" bestFit="1" customWidth="1"/>
    <col min="20" max="20" width="9.140625" style="6" bestFit="1" customWidth="1"/>
    <col min="21" max="21" width="9.85546875" style="6" bestFit="1" customWidth="1"/>
    <col min="22" max="24" width="9.28515625" style="6" bestFit="1" customWidth="1"/>
    <col min="25" max="25" width="9.7109375" style="6" bestFit="1" customWidth="1"/>
    <col min="26" max="26" width="13" style="6" bestFit="1" customWidth="1"/>
    <col min="27" max="27" width="14.28515625" style="9" customWidth="1"/>
  </cols>
  <sheetData>
    <row r="1" spans="1:28" x14ac:dyDescent="0.25">
      <c r="A1" s="1" t="s">
        <v>108</v>
      </c>
      <c r="O1" s="1" t="s">
        <v>109</v>
      </c>
    </row>
    <row r="3" spans="1:28" x14ac:dyDescent="0.25">
      <c r="AA3" s="25" t="s">
        <v>23</v>
      </c>
      <c r="AB3" s="30"/>
    </row>
    <row r="4" spans="1:28" x14ac:dyDescent="0.25">
      <c r="A4" s="1" t="s">
        <v>0</v>
      </c>
      <c r="B4" t="s">
        <v>15</v>
      </c>
      <c r="C4" t="s">
        <v>1</v>
      </c>
      <c r="D4" t="s">
        <v>2</v>
      </c>
      <c r="E4" t="s">
        <v>3</v>
      </c>
      <c r="F4" t="s">
        <v>4</v>
      </c>
      <c r="G4" t="s">
        <v>5</v>
      </c>
      <c r="H4" t="s">
        <v>6</v>
      </c>
      <c r="I4" t="s">
        <v>7</v>
      </c>
      <c r="J4" t="s">
        <v>8</v>
      </c>
      <c r="K4" t="s">
        <v>9</v>
      </c>
      <c r="L4" t="s">
        <v>10</v>
      </c>
      <c r="O4" s="21" t="s">
        <v>0</v>
      </c>
      <c r="P4" s="22" t="s">
        <v>15</v>
      </c>
      <c r="Q4" s="22" t="s">
        <v>1</v>
      </c>
      <c r="R4" s="22" t="s">
        <v>2</v>
      </c>
      <c r="S4" s="22" t="s">
        <v>3</v>
      </c>
      <c r="T4" s="22" t="s">
        <v>4</v>
      </c>
      <c r="U4" s="22" t="s">
        <v>5</v>
      </c>
      <c r="V4" s="22" t="s">
        <v>6</v>
      </c>
      <c r="W4" s="22" t="s">
        <v>7</v>
      </c>
      <c r="X4" s="22" t="s">
        <v>8</v>
      </c>
      <c r="Y4" s="22" t="s">
        <v>9</v>
      </c>
      <c r="Z4" s="22" t="s">
        <v>10</v>
      </c>
      <c r="AA4" s="26" t="s">
        <v>27</v>
      </c>
    </row>
    <row r="5" spans="1:28" x14ac:dyDescent="0.25">
      <c r="A5" s="1">
        <v>44564</v>
      </c>
      <c r="B5">
        <f>IF($A4="Date",Indices!B269,IF(Indices!B269&gt;=B4,Indices!B269,B4))</f>
        <v>2866.7280000000001</v>
      </c>
      <c r="C5">
        <f>IF($A4="Date",Indices!C269,IF(Indices!C269&gt;=C4,Indices!C269,C4))</f>
        <v>293.12099999999998</v>
      </c>
      <c r="D5">
        <f>IF($A4="Date",Indices!D269,IF(Indices!D269&gt;=D4,Indices!D269,D4))</f>
        <v>4310.5540000000001</v>
      </c>
      <c r="E5">
        <f>IF($A4="Date",Indices!E269,IF(Indices!E269&gt;=E4,Indices!E269,E4))</f>
        <v>429.04</v>
      </c>
      <c r="F5">
        <f>IF($A4="Date",Indices!F269,IF(Indices!F269&gt;=F4,Indices!F269,F4))</f>
        <v>179.84399999999999</v>
      </c>
      <c r="G5">
        <f>IF($A4="Date",Indices!G269,IF(Indices!G269&gt;=G4,Indices!G269,G4))</f>
        <v>288.012</v>
      </c>
      <c r="H5">
        <f>IF($A4="Date",Indices!H269,IF(Indices!H269&gt;=H4,Indices!H269,H4))</f>
        <v>100.364</v>
      </c>
      <c r="I5">
        <f>IF($A4="Date",Indices!I269,IF(Indices!I269&gt;=I4,Indices!I269,I4))</f>
        <v>5355.2011460000003</v>
      </c>
      <c r="J5">
        <f>IF($A4="Date",Indices!J269,IF(Indices!J269&gt;=J4,Indices!J269,J4))</f>
        <v>7217.2202150000003</v>
      </c>
      <c r="K5">
        <f>IF($A4="Date",Indices!K269,IF(Indices!K269&gt;=K4,Indices!K269,K4))</f>
        <v>489.98998999999998</v>
      </c>
      <c r="L5">
        <f>IF($A4="Date",Indices!L269,IF(Indices!L269&gt;=L4,Indices!L269,L4))</f>
        <v>16020.73047</v>
      </c>
      <c r="O5" s="19">
        <v>44564</v>
      </c>
      <c r="P5" s="18">
        <f>(PrevPeak[[#This Row],[Chine]]-Indices!B269)/PrevPeak[[#This Row],[Chine]]</f>
        <v>0</v>
      </c>
      <c r="Q5" s="18">
        <f>(PrevPeak[[#This Row],[DM]]-Indices!C269)/PrevPeak[[#This Row],[DM]]</f>
        <v>0</v>
      </c>
      <c r="R5" s="18">
        <f>(PrevPeak[[#This Row],[EM ex China]]-Indices!D269)/PrevPeak[[#This Row],[EM ex China]]</f>
        <v>0</v>
      </c>
      <c r="S5" s="18">
        <f>(PrevPeak[[#This Row],[EM]]-Indices!E269)/PrevPeak[[#This Row],[EM]]</f>
        <v>0</v>
      </c>
      <c r="T5" s="18">
        <f>(PrevPeak[[#This Row],[Japon]]-Indices!F269)/PrevPeak[[#This Row],[Japon]]</f>
        <v>0</v>
      </c>
      <c r="U5" s="18">
        <f>(PrevPeak[[#This Row],[Monde]]-Indices!G269)/PrevPeak[[#This Row],[Monde]]</f>
        <v>0</v>
      </c>
      <c r="V5" s="18">
        <f>(PrevPeak[[#This Row],[RU]]-Indices!H269)/PrevPeak[[#This Row],[RU]]</f>
        <v>0</v>
      </c>
      <c r="W5" s="18">
        <f>(PrevPeak[[#This Row],[US]]-Indices!I269)/PrevPeak[[#This Row],[US]]</f>
        <v>0</v>
      </c>
      <c r="X5" s="18">
        <f>(PrevPeak[[#This Row],[France]]-Indices!J269)/PrevPeak[[#This Row],[France]]</f>
        <v>0</v>
      </c>
      <c r="Y5" s="18">
        <f>(PrevPeak[[#This Row],[Europe]]-Indices!K269)/PrevPeak[[#This Row],[Europe]]</f>
        <v>0</v>
      </c>
      <c r="Z5" s="18">
        <f>(PrevPeak[[#This Row],[Allemagne]]-Indices!L269)/PrevPeak[[#This Row],[Allemagne]]</f>
        <v>0</v>
      </c>
      <c r="AA5" s="27">
        <f>YEAR(DD[[#This Row],[Date]])</f>
        <v>2022</v>
      </c>
    </row>
    <row r="6" spans="1:28" x14ac:dyDescent="0.25">
      <c r="A6" s="1">
        <v>44565</v>
      </c>
      <c r="B6">
        <f>IF($A5="Date",Indices!B270,IF(Indices!B270&gt;=B5,Indices!B270,B5))</f>
        <v>2866.7280000000001</v>
      </c>
      <c r="C6">
        <f>IF($A5="Date",Indices!C270,IF(Indices!C270&gt;=C5,Indices!C270,C5))</f>
        <v>293.27100000000002</v>
      </c>
      <c r="D6">
        <f>IF($A5="Date",Indices!D270,IF(Indices!D270&gt;=D5,Indices!D270,D5))</f>
        <v>4331.2470000000003</v>
      </c>
      <c r="E6">
        <f>IF($A5="Date",Indices!E270,IF(Indices!E270&gt;=E5,Indices!E270,E5))</f>
        <v>429.04</v>
      </c>
      <c r="F6">
        <f>IF($A5="Date",Indices!F270,IF(Indices!F270&gt;=F5,Indices!F270,F5))</f>
        <v>182.02600000000001</v>
      </c>
      <c r="G6">
        <f>IF($A5="Date",Indices!G270,IF(Indices!G270&gt;=G5,Indices!G270,G5))</f>
        <v>288.13099999999997</v>
      </c>
      <c r="H6">
        <f>IF($A5="Date",Indices!H270,IF(Indices!H270&gt;=H5,Indices!H270,H5))</f>
        <v>102.736</v>
      </c>
      <c r="I6">
        <f>IF($A5="Date",Indices!I270,IF(Indices!I270&gt;=I5,Indices!I270,I5))</f>
        <v>5355.2011460000003</v>
      </c>
      <c r="J6">
        <f>IF($A5="Date",Indices!J270,IF(Indices!J270&gt;=J5,Indices!J270,J5))</f>
        <v>7317.4101559999999</v>
      </c>
      <c r="K6">
        <f>IF($A5="Date",Indices!K270,IF(Indices!K270&gt;=K5,Indices!K270,K5))</f>
        <v>494.01998900000001</v>
      </c>
      <c r="L6">
        <f>IF($A5="Date",Indices!L270,IF(Indices!L270&gt;=L5,Indices!L270,L5))</f>
        <v>16152.610350000001</v>
      </c>
      <c r="O6" s="20">
        <v>44565</v>
      </c>
      <c r="P6" s="17">
        <f>(PrevPeak[[#This Row],[Chine]]-Indices!B270)/PrevPeak[[#This Row],[Chine]]</f>
        <v>1.0343150797703806E-2</v>
      </c>
      <c r="Q6" s="17">
        <f>(PrevPeak[[#This Row],[DM]]-Indices!C270)/PrevPeak[[#This Row],[DM]]</f>
        <v>0</v>
      </c>
      <c r="R6" s="17">
        <f>(PrevPeak[[#This Row],[EM ex China]]-Indices!D270)/PrevPeak[[#This Row],[EM ex China]]</f>
        <v>0</v>
      </c>
      <c r="S6" s="17">
        <f>(PrevPeak[[#This Row],[EM]]-Indices!E270)/PrevPeak[[#This Row],[EM]]</f>
        <v>3.7525638635092616E-4</v>
      </c>
      <c r="T6" s="17">
        <f>(PrevPeak[[#This Row],[Japon]]-Indices!F270)/PrevPeak[[#This Row],[Japon]]</f>
        <v>0</v>
      </c>
      <c r="U6" s="17">
        <f>(PrevPeak[[#This Row],[Monde]]-Indices!G270)/PrevPeak[[#This Row],[Monde]]</f>
        <v>0</v>
      </c>
      <c r="V6" s="17">
        <f>(PrevPeak[[#This Row],[RU]]-Indices!H270)/PrevPeak[[#This Row],[RU]]</f>
        <v>0</v>
      </c>
      <c r="W6" s="17">
        <f>(PrevPeak[[#This Row],[US]]-Indices!I270)/PrevPeak[[#This Row],[US]]</f>
        <v>1.6009167099921115E-3</v>
      </c>
      <c r="X6" s="17">
        <f>(PrevPeak[[#This Row],[France]]-Indices!J270)/PrevPeak[[#This Row],[France]]</f>
        <v>0</v>
      </c>
      <c r="Y6" s="17">
        <f>(PrevPeak[[#This Row],[Europe]]-Indices!K270)/PrevPeak[[#This Row],[Europe]]</f>
        <v>0</v>
      </c>
      <c r="Z6" s="17">
        <f>(PrevPeak[[#This Row],[Allemagne]]-Indices!L270)/PrevPeak[[#This Row],[Allemagne]]</f>
        <v>0</v>
      </c>
      <c r="AA6" s="27">
        <f>YEAR(DD[[#This Row],[Date]])</f>
        <v>2022</v>
      </c>
    </row>
    <row r="7" spans="1:28" x14ac:dyDescent="0.25">
      <c r="A7" s="1">
        <v>44566</v>
      </c>
      <c r="B7">
        <f>IF($A6="Date",Indices!B271,IF(Indices!B271&gt;=B6,Indices!B271,B6))</f>
        <v>2866.7280000000001</v>
      </c>
      <c r="C7">
        <f>IF($A6="Date",Indices!C271,IF(Indices!C271&gt;=C6,Indices!C271,C6))</f>
        <v>293.27100000000002</v>
      </c>
      <c r="D7">
        <f>IF($A6="Date",Indices!D271,IF(Indices!D271&gt;=D6,Indices!D271,D6))</f>
        <v>4331.2470000000003</v>
      </c>
      <c r="E7">
        <f>IF($A6="Date",Indices!E271,IF(Indices!E271&gt;=E6,Indices!E271,E6))</f>
        <v>429.04</v>
      </c>
      <c r="F7">
        <f>IF($A6="Date",Indices!F271,IF(Indices!F271&gt;=F6,Indices!F271,F6))</f>
        <v>182.988</v>
      </c>
      <c r="G7">
        <f>IF($A6="Date",Indices!G271,IF(Indices!G271&gt;=G6,Indices!G271,G6))</f>
        <v>288.13099999999997</v>
      </c>
      <c r="H7">
        <f>IF($A6="Date",Indices!H271,IF(Indices!H271&gt;=H6,Indices!H271,H6))</f>
        <v>102.779</v>
      </c>
      <c r="I7">
        <f>IF($A6="Date",Indices!I271,IF(Indices!I271&gt;=I6,Indices!I271,I6))</f>
        <v>5355.2011460000003</v>
      </c>
      <c r="J7">
        <f>IF($A6="Date",Indices!J271,IF(Indices!J271&gt;=J6,Indices!J271,J6))</f>
        <v>7376.3701170000004</v>
      </c>
      <c r="K7">
        <f>IF($A6="Date",Indices!K271,IF(Indices!K271&gt;=K6,Indices!K271,K6))</f>
        <v>494.35000600000001</v>
      </c>
      <c r="L7">
        <f>IF($A6="Date",Indices!L271,IF(Indices!L271&gt;=L6,Indices!L271,L6))</f>
        <v>16271.75</v>
      </c>
      <c r="O7" s="19">
        <v>44566</v>
      </c>
      <c r="P7" s="18">
        <f>(PrevPeak[[#This Row],[Chine]]-Indices!B271)/PrevPeak[[#This Row],[Chine]]</f>
        <v>3.2520001897633856E-2</v>
      </c>
      <c r="Q7" s="18">
        <f>(PrevPeak[[#This Row],[DM]]-Indices!C271)/PrevPeak[[#This Row],[DM]]</f>
        <v>1.6230721755645772E-2</v>
      </c>
      <c r="R7" s="18">
        <f>(PrevPeak[[#This Row],[EM ex China]]-Indices!D271)/PrevPeak[[#This Row],[EM ex China]]</f>
        <v>4.9036686201457654E-3</v>
      </c>
      <c r="S7" s="18">
        <f>(PrevPeak[[#This Row],[EM]]-Indices!E271)/PrevPeak[[#This Row],[EM]]</f>
        <v>1.2618870035428035E-2</v>
      </c>
      <c r="T7" s="18">
        <f>(PrevPeak[[#This Row],[Japon]]-Indices!F271)/PrevPeak[[#This Row],[Japon]]</f>
        <v>0</v>
      </c>
      <c r="U7" s="18">
        <f>(PrevPeak[[#This Row],[Monde]]-Indices!G271)/PrevPeak[[#This Row],[Monde]]</f>
        <v>1.5784486917408906E-2</v>
      </c>
      <c r="V7" s="18">
        <f>(PrevPeak[[#This Row],[RU]]-Indices!H271)/PrevPeak[[#This Row],[RU]]</f>
        <v>0</v>
      </c>
      <c r="W7" s="18">
        <f>(PrevPeak[[#This Row],[US]]-Indices!I271)/PrevPeak[[#This Row],[US]]</f>
        <v>2.3369365330652054E-2</v>
      </c>
      <c r="X7" s="18">
        <f>(PrevPeak[[#This Row],[France]]-Indices!J271)/PrevPeak[[#This Row],[France]]</f>
        <v>0</v>
      </c>
      <c r="Y7" s="18">
        <f>(PrevPeak[[#This Row],[Europe]]-Indices!K271)/PrevPeak[[#This Row],[Europe]]</f>
        <v>0</v>
      </c>
      <c r="Z7" s="18">
        <f>(PrevPeak[[#This Row],[Allemagne]]-Indices!L271)/PrevPeak[[#This Row],[Allemagne]]</f>
        <v>0</v>
      </c>
      <c r="AA7" s="27">
        <f>YEAR(DD[[#This Row],[Date]])</f>
        <v>2022</v>
      </c>
    </row>
    <row r="8" spans="1:28" x14ac:dyDescent="0.25">
      <c r="A8" s="1">
        <v>44567</v>
      </c>
      <c r="B8">
        <f>IF($A7="Date",Indices!B272,IF(Indices!B272&gt;=B7,Indices!B272,B7))</f>
        <v>2866.7280000000001</v>
      </c>
      <c r="C8">
        <f>IF($A7="Date",Indices!C272,IF(Indices!C272&gt;=C7,Indices!C272,C7))</f>
        <v>293.27100000000002</v>
      </c>
      <c r="D8">
        <f>IF($A7="Date",Indices!D272,IF(Indices!D272&gt;=D7,Indices!D272,D7))</f>
        <v>4331.2470000000003</v>
      </c>
      <c r="E8">
        <f>IF($A7="Date",Indices!E272,IF(Indices!E272&gt;=E7,Indices!E272,E7))</f>
        <v>429.04</v>
      </c>
      <c r="F8">
        <f>IF($A7="Date",Indices!F272,IF(Indices!F272&gt;=F7,Indices!F272,F7))</f>
        <v>182.988</v>
      </c>
      <c r="G8">
        <f>IF($A7="Date",Indices!G272,IF(Indices!G272&gt;=G7,Indices!G272,G7))</f>
        <v>288.13099999999997</v>
      </c>
      <c r="H8">
        <f>IF($A7="Date",Indices!H272,IF(Indices!H272&gt;=H7,Indices!H272,H7))</f>
        <v>102.779</v>
      </c>
      <c r="I8">
        <f>IF($A7="Date",Indices!I272,IF(Indices!I272&gt;=I7,Indices!I272,I7))</f>
        <v>5355.2011460000003</v>
      </c>
      <c r="J8">
        <f>IF($A7="Date",Indices!J272,IF(Indices!J272&gt;=J7,Indices!J272,J7))</f>
        <v>7376.3701170000004</v>
      </c>
      <c r="K8">
        <f>IF($A7="Date",Indices!K272,IF(Indices!K272&gt;=K7,Indices!K272,K7))</f>
        <v>494.35000600000001</v>
      </c>
      <c r="L8">
        <f>IF($A7="Date",Indices!L272,IF(Indices!L272&gt;=L7,Indices!L272,L7))</f>
        <v>16271.75</v>
      </c>
      <c r="O8" s="20">
        <v>44567</v>
      </c>
      <c r="P8" s="17">
        <f>(PrevPeak[[#This Row],[Chine]]-Indices!B272)/PrevPeak[[#This Row],[Chine]]</f>
        <v>2.7933239567897696E-2</v>
      </c>
      <c r="Q8" s="17">
        <f>(PrevPeak[[#This Row],[DM]]-Indices!C272)/PrevPeak[[#This Row],[DM]]</f>
        <v>1.8375495701927601E-2</v>
      </c>
      <c r="R8" s="17">
        <f>(PrevPeak[[#This Row],[EM ex China]]-Indices!D272)/PrevPeak[[#This Row],[EM ex China]]</f>
        <v>1.1532244639938688E-2</v>
      </c>
      <c r="S8" s="17">
        <f>(PrevPeak[[#This Row],[EM]]-Indices!E272)/PrevPeak[[#This Row],[EM]]</f>
        <v>1.3667723289203879E-2</v>
      </c>
      <c r="T8" s="17">
        <f>(PrevPeak[[#This Row],[Japon]]-Indices!F272)/PrevPeak[[#This Row],[Japon]]</f>
        <v>1.7509344875073819E-2</v>
      </c>
      <c r="U8" s="17">
        <f>(PrevPeak[[#This Row],[Monde]]-Indices!G272)/PrevPeak[[#This Row],[Monde]]</f>
        <v>1.7807872113725951E-2</v>
      </c>
      <c r="V8" s="17">
        <f>(PrevPeak[[#This Row],[RU]]-Indices!H272)/PrevPeak[[#This Row],[RU]]</f>
        <v>7.1415366952392485E-3</v>
      </c>
      <c r="W8" s="17">
        <f>(PrevPeak[[#This Row],[US]]-Indices!I272)/PrevPeak[[#This Row],[US]]</f>
        <v>2.3509270252908613E-2</v>
      </c>
      <c r="X8" s="17">
        <f>(PrevPeak[[#This Row],[France]]-Indices!J272)/PrevPeak[[#This Row],[France]]</f>
        <v>1.7177820390001517E-2</v>
      </c>
      <c r="Y8" s="17">
        <f>(PrevPeak[[#This Row],[Europe]]-Indices!K272)/PrevPeak[[#This Row],[Europe]]</f>
        <v>1.2521496763165798E-2</v>
      </c>
      <c r="Z8" s="17">
        <f>(PrevPeak[[#This Row],[Allemagne]]-Indices!L272)/PrevPeak[[#This Row],[Allemagne]]</f>
        <v>1.3503140719344921E-2</v>
      </c>
      <c r="AA8" s="27">
        <f>YEAR(DD[[#This Row],[Date]])</f>
        <v>2022</v>
      </c>
    </row>
    <row r="9" spans="1:28" x14ac:dyDescent="0.25">
      <c r="A9" s="1">
        <v>44568</v>
      </c>
      <c r="B9">
        <f>IF($A8="Date",Indices!B273,IF(Indices!B273&gt;=B8,Indices!B273,B8))</f>
        <v>2866.7280000000001</v>
      </c>
      <c r="C9">
        <f>IF($A8="Date",Indices!C273,IF(Indices!C273&gt;=C8,Indices!C273,C8))</f>
        <v>293.27100000000002</v>
      </c>
      <c r="D9">
        <f>IF($A8="Date",Indices!D273,IF(Indices!D273&gt;=D8,Indices!D273,D8))</f>
        <v>4331.2470000000003</v>
      </c>
      <c r="E9">
        <f>IF($A8="Date",Indices!E273,IF(Indices!E273&gt;=E8,Indices!E273,E8))</f>
        <v>429.04</v>
      </c>
      <c r="F9">
        <f>IF($A8="Date",Indices!F273,IF(Indices!F273&gt;=F8,Indices!F273,F8))</f>
        <v>182.988</v>
      </c>
      <c r="G9">
        <f>IF($A8="Date",Indices!G273,IF(Indices!G273&gt;=G8,Indices!G273,G8))</f>
        <v>288.13099999999997</v>
      </c>
      <c r="H9">
        <f>IF($A8="Date",Indices!H273,IF(Indices!H273&gt;=H8,Indices!H273,H8))</f>
        <v>102.779</v>
      </c>
      <c r="I9">
        <f>IF($A8="Date",Indices!I273,IF(Indices!I273&gt;=I8,Indices!I273,I8))</f>
        <v>5355.2011460000003</v>
      </c>
      <c r="J9">
        <f>IF($A8="Date",Indices!J273,IF(Indices!J273&gt;=J8,Indices!J273,J8))</f>
        <v>7376.3701170000004</v>
      </c>
      <c r="K9">
        <f>IF($A8="Date",Indices!K273,IF(Indices!K273&gt;=K8,Indices!K273,K8))</f>
        <v>494.35000600000001</v>
      </c>
      <c r="L9">
        <f>IF($A8="Date",Indices!L273,IF(Indices!L273&gt;=L8,Indices!L273,L8))</f>
        <v>16271.75</v>
      </c>
      <c r="O9" s="19">
        <v>44568</v>
      </c>
      <c r="P9" s="18">
        <f>(PrevPeak[[#This Row],[Chine]]-Indices!B273)/PrevPeak[[#This Row],[Chine]]</f>
        <v>2.4051462154763226E-2</v>
      </c>
      <c r="Q9" s="18">
        <f>(PrevPeak[[#This Row],[DM]]-Indices!C273)/PrevPeak[[#This Row],[DM]]</f>
        <v>2.504850462541473E-2</v>
      </c>
      <c r="R9" s="18">
        <f>(PrevPeak[[#This Row],[EM ex China]]-Indices!D273)/PrevPeak[[#This Row],[EM ex China]]</f>
        <v>1.3386906819213951E-2</v>
      </c>
      <c r="S9" s="18">
        <f>(PrevPeak[[#This Row],[EM]]-Indices!E273)/PrevPeak[[#This Row],[EM]]</f>
        <v>1.0903412269252278E-2</v>
      </c>
      <c r="T9" s="18">
        <f>(PrevPeak[[#This Row],[Japon]]-Indices!F273)/PrevPeak[[#This Row],[Japon]]</f>
        <v>2.1760989791680323E-2</v>
      </c>
      <c r="U9" s="18">
        <f>(PrevPeak[[#This Row],[Monde]]-Indices!G273)/PrevPeak[[#This Row],[Monde]]</f>
        <v>2.3426844039690281E-2</v>
      </c>
      <c r="V9" s="18">
        <f>(PrevPeak[[#This Row],[RU]]-Indices!H273)/PrevPeak[[#This Row],[RU]]</f>
        <v>2.9869915060469761E-3</v>
      </c>
      <c r="W9" s="18">
        <f>(PrevPeak[[#This Row],[US]]-Indices!I273)/PrevPeak[[#This Row],[US]]</f>
        <v>2.8395124824317993E-2</v>
      </c>
      <c r="X9" s="18">
        <f>(PrevPeak[[#This Row],[France]]-Indices!J273)/PrevPeak[[#This Row],[France]]</f>
        <v>2.1269287537297298E-2</v>
      </c>
      <c r="Y9" s="18">
        <f>(PrevPeak[[#This Row],[Europe]]-Indices!K273)/PrevPeak[[#This Row],[Europe]]</f>
        <v>1.6385164158367597E-2</v>
      </c>
      <c r="Z9" s="18">
        <f>(PrevPeak[[#This Row],[Allemagne]]-Indices!L273)/PrevPeak[[#This Row],[Allemagne]]</f>
        <v>1.9912410773272732E-2</v>
      </c>
      <c r="AA9" s="27">
        <f>YEAR(DD[[#This Row],[Date]])</f>
        <v>2022</v>
      </c>
    </row>
    <row r="10" spans="1:28" x14ac:dyDescent="0.25">
      <c r="A10" s="1">
        <v>44571</v>
      </c>
      <c r="B10">
        <f>IF($A9="Date",Indices!B274,IF(Indices!B274&gt;=B9,Indices!B274,B9))</f>
        <v>2866.7280000000001</v>
      </c>
      <c r="C10">
        <f>IF($A9="Date",Indices!C274,IF(Indices!C274&gt;=C9,Indices!C274,C9))</f>
        <v>293.27100000000002</v>
      </c>
      <c r="D10">
        <f>IF($A9="Date",Indices!D274,IF(Indices!D274&gt;=D9,Indices!D274,D9))</f>
        <v>4331.2470000000003</v>
      </c>
      <c r="E10">
        <f>IF($A9="Date",Indices!E274,IF(Indices!E274&gt;=E9,Indices!E274,E9))</f>
        <v>429.04</v>
      </c>
      <c r="F10">
        <f>IF($A9="Date",Indices!F274,IF(Indices!F274&gt;=F9,Indices!F274,F9))</f>
        <v>182.988</v>
      </c>
      <c r="G10">
        <f>IF($A9="Date",Indices!G274,IF(Indices!G274&gt;=G9,Indices!G274,G9))</f>
        <v>288.13099999999997</v>
      </c>
      <c r="H10">
        <f>IF($A9="Date",Indices!H274,IF(Indices!H274&gt;=H9,Indices!H274,H9))</f>
        <v>102.779</v>
      </c>
      <c r="I10">
        <f>IF($A9="Date",Indices!I274,IF(Indices!I274&gt;=I9,Indices!I274,I9))</f>
        <v>5355.2011460000003</v>
      </c>
      <c r="J10">
        <f>IF($A9="Date",Indices!J274,IF(Indices!J274&gt;=J9,Indices!J274,J9))</f>
        <v>7376.3701170000004</v>
      </c>
      <c r="K10">
        <f>IF($A9="Date",Indices!K274,IF(Indices!K274&gt;=K9,Indices!K274,K9))</f>
        <v>494.35000600000001</v>
      </c>
      <c r="L10">
        <f>IF($A9="Date",Indices!L274,IF(Indices!L274&gt;=L9,Indices!L274,L9))</f>
        <v>16271.75</v>
      </c>
      <c r="O10" s="20">
        <v>44571</v>
      </c>
      <c r="P10" s="17">
        <f>(PrevPeak[[#This Row],[Chine]]-Indices!B274)/PrevPeak[[#This Row],[Chine]]</f>
        <v>1.4183766300814049E-2</v>
      </c>
      <c r="Q10" s="17">
        <f>(PrevPeak[[#This Row],[DM]]-Indices!C274)/PrevPeak[[#This Row],[DM]]</f>
        <v>2.6098727797838846E-2</v>
      </c>
      <c r="R10" s="17">
        <f>(PrevPeak[[#This Row],[EM ex China]]-Indices!D274)/PrevPeak[[#This Row],[EM ex China]]</f>
        <v>8.3747244153935651E-3</v>
      </c>
      <c r="S10" s="17">
        <f>(PrevPeak[[#This Row],[EM]]-Indices!E274)/PrevPeak[[#This Row],[EM]]</f>
        <v>3.4262539623345777E-3</v>
      </c>
      <c r="T10" s="17">
        <f>(PrevPeak[[#This Row],[Japon]]-Indices!F274)/PrevPeak[[#This Row],[Japon]]</f>
        <v>1.4694952674492279E-2</v>
      </c>
      <c r="U10" s="17">
        <f>(PrevPeak[[#This Row],[Monde]]-Indices!G274)/PrevPeak[[#This Row],[Monde]]</f>
        <v>2.3527492702971903E-2</v>
      </c>
      <c r="V10" s="17">
        <f>(PrevPeak[[#This Row],[RU]]-Indices!H274)/PrevPeak[[#This Row],[RU]]</f>
        <v>5.7502018894909851E-3</v>
      </c>
      <c r="W10" s="17">
        <f>(PrevPeak[[#This Row],[US]]-Indices!I274)/PrevPeak[[#This Row],[US]]</f>
        <v>2.9889864570177619E-2</v>
      </c>
      <c r="X10" s="17">
        <f>(PrevPeak[[#This Row],[France]]-Indices!J274)/PrevPeak[[#This Row],[France]]</f>
        <v>3.5329042993573048E-2</v>
      </c>
      <c r="Y10" s="17">
        <f>(PrevPeak[[#This Row],[Europe]]-Indices!K274)/PrevPeak[[#This Row],[Europe]]</f>
        <v>3.0969954109801325E-2</v>
      </c>
      <c r="Z10" s="17">
        <f>(PrevPeak[[#This Row],[Allemagne]]-Indices!L274)/PrevPeak[[#This Row],[Allemagne]]</f>
        <v>3.0941998863060236E-2</v>
      </c>
      <c r="AA10" s="27">
        <f>YEAR(DD[[#This Row],[Date]])</f>
        <v>2022</v>
      </c>
      <c r="AB10" s="12"/>
    </row>
    <row r="11" spans="1:28" x14ac:dyDescent="0.25">
      <c r="A11" s="1">
        <v>44572</v>
      </c>
      <c r="B11">
        <f>IF($A10="Date",Indices!B275,IF(Indices!B275&gt;=B10,Indices!B275,B10))</f>
        <v>2866.7280000000001</v>
      </c>
      <c r="C11">
        <f>IF($A10="Date",Indices!C275,IF(Indices!C275&gt;=C10,Indices!C275,C10))</f>
        <v>293.27100000000002</v>
      </c>
      <c r="D11">
        <f>IF($A10="Date",Indices!D275,IF(Indices!D275&gt;=D10,Indices!D275,D10))</f>
        <v>4333.6570000000002</v>
      </c>
      <c r="E11">
        <f>IF($A10="Date",Indices!E275,IF(Indices!E275&gt;=E10,Indices!E275,E10))</f>
        <v>430.51</v>
      </c>
      <c r="F11">
        <f>IF($A10="Date",Indices!F275,IF(Indices!F275&gt;=F10,Indices!F275,F10))</f>
        <v>182.988</v>
      </c>
      <c r="G11">
        <f>IF($A10="Date",Indices!G275,IF(Indices!G275&gt;=G10,Indices!G275,G10))</f>
        <v>288.13099999999997</v>
      </c>
      <c r="H11">
        <f>IF($A10="Date",Indices!H275,IF(Indices!H275&gt;=H10,Indices!H275,H10))</f>
        <v>102.89100000000001</v>
      </c>
      <c r="I11">
        <f>IF($A10="Date",Indices!I275,IF(Indices!I275&gt;=I10,Indices!I275,I10))</f>
        <v>5355.2011460000003</v>
      </c>
      <c r="J11">
        <f>IF($A10="Date",Indices!J275,IF(Indices!J275&gt;=J10,Indices!J275,J10))</f>
        <v>7376.3701170000004</v>
      </c>
      <c r="K11">
        <f>IF($A10="Date",Indices!K275,IF(Indices!K275&gt;=K10,Indices!K275,K10))</f>
        <v>494.35000600000001</v>
      </c>
      <c r="L11">
        <f>IF($A10="Date",Indices!L275,IF(Indices!L275&gt;=L10,Indices!L275,L10))</f>
        <v>16271.75</v>
      </c>
      <c r="O11" s="19">
        <v>44572</v>
      </c>
      <c r="P11" s="18">
        <f>(PrevPeak[[#This Row],[Chine]]-Indices!B275)/PrevPeak[[#This Row],[Chine]]</f>
        <v>1.7581368026544492E-2</v>
      </c>
      <c r="Q11" s="18">
        <f>(PrevPeak[[#This Row],[DM]]-Indices!C275)/PrevPeak[[#This Row],[DM]]</f>
        <v>1.9534832970188126E-2</v>
      </c>
      <c r="R11" s="18">
        <f>(PrevPeak[[#This Row],[EM ex China]]-Indices!D275)/PrevPeak[[#This Row],[EM ex China]]</f>
        <v>0</v>
      </c>
      <c r="S11" s="18">
        <f>(PrevPeak[[#This Row],[EM]]-Indices!E275)/PrevPeak[[#This Row],[EM]]</f>
        <v>0</v>
      </c>
      <c r="T11" s="18">
        <f>(PrevPeak[[#This Row],[Japon]]-Indices!F275)/PrevPeak[[#This Row],[Japon]]</f>
        <v>2.5116401075480379E-2</v>
      </c>
      <c r="U11" s="18">
        <f>(PrevPeak[[#This Row],[Monde]]-Indices!G275)/PrevPeak[[#This Row],[Monde]]</f>
        <v>1.6929799292682794E-2</v>
      </c>
      <c r="V11" s="18">
        <f>(PrevPeak[[#This Row],[RU]]-Indices!H275)/PrevPeak[[#This Row],[RU]]</f>
        <v>0</v>
      </c>
      <c r="W11" s="18">
        <f>(PrevPeak[[#This Row],[US]]-Indices!I275)/PrevPeak[[#This Row],[US]]</f>
        <v>2.0081213957822149E-2</v>
      </c>
      <c r="X11" s="18">
        <f>(PrevPeak[[#This Row],[France]]-Indices!J275)/PrevPeak[[#This Row],[France]]</f>
        <v>2.616330674015727E-2</v>
      </c>
      <c r="Y11" s="18">
        <f>(PrevPeak[[#This Row],[Europe]]-Indices!K275)/PrevPeak[[#This Row],[Europe]]</f>
        <v>2.2797651184816595E-2</v>
      </c>
      <c r="Z11" s="18">
        <f>(PrevPeak[[#This Row],[Allemagne]]-Indices!L275)/PrevPeak[[#This Row],[Allemagne]]</f>
        <v>2.027688662866628E-2</v>
      </c>
      <c r="AA11" s="27">
        <f>YEAR(DD[[#This Row],[Date]])</f>
        <v>2022</v>
      </c>
    </row>
    <row r="12" spans="1:28" x14ac:dyDescent="0.25">
      <c r="A12" s="1">
        <v>44573</v>
      </c>
      <c r="B12">
        <f>IF($A11="Date",Indices!B276,IF(Indices!B276&gt;=B11,Indices!B276,B11))</f>
        <v>2866.7280000000001</v>
      </c>
      <c r="C12">
        <f>IF($A11="Date",Indices!C276,IF(Indices!C276&gt;=C11,Indices!C276,C11))</f>
        <v>293.27100000000002</v>
      </c>
      <c r="D12">
        <f>IF($A11="Date",Indices!D276,IF(Indices!D276&gt;=D11,Indices!D276,D11))</f>
        <v>4363.4859999999999</v>
      </c>
      <c r="E12">
        <f>IF($A11="Date",Indices!E276,IF(Indices!E276&gt;=E11,Indices!E276,E11))</f>
        <v>435.85</v>
      </c>
      <c r="F12">
        <f>IF($A11="Date",Indices!F276,IF(Indices!F276&gt;=F11,Indices!F276,F11))</f>
        <v>182.988</v>
      </c>
      <c r="G12">
        <f>IF($A11="Date",Indices!G276,IF(Indices!G276&gt;=G11,Indices!G276,G11))</f>
        <v>288.13099999999997</v>
      </c>
      <c r="H12">
        <f>IF($A11="Date",Indices!H276,IF(Indices!H276&gt;=H11,Indices!H276,H11))</f>
        <v>103.613</v>
      </c>
      <c r="I12">
        <f>IF($A11="Date",Indices!I276,IF(Indices!I276&gt;=I11,Indices!I276,I11))</f>
        <v>5355.2011460000003</v>
      </c>
      <c r="J12">
        <f>IF($A11="Date",Indices!J276,IF(Indices!J276&gt;=J11,Indices!J276,J11))</f>
        <v>7376.3701170000004</v>
      </c>
      <c r="K12">
        <f>IF($A11="Date",Indices!K276,IF(Indices!K276&gt;=K11,Indices!K276,K11))</f>
        <v>494.35000600000001</v>
      </c>
      <c r="L12">
        <f>IF($A11="Date",Indices!L276,IF(Indices!L276&gt;=L11,Indices!L276,L11))</f>
        <v>16271.75</v>
      </c>
      <c r="O12" s="20">
        <v>44573</v>
      </c>
      <c r="P12" s="17">
        <f>(PrevPeak[[#This Row],[Chine]]-Indices!B276)/PrevPeak[[#This Row],[Chine]]</f>
        <v>1.4832240798568796E-3</v>
      </c>
      <c r="Q12" s="17">
        <f>(PrevPeak[[#This Row],[DM]]-Indices!C276)/PrevPeak[[#This Row],[DM]]</f>
        <v>2.0063354371894986E-2</v>
      </c>
      <c r="R12" s="17">
        <f>(PrevPeak[[#This Row],[EM ex China]]-Indices!D276)/PrevPeak[[#This Row],[EM ex China]]</f>
        <v>0</v>
      </c>
      <c r="S12" s="17">
        <f>(PrevPeak[[#This Row],[EM]]-Indices!E276)/PrevPeak[[#This Row],[EM]]</f>
        <v>0</v>
      </c>
      <c r="T12" s="17">
        <f>(PrevPeak[[#This Row],[Japon]]-Indices!F276)/PrevPeak[[#This Row],[Japon]]</f>
        <v>1.116466653551056E-2</v>
      </c>
      <c r="U12" s="17">
        <f>(PrevPeak[[#This Row],[Monde]]-Indices!G276)/PrevPeak[[#This Row],[Monde]]</f>
        <v>1.6010078748902409E-2</v>
      </c>
      <c r="V12" s="17">
        <f>(PrevPeak[[#This Row],[RU]]-Indices!H276)/PrevPeak[[#This Row],[RU]]</f>
        <v>0</v>
      </c>
      <c r="W12" s="17">
        <f>(PrevPeak[[#This Row],[US]]-Indices!I276)/PrevPeak[[#This Row],[US]]</f>
        <v>1.8497538243542964E-2</v>
      </c>
      <c r="X12" s="17">
        <f>(PrevPeak[[#This Row],[France]]-Indices!J276)/PrevPeak[[#This Row],[France]]</f>
        <v>1.8868382929869292E-2</v>
      </c>
      <c r="Y12" s="17">
        <f>(PrevPeak[[#This Row],[Europe]]-Indices!K276)/PrevPeak[[#This Row],[Europe]]</f>
        <v>1.64862827977795E-2</v>
      </c>
      <c r="Z12" s="17">
        <f>(PrevPeak[[#This Row],[Allemagne]]-Indices!L276)/PrevPeak[[#This Row],[Allemagne]]</f>
        <v>1.6066476562139956E-2</v>
      </c>
      <c r="AA12" s="27">
        <f>YEAR(DD[[#This Row],[Date]])</f>
        <v>2022</v>
      </c>
    </row>
    <row r="13" spans="1:28" x14ac:dyDescent="0.25">
      <c r="A13" s="1">
        <v>44574</v>
      </c>
      <c r="B13">
        <f>IF($A12="Date",Indices!B277,IF(Indices!B277&gt;=B12,Indices!B277,B12))</f>
        <v>2866.7280000000001</v>
      </c>
      <c r="C13">
        <f>IF($A12="Date",Indices!C277,IF(Indices!C277&gt;=C12,Indices!C277,C12))</f>
        <v>293.27100000000002</v>
      </c>
      <c r="D13">
        <f>IF($A12="Date",Indices!D277,IF(Indices!D277&gt;=D12,Indices!D277,D12))</f>
        <v>4363.4859999999999</v>
      </c>
      <c r="E13">
        <f>IF($A12="Date",Indices!E277,IF(Indices!E277&gt;=E12,Indices!E277,E12))</f>
        <v>435.85</v>
      </c>
      <c r="F13">
        <f>IF($A12="Date",Indices!F277,IF(Indices!F277&gt;=F12,Indices!F277,F12))</f>
        <v>182.988</v>
      </c>
      <c r="G13">
        <f>IF($A12="Date",Indices!G277,IF(Indices!G277&gt;=G12,Indices!G277,G12))</f>
        <v>288.13099999999997</v>
      </c>
      <c r="H13">
        <f>IF($A12="Date",Indices!H277,IF(Indices!H277&gt;=H12,Indices!H277,H12))</f>
        <v>103.81699999999999</v>
      </c>
      <c r="I13">
        <f>IF($A12="Date",Indices!I277,IF(Indices!I277&gt;=I12,Indices!I277,I12))</f>
        <v>5355.2011460000003</v>
      </c>
      <c r="J13">
        <f>IF($A12="Date",Indices!J277,IF(Indices!J277&gt;=J12,Indices!J277,J12))</f>
        <v>7376.3701170000004</v>
      </c>
      <c r="K13">
        <f>IF($A12="Date",Indices!K277,IF(Indices!K277&gt;=K12,Indices!K277,K12))</f>
        <v>494.35000600000001</v>
      </c>
      <c r="L13">
        <f>IF($A12="Date",Indices!L277,IF(Indices!L277&gt;=L12,Indices!L277,L12))</f>
        <v>16271.75</v>
      </c>
      <c r="O13" s="19">
        <v>44574</v>
      </c>
      <c r="P13" s="18">
        <f>(PrevPeak[[#This Row],[Chine]]-Indices!B277)/PrevPeak[[#This Row],[Chine]]</f>
        <v>1.8238563267948635E-2</v>
      </c>
      <c r="Q13" s="18">
        <f>(PrevPeak[[#This Row],[DM]]-Indices!C277)/PrevPeak[[#This Row],[DM]]</f>
        <v>3.324229125962002E-2</v>
      </c>
      <c r="R13" s="18">
        <f>(PrevPeak[[#This Row],[EM ex China]]-Indices!D277)/PrevPeak[[#This Row],[EM ex China]]</f>
        <v>2.6712587137898342E-3</v>
      </c>
      <c r="S13" s="18">
        <f>(PrevPeak[[#This Row],[EM]]-Indices!E277)/PrevPeak[[#This Row],[EM]]</f>
        <v>6.6651370884479276E-3</v>
      </c>
      <c r="T13" s="18">
        <f>(PrevPeak[[#This Row],[Japon]]-Indices!F277)/PrevPeak[[#This Row],[Japon]]</f>
        <v>1.4798784619756478E-2</v>
      </c>
      <c r="U13" s="18">
        <f>(PrevPeak[[#This Row],[Monde]]-Indices!G277)/PrevPeak[[#This Row],[Monde]]</f>
        <v>2.8476630421579021E-2</v>
      </c>
      <c r="V13" s="18">
        <f>(PrevPeak[[#This Row],[RU]]-Indices!H277)/PrevPeak[[#This Row],[RU]]</f>
        <v>0</v>
      </c>
      <c r="W13" s="18">
        <f>(PrevPeak[[#This Row],[US]]-Indices!I277)/PrevPeak[[#This Row],[US]]</f>
        <v>3.2741733171118628E-2</v>
      </c>
      <c r="X13" s="18">
        <f>(PrevPeak[[#This Row],[France]]-Indices!J277)/PrevPeak[[#This Row],[France]]</f>
        <v>2.3755584009559814E-2</v>
      </c>
      <c r="Y13" s="18">
        <f>(PrevPeak[[#This Row],[Europe]]-Indices!K277)/PrevPeak[[#This Row],[Europe]]</f>
        <v>1.6789760087511808E-2</v>
      </c>
      <c r="Z13" s="18">
        <f>(PrevPeak[[#This Row],[Allemagne]]-Indices!L277)/PrevPeak[[#This Row],[Allemagne]]</f>
        <v>1.4759331971054094E-2</v>
      </c>
      <c r="AA13" s="27">
        <f>YEAR(DD[[#This Row],[Date]])</f>
        <v>2022</v>
      </c>
    </row>
    <row r="14" spans="1:28" x14ac:dyDescent="0.25">
      <c r="A14" s="1">
        <v>44575</v>
      </c>
      <c r="B14">
        <f>IF($A13="Date",Indices!B278,IF(Indices!B278&gt;=B13,Indices!B278,B13))</f>
        <v>2866.7280000000001</v>
      </c>
      <c r="C14">
        <f>IF($A13="Date",Indices!C278,IF(Indices!C278&gt;=C13,Indices!C278,C13))</f>
        <v>293.27100000000002</v>
      </c>
      <c r="D14">
        <f>IF($A13="Date",Indices!D278,IF(Indices!D278&gt;=D13,Indices!D278,D13))</f>
        <v>4363.4859999999999</v>
      </c>
      <c r="E14">
        <f>IF($A13="Date",Indices!E278,IF(Indices!E278&gt;=E13,Indices!E278,E13))</f>
        <v>435.85</v>
      </c>
      <c r="F14">
        <f>IF($A13="Date",Indices!F278,IF(Indices!F278&gt;=F13,Indices!F278,F13))</f>
        <v>182.988</v>
      </c>
      <c r="G14">
        <f>IF($A13="Date",Indices!G278,IF(Indices!G278&gt;=G13,Indices!G278,G13))</f>
        <v>288.13099999999997</v>
      </c>
      <c r="H14">
        <f>IF($A13="Date",Indices!H278,IF(Indices!H278&gt;=H13,Indices!H278,H13))</f>
        <v>103.81699999999999</v>
      </c>
      <c r="I14">
        <f>IF($A13="Date",Indices!I278,IF(Indices!I278&gt;=I13,Indices!I278,I13))</f>
        <v>5355.2011460000003</v>
      </c>
      <c r="J14">
        <f>IF($A13="Date",Indices!J278,IF(Indices!J278&gt;=J13,Indices!J278,J13))</f>
        <v>7376.3701170000004</v>
      </c>
      <c r="K14">
        <f>IF($A13="Date",Indices!K278,IF(Indices!K278&gt;=K13,Indices!K278,K13))</f>
        <v>494.35000600000001</v>
      </c>
      <c r="L14">
        <f>IF($A13="Date",Indices!L278,IF(Indices!L278&gt;=L13,Indices!L278,L13))</f>
        <v>16271.75</v>
      </c>
      <c r="O14" s="20">
        <v>44575</v>
      </c>
      <c r="P14" s="17">
        <f>(PrevPeak[[#This Row],[Chine]]-Indices!B278)/PrevPeak[[#This Row],[Chine]]</f>
        <v>1.9969805297189006E-2</v>
      </c>
      <c r="Q14" s="17">
        <f>(PrevPeak[[#This Row],[DM]]-Indices!C278)/PrevPeak[[#This Row],[DM]]</f>
        <v>3.3685567273954872E-2</v>
      </c>
      <c r="R14" s="17">
        <f>(PrevPeak[[#This Row],[EM ex China]]-Indices!D278)/PrevPeak[[#This Row],[EM ex China]]</f>
        <v>4.8261871356984291E-3</v>
      </c>
      <c r="S14" s="17">
        <f>(PrevPeak[[#This Row],[EM]]-Indices!E278)/PrevPeak[[#This Row],[EM]]</f>
        <v>8.9205001720776261E-3</v>
      </c>
      <c r="T14" s="17">
        <f>(PrevPeak[[#This Row],[Japon]]-Indices!F278)/PrevPeak[[#This Row],[Japon]]</f>
        <v>2.3881347410759202E-2</v>
      </c>
      <c r="U14" s="17">
        <f>(PrevPeak[[#This Row],[Monde]]-Indices!G278)/PrevPeak[[#This Row],[Monde]]</f>
        <v>2.9125640767567518E-2</v>
      </c>
      <c r="V14" s="17">
        <f>(PrevPeak[[#This Row],[RU]]-Indices!H278)/PrevPeak[[#This Row],[RU]]</f>
        <v>2.6777888014486223E-3</v>
      </c>
      <c r="W14" s="17">
        <f>(PrevPeak[[#This Row],[US]]-Indices!I278)/PrevPeak[[#This Row],[US]]</f>
        <v>3.2352299433123864E-2</v>
      </c>
      <c r="X14" s="17">
        <f>(PrevPeak[[#This Row],[France]]-Indices!J278)/PrevPeak[[#This Row],[France]]</f>
        <v>3.1637528119984437E-2</v>
      </c>
      <c r="Y14" s="17">
        <f>(PrevPeak[[#This Row],[Europe]]-Indices!K278)/PrevPeak[[#This Row],[Europe]]</f>
        <v>2.6681504682736855E-2</v>
      </c>
      <c r="Z14" s="17">
        <f>(PrevPeak[[#This Row],[Allemagne]]-Indices!L278)/PrevPeak[[#This Row],[Allemagne]]</f>
        <v>2.3876335981071525E-2</v>
      </c>
      <c r="AA14" s="27">
        <f>YEAR(DD[[#This Row],[Date]])</f>
        <v>2022</v>
      </c>
    </row>
    <row r="15" spans="1:28" x14ac:dyDescent="0.25">
      <c r="A15" s="1">
        <v>44578</v>
      </c>
      <c r="B15">
        <f>IF($A14="Date",Indices!B279,IF(Indices!B279&gt;=B14,Indices!B279,B14))</f>
        <v>2866.7280000000001</v>
      </c>
      <c r="C15">
        <f>IF($A14="Date",Indices!C279,IF(Indices!C279&gt;=C14,Indices!C279,C14))</f>
        <v>293.27100000000002</v>
      </c>
      <c r="D15">
        <f>IF($A14="Date",Indices!D279,IF(Indices!D279&gt;=D14,Indices!D279,D14))</f>
        <v>4363.4859999999999</v>
      </c>
      <c r="E15">
        <f>IF($A14="Date",Indices!E279,IF(Indices!E279&gt;=E14,Indices!E279,E14))</f>
        <v>435.85</v>
      </c>
      <c r="F15">
        <f>IF($A14="Date",Indices!F279,IF(Indices!F279&gt;=F14,Indices!F279,F14))</f>
        <v>182.988</v>
      </c>
      <c r="G15">
        <f>IF($A14="Date",Indices!G279,IF(Indices!G279&gt;=G14,Indices!G279,G14))</f>
        <v>288.13099999999997</v>
      </c>
      <c r="H15">
        <f>IF($A14="Date",Indices!H279,IF(Indices!H279&gt;=H14,Indices!H279,H14))</f>
        <v>104.51300000000001</v>
      </c>
      <c r="I15">
        <f>IF($A14="Date",Indices!I279,IF(Indices!I279&gt;=I14,Indices!I279,I14))</f>
        <v>5355.2011460000003</v>
      </c>
      <c r="J15">
        <f>IF($A14="Date",Indices!J279,IF(Indices!J279&gt;=J14,Indices!J279,J14))</f>
        <v>7376.3701170000004</v>
      </c>
      <c r="K15">
        <f>IF($A14="Date",Indices!K279,IF(Indices!K279&gt;=K14,Indices!K279,K14))</f>
        <v>494.35000600000001</v>
      </c>
      <c r="L15">
        <f>IF($A14="Date",Indices!L279,IF(Indices!L279&gt;=L14,Indices!L279,L14))</f>
        <v>16271.75</v>
      </c>
      <c r="O15" s="19">
        <v>44578</v>
      </c>
      <c r="P15" s="18">
        <f>(PrevPeak[[#This Row],[Chine]]-Indices!B279)/PrevPeak[[#This Row],[Chine]]</f>
        <v>1.8875526384086624E-2</v>
      </c>
      <c r="Q15" s="18">
        <f>(PrevPeak[[#This Row],[DM]]-Indices!C279)/PrevPeak[[#This Row],[DM]]</f>
        <v>3.0163227867740089E-2</v>
      </c>
      <c r="R15" s="18">
        <f>(PrevPeak[[#This Row],[EM ex China]]-Indices!D279)/PrevPeak[[#This Row],[EM ex China]]</f>
        <v>2.0818217361072851E-3</v>
      </c>
      <c r="S15" s="18">
        <f>(PrevPeak[[#This Row],[EM]]-Indices!E279)/PrevPeak[[#This Row],[EM]]</f>
        <v>8.691063439256649E-3</v>
      </c>
      <c r="T15" s="18">
        <f>(PrevPeak[[#This Row],[Japon]]-Indices!F279)/PrevPeak[[#This Row],[Japon]]</f>
        <v>2.3149058954685497E-2</v>
      </c>
      <c r="U15" s="18">
        <f>(PrevPeak[[#This Row],[Monde]]-Indices!G279)/PrevPeak[[#This Row],[Monde]]</f>
        <v>2.5967355126661037E-2</v>
      </c>
      <c r="V15" s="18">
        <f>(PrevPeak[[#This Row],[RU]]-Indices!H279)/PrevPeak[[#This Row],[RU]]</f>
        <v>0</v>
      </c>
      <c r="W15" s="18">
        <f>(PrevPeak[[#This Row],[US]]-Indices!I279)/PrevPeak[[#This Row],[US]]</f>
        <v>3.2352299433123864E-2</v>
      </c>
      <c r="X15" s="18">
        <f>(PrevPeak[[#This Row],[France]]-Indices!J279)/PrevPeak[[#This Row],[France]]</f>
        <v>2.3687799992208561E-2</v>
      </c>
      <c r="Y15" s="18">
        <f>(PrevPeak[[#This Row],[Europe]]-Indices!K279)/PrevPeak[[#This Row],[Europe]]</f>
        <v>1.9904917326935331E-2</v>
      </c>
      <c r="Z15" s="18">
        <f>(PrevPeak[[#This Row],[Allemagne]]-Indices!L279)/PrevPeak[[#This Row],[Allemagne]]</f>
        <v>2.0774057492279521E-2</v>
      </c>
      <c r="AA15" s="27">
        <f>YEAR(DD[[#This Row],[Date]])</f>
        <v>2022</v>
      </c>
    </row>
    <row r="16" spans="1:28" x14ac:dyDescent="0.25">
      <c r="A16" s="1">
        <v>44579</v>
      </c>
      <c r="B16">
        <f>IF($A15="Date",Indices!B280,IF(Indices!B280&gt;=B15,Indices!B280,B15))</f>
        <v>2866.7280000000001</v>
      </c>
      <c r="C16">
        <f>IF($A15="Date",Indices!C280,IF(Indices!C280&gt;=C15,Indices!C280,C15))</f>
        <v>293.27100000000002</v>
      </c>
      <c r="D16">
        <f>IF($A15="Date",Indices!D280,IF(Indices!D280&gt;=D15,Indices!D280,D15))</f>
        <v>4363.4859999999999</v>
      </c>
      <c r="E16">
        <f>IF($A15="Date",Indices!E280,IF(Indices!E280&gt;=E15,Indices!E280,E15))</f>
        <v>435.85</v>
      </c>
      <c r="F16">
        <f>IF($A15="Date",Indices!F280,IF(Indices!F280&gt;=F15,Indices!F280,F15))</f>
        <v>182.988</v>
      </c>
      <c r="G16">
        <f>IF($A15="Date",Indices!G280,IF(Indices!G280&gt;=G15,Indices!G280,G15))</f>
        <v>288.13099999999997</v>
      </c>
      <c r="H16">
        <f>IF($A15="Date",Indices!H280,IF(Indices!H280&gt;=H15,Indices!H280,H15))</f>
        <v>104.51300000000001</v>
      </c>
      <c r="I16">
        <f>IF($A15="Date",Indices!I280,IF(Indices!I280&gt;=I15,Indices!I280,I15))</f>
        <v>5355.2011460000003</v>
      </c>
      <c r="J16">
        <f>IF($A15="Date",Indices!J280,IF(Indices!J280&gt;=J15,Indices!J280,J15))</f>
        <v>7376.3701170000004</v>
      </c>
      <c r="K16">
        <f>IF($A15="Date",Indices!K280,IF(Indices!K280&gt;=K15,Indices!K280,K15))</f>
        <v>494.35000600000001</v>
      </c>
      <c r="L16">
        <f>IF($A15="Date",Indices!L280,IF(Indices!L280&gt;=L15,Indices!L280,L15))</f>
        <v>16271.75</v>
      </c>
      <c r="O16" s="20">
        <v>44579</v>
      </c>
      <c r="P16" s="17">
        <f>(PrevPeak[[#This Row],[Chine]]-Indices!B280)/PrevPeak[[#This Row],[Chine]]</f>
        <v>1.3178787802679641E-2</v>
      </c>
      <c r="Q16" s="17">
        <f>(PrevPeak[[#This Row],[DM]]-Indices!C280)/PrevPeak[[#This Row],[DM]]</f>
        <v>4.0989392063995468E-2</v>
      </c>
      <c r="R16" s="17">
        <f>(PrevPeak[[#This Row],[EM ex China]]-Indices!D280)/PrevPeak[[#This Row],[EM ex China]]</f>
        <v>9.8313596055996134E-3</v>
      </c>
      <c r="S16" s="17">
        <f>(PrevPeak[[#This Row],[EM]]-Indices!E280)/PrevPeak[[#This Row],[EM]]</f>
        <v>1.3635425031547643E-2</v>
      </c>
      <c r="T16" s="17">
        <f>(PrevPeak[[#This Row],[Japon]]-Indices!F280)/PrevPeak[[#This Row],[Japon]]</f>
        <v>2.046582289549044E-2</v>
      </c>
      <c r="U16" s="17">
        <f>(PrevPeak[[#This Row],[Monde]]-Indices!G280)/PrevPeak[[#This Row],[Monde]]</f>
        <v>3.6146752692351618E-2</v>
      </c>
      <c r="V16" s="17">
        <f>(PrevPeak[[#This Row],[RU]]-Indices!H280)/PrevPeak[[#This Row],[RU]]</f>
        <v>4.7936620324744742E-3</v>
      </c>
      <c r="W16" s="17">
        <f>(PrevPeak[[#This Row],[US]]-Indices!I280)/PrevPeak[[#This Row],[US]]</f>
        <v>5.1429633451904717E-2</v>
      </c>
      <c r="X16" s="17">
        <f>(PrevPeak[[#This Row],[France]]-Indices!J280)/PrevPeak[[#This Row],[France]]</f>
        <v>3.2880676423899732E-2</v>
      </c>
      <c r="Y16" s="17">
        <f>(PrevPeak[[#This Row],[Europe]]-Indices!K280)/PrevPeak[[#This Row],[Europe]]</f>
        <v>2.9452810404132997E-2</v>
      </c>
      <c r="Z16" s="17">
        <f>(PrevPeak[[#This Row],[Allemagne]]-Indices!L280)/PrevPeak[[#This Row],[Allemagne]]</f>
        <v>3.0678349286339855E-2</v>
      </c>
      <c r="AA16" s="27">
        <f>YEAR(DD[[#This Row],[Date]])</f>
        <v>2022</v>
      </c>
    </row>
    <row r="17" spans="1:27" x14ac:dyDescent="0.25">
      <c r="A17" s="1">
        <v>44580</v>
      </c>
      <c r="B17">
        <f>IF($A16="Date",Indices!B281,IF(Indices!B281&gt;=B16,Indices!B281,B16))</f>
        <v>2866.7280000000001</v>
      </c>
      <c r="C17">
        <f>IF($A16="Date",Indices!C281,IF(Indices!C281&gt;=C16,Indices!C281,C16))</f>
        <v>293.27100000000002</v>
      </c>
      <c r="D17">
        <f>IF($A16="Date",Indices!D281,IF(Indices!D281&gt;=D16,Indices!D281,D16))</f>
        <v>4363.4859999999999</v>
      </c>
      <c r="E17">
        <f>IF($A16="Date",Indices!E281,IF(Indices!E281&gt;=E16,Indices!E281,E16))</f>
        <v>435.85</v>
      </c>
      <c r="F17">
        <f>IF($A16="Date",Indices!F281,IF(Indices!F281&gt;=F16,Indices!F281,F16))</f>
        <v>182.988</v>
      </c>
      <c r="G17">
        <f>IF($A16="Date",Indices!G281,IF(Indices!G281&gt;=G16,Indices!G281,G16))</f>
        <v>288.13099999999997</v>
      </c>
      <c r="H17">
        <f>IF($A16="Date",Indices!H281,IF(Indices!H281&gt;=H16,Indices!H281,H16))</f>
        <v>104.702</v>
      </c>
      <c r="I17">
        <f>IF($A16="Date",Indices!I281,IF(Indices!I281&gt;=I16,Indices!I281,I16))</f>
        <v>5355.2011460000003</v>
      </c>
      <c r="J17">
        <f>IF($A16="Date",Indices!J281,IF(Indices!J281&gt;=J16,Indices!J281,J16))</f>
        <v>7376.3701170000004</v>
      </c>
      <c r="K17">
        <f>IF($A16="Date",Indices!K281,IF(Indices!K281&gt;=K16,Indices!K281,K16))</f>
        <v>494.35000600000001</v>
      </c>
      <c r="L17">
        <f>IF($A16="Date",Indices!L281,IF(Indices!L281&gt;=L16,Indices!L281,L16))</f>
        <v>16271.75</v>
      </c>
      <c r="O17" s="19">
        <v>44580</v>
      </c>
      <c r="P17" s="18">
        <f>(PrevPeak[[#This Row],[Chine]]-Indices!B281)/PrevPeak[[#This Row],[Chine]]</f>
        <v>1.8048102226650046E-2</v>
      </c>
      <c r="Q17" s="18">
        <f>(PrevPeak[[#This Row],[DM]]-Indices!C281)/PrevPeak[[#This Row],[DM]]</f>
        <v>4.9016097738951346E-2</v>
      </c>
      <c r="R17" s="18">
        <f>(PrevPeak[[#This Row],[EM ex China]]-Indices!D281)/PrevPeak[[#This Row],[EM ex China]]</f>
        <v>1.1266221548550828E-2</v>
      </c>
      <c r="S17" s="18">
        <f>(PrevPeak[[#This Row],[EM]]-Indices!E281)/PrevPeak[[#This Row],[EM]]</f>
        <v>1.5195594814729946E-2</v>
      </c>
      <c r="T17" s="18">
        <f>(PrevPeak[[#This Row],[Japon]]-Indices!F281)/PrevPeak[[#This Row],[Japon]]</f>
        <v>4.8719041685793558E-2</v>
      </c>
      <c r="U17" s="18">
        <f>(PrevPeak[[#This Row],[Monde]]-Indices!G281)/PrevPeak[[#This Row],[Monde]]</f>
        <v>4.3459398676296522E-2</v>
      </c>
      <c r="V17" s="18">
        <f>(PrevPeak[[#This Row],[RU]]-Indices!H281)/PrevPeak[[#This Row],[RU]]</f>
        <v>0</v>
      </c>
      <c r="W17" s="18">
        <f>(PrevPeak[[#This Row],[US]]-Indices!I281)/PrevPeak[[#This Row],[US]]</f>
        <v>6.1100571589995809E-2</v>
      </c>
      <c r="X17" s="18">
        <f>(PrevPeak[[#This Row],[France]]-Indices!J281)/PrevPeak[[#This Row],[France]]</f>
        <v>2.7573201150963927E-2</v>
      </c>
      <c r="Y17" s="18">
        <f>(PrevPeak[[#This Row],[Europe]]-Indices!K281)/PrevPeak[[#This Row],[Europe]]</f>
        <v>2.7207468062617996E-2</v>
      </c>
      <c r="Z17" s="18">
        <f>(PrevPeak[[#This Row],[Allemagne]]-Indices!L281)/PrevPeak[[#This Row],[Allemagne]]</f>
        <v>2.8394626884016734E-2</v>
      </c>
      <c r="AA17" s="27">
        <f>YEAR(DD[[#This Row],[Date]])</f>
        <v>2022</v>
      </c>
    </row>
    <row r="18" spans="1:27" x14ac:dyDescent="0.25">
      <c r="A18" s="1">
        <v>44581</v>
      </c>
      <c r="B18">
        <f>IF($A17="Date",Indices!B282,IF(Indices!B282&gt;=B17,Indices!B282,B17))</f>
        <v>2879.4960000000001</v>
      </c>
      <c r="C18">
        <f>IF($A17="Date",Indices!C282,IF(Indices!C282&gt;=C17,Indices!C282,C17))</f>
        <v>293.27100000000002</v>
      </c>
      <c r="D18">
        <f>IF($A17="Date",Indices!D282,IF(Indices!D282&gt;=D17,Indices!D282,D17))</f>
        <v>4363.4859999999999</v>
      </c>
      <c r="E18">
        <f>IF($A17="Date",Indices!E282,IF(Indices!E282&gt;=E17,Indices!E282,E17))</f>
        <v>435.85</v>
      </c>
      <c r="F18">
        <f>IF($A17="Date",Indices!F282,IF(Indices!F282&gt;=F17,Indices!F282,F17))</f>
        <v>182.988</v>
      </c>
      <c r="G18">
        <f>IF($A17="Date",Indices!G282,IF(Indices!G282&gt;=G17,Indices!G282,G17))</f>
        <v>288.13099999999997</v>
      </c>
      <c r="H18">
        <f>IF($A17="Date",Indices!H282,IF(Indices!H282&gt;=H17,Indices!H282,H17))</f>
        <v>104.747</v>
      </c>
      <c r="I18">
        <f>IF($A17="Date",Indices!I282,IF(Indices!I282&gt;=I17,Indices!I282,I17))</f>
        <v>5355.2011460000003</v>
      </c>
      <c r="J18">
        <f>IF($A17="Date",Indices!J282,IF(Indices!J282&gt;=J17,Indices!J282,J17))</f>
        <v>7376.3701170000004</v>
      </c>
      <c r="K18">
        <f>IF($A17="Date",Indices!K282,IF(Indices!K282&gt;=K17,Indices!K282,K17))</f>
        <v>494.35000600000001</v>
      </c>
      <c r="L18">
        <f>IF($A17="Date",Indices!L282,IF(Indices!L282&gt;=L17,Indices!L282,L17))</f>
        <v>16271.75</v>
      </c>
      <c r="O18" s="20">
        <v>44581</v>
      </c>
      <c r="P18" s="17">
        <f>(PrevPeak[[#This Row],[Chine]]-Indices!B282)/PrevPeak[[#This Row],[Chine]]</f>
        <v>0</v>
      </c>
      <c r="Q18" s="17">
        <f>(PrevPeak[[#This Row],[DM]]-Indices!C282)/PrevPeak[[#This Row],[DM]]</f>
        <v>5.4284262678546517E-2</v>
      </c>
      <c r="R18" s="17">
        <f>(PrevPeak[[#This Row],[EM ex China]]-Indices!D282)/PrevPeak[[#This Row],[EM ex China]]</f>
        <v>9.1871499072071587E-3</v>
      </c>
      <c r="S18" s="17">
        <f>(PrevPeak[[#This Row],[EM]]-Indices!E282)/PrevPeak[[#This Row],[EM]]</f>
        <v>2.8197774463692596E-3</v>
      </c>
      <c r="T18" s="17">
        <f>(PrevPeak[[#This Row],[Japon]]-Indices!F282)/PrevPeak[[#This Row],[Japon]]</f>
        <v>3.6647211839027638E-2</v>
      </c>
      <c r="U18" s="17">
        <f>(PrevPeak[[#This Row],[Monde]]-Indices!G282)/PrevPeak[[#This Row],[Monde]]</f>
        <v>4.6735686198291583E-2</v>
      </c>
      <c r="V18" s="17">
        <f>(PrevPeak[[#This Row],[RU]]-Indices!H282)/PrevPeak[[#This Row],[RU]]</f>
        <v>0</v>
      </c>
      <c r="W18" s="17">
        <f>(PrevPeak[[#This Row],[US]]-Indices!I282)/PrevPeak[[#This Row],[US]]</f>
        <v>7.2052877470011018E-2</v>
      </c>
      <c r="X18" s="17">
        <f>(PrevPeak[[#This Row],[France]]-Indices!J282)/PrevPeak[[#This Row],[France]]</f>
        <v>2.4701846315990716E-2</v>
      </c>
      <c r="Y18" s="17">
        <f>(PrevPeak[[#This Row],[Europe]]-Indices!K282)/PrevPeak[[#This Row],[Europe]]</f>
        <v>2.2251441016468806E-2</v>
      </c>
      <c r="Z18" s="17">
        <f>(PrevPeak[[#This Row],[Allemagne]]-Indices!L282)/PrevPeak[[#This Row],[Allemagne]]</f>
        <v>2.208858420268258E-2</v>
      </c>
      <c r="AA18" s="27">
        <f>YEAR(DD[[#This Row],[Date]])</f>
        <v>2022</v>
      </c>
    </row>
    <row r="19" spans="1:27" x14ac:dyDescent="0.25">
      <c r="A19" s="1">
        <v>44582</v>
      </c>
      <c r="B19">
        <f>IF($A18="Date",Indices!B283,IF(Indices!B283&gt;=B18,Indices!B283,B18))</f>
        <v>2879.4960000000001</v>
      </c>
      <c r="C19">
        <f>IF($A18="Date",Indices!C283,IF(Indices!C283&gt;=C18,Indices!C283,C18))</f>
        <v>293.27100000000002</v>
      </c>
      <c r="D19">
        <f>IF($A18="Date",Indices!D283,IF(Indices!D283&gt;=D18,Indices!D283,D18))</f>
        <v>4363.4859999999999</v>
      </c>
      <c r="E19">
        <f>IF($A18="Date",Indices!E283,IF(Indices!E283&gt;=E18,Indices!E283,E18))</f>
        <v>435.85</v>
      </c>
      <c r="F19">
        <f>IF($A18="Date",Indices!F283,IF(Indices!F283&gt;=F18,Indices!F283,F18))</f>
        <v>182.988</v>
      </c>
      <c r="G19">
        <f>IF($A18="Date",Indices!G283,IF(Indices!G283&gt;=G18,Indices!G283,G18))</f>
        <v>288.13099999999997</v>
      </c>
      <c r="H19">
        <f>IF($A18="Date",Indices!H283,IF(Indices!H283&gt;=H18,Indices!H283,H18))</f>
        <v>104.747</v>
      </c>
      <c r="I19">
        <f>IF($A18="Date",Indices!I283,IF(Indices!I283&gt;=I18,Indices!I283,I18))</f>
        <v>5355.2011460000003</v>
      </c>
      <c r="J19">
        <f>IF($A18="Date",Indices!J283,IF(Indices!J283&gt;=J18,Indices!J283,J18))</f>
        <v>7376.3701170000004</v>
      </c>
      <c r="K19">
        <f>IF($A18="Date",Indices!K283,IF(Indices!K283&gt;=K18,Indices!K283,K18))</f>
        <v>494.35000600000001</v>
      </c>
      <c r="L19">
        <f>IF($A18="Date",Indices!L283,IF(Indices!L283&gt;=L18,Indices!L283,L18))</f>
        <v>16271.75</v>
      </c>
      <c r="O19" s="19">
        <v>44582</v>
      </c>
      <c r="P19" s="18">
        <f>(PrevPeak[[#This Row],[Chine]]-Indices!B283)/PrevPeak[[#This Row],[Chine]]</f>
        <v>6.5254475088695951E-3</v>
      </c>
      <c r="Q19" s="18">
        <f>(PrevPeak[[#This Row],[DM]]-Indices!C283)/PrevPeak[[#This Row],[DM]]</f>
        <v>7.1739108196855417E-2</v>
      </c>
      <c r="R19" s="18">
        <f>(PrevPeak[[#This Row],[EM ex China]]-Indices!D283)/PrevPeak[[#This Row],[EM ex China]]</f>
        <v>1.9706949901982036E-2</v>
      </c>
      <c r="S19" s="18">
        <f>(PrevPeak[[#This Row],[EM]]-Indices!E283)/PrevPeak[[#This Row],[EM]]</f>
        <v>1.1813697372949411E-2</v>
      </c>
      <c r="T19" s="18">
        <f>(PrevPeak[[#This Row],[Japon]]-Indices!F283)/PrevPeak[[#This Row],[Japon]]</f>
        <v>4.0549107045270663E-2</v>
      </c>
      <c r="U19" s="18">
        <f>(PrevPeak[[#This Row],[Monde]]-Indices!G283)/PrevPeak[[#This Row],[Monde]]</f>
        <v>6.3262890837847904E-2</v>
      </c>
      <c r="V19" s="18">
        <f>(PrevPeak[[#This Row],[RU]]-Indices!H283)/PrevPeak[[#This Row],[RU]]</f>
        <v>1.8406255071744274E-2</v>
      </c>
      <c r="W19" s="18">
        <f>(PrevPeak[[#This Row],[US]]-Indices!I283)/PrevPeak[[#This Row],[US]]</f>
        <v>9.0149842524701387E-2</v>
      </c>
      <c r="X19" s="18">
        <f>(PrevPeak[[#This Row],[France]]-Indices!J283)/PrevPeak[[#This Row],[France]]</f>
        <v>4.1725166730811468E-2</v>
      </c>
      <c r="Y19" s="18">
        <f>(PrevPeak[[#This Row],[Europe]]-Indices!K283)/PrevPeak[[#This Row],[Europe]]</f>
        <v>4.0275116331241666E-2</v>
      </c>
      <c r="Z19" s="18">
        <f>(PrevPeak[[#This Row],[Allemagne]]-Indices!L283)/PrevPeak[[#This Row],[Allemagne]]</f>
        <v>4.1044762855869811E-2</v>
      </c>
      <c r="AA19" s="27">
        <f>YEAR(DD[[#This Row],[Date]])</f>
        <v>2022</v>
      </c>
    </row>
    <row r="20" spans="1:27" x14ac:dyDescent="0.25">
      <c r="A20" s="1">
        <v>44585</v>
      </c>
      <c r="B20">
        <f>IF($A19="Date",Indices!B284,IF(Indices!B284&gt;=B19,Indices!B284,B19))</f>
        <v>2879.4960000000001</v>
      </c>
      <c r="C20">
        <f>IF($A19="Date",Indices!C284,IF(Indices!C284&gt;=C19,Indices!C284,C19))</f>
        <v>293.27100000000002</v>
      </c>
      <c r="D20">
        <f>IF($A19="Date",Indices!D284,IF(Indices!D284&gt;=D19,Indices!D284,D19))</f>
        <v>4363.4859999999999</v>
      </c>
      <c r="E20">
        <f>IF($A19="Date",Indices!E284,IF(Indices!E284&gt;=E19,Indices!E284,E19))</f>
        <v>435.85</v>
      </c>
      <c r="F20">
        <f>IF($A19="Date",Indices!F284,IF(Indices!F284&gt;=F19,Indices!F284,F19))</f>
        <v>182.988</v>
      </c>
      <c r="G20">
        <f>IF($A19="Date",Indices!G284,IF(Indices!G284&gt;=G19,Indices!G284,G19))</f>
        <v>288.13099999999997</v>
      </c>
      <c r="H20">
        <f>IF($A19="Date",Indices!H284,IF(Indices!H284&gt;=H19,Indices!H284,H19))</f>
        <v>104.747</v>
      </c>
      <c r="I20">
        <f>IF($A19="Date",Indices!I284,IF(Indices!I284&gt;=I19,Indices!I284,I19))</f>
        <v>5355.2011460000003</v>
      </c>
      <c r="J20">
        <f>IF($A19="Date",Indices!J284,IF(Indices!J284&gt;=J19,Indices!J284,J19))</f>
        <v>7376.3701170000004</v>
      </c>
      <c r="K20">
        <f>IF($A19="Date",Indices!K284,IF(Indices!K284&gt;=K19,Indices!K284,K19))</f>
        <v>494.35000600000001</v>
      </c>
      <c r="L20">
        <f>IF($A19="Date",Indices!L284,IF(Indices!L284&gt;=L19,Indices!L284,L19))</f>
        <v>16271.75</v>
      </c>
      <c r="O20" s="20">
        <v>44585</v>
      </c>
      <c r="P20" s="17">
        <f>(PrevPeak[[#This Row],[Chine]]-Indices!B284)/PrevPeak[[#This Row],[Chine]]</f>
        <v>1.2474405243139797E-2</v>
      </c>
      <c r="Q20" s="17">
        <f>(PrevPeak[[#This Row],[DM]]-Indices!C284)/PrevPeak[[#This Row],[DM]]</f>
        <v>7.4647680813991132E-2</v>
      </c>
      <c r="R20" s="17">
        <f>(PrevPeak[[#This Row],[EM ex China]]-Indices!D284)/PrevPeak[[#This Row],[EM ex China]]</f>
        <v>3.3526176089484459E-2</v>
      </c>
      <c r="S20" s="17">
        <f>(PrevPeak[[#This Row],[EM]]-Indices!E284)/PrevPeak[[#This Row],[EM]]</f>
        <v>2.6139726970288008E-2</v>
      </c>
      <c r="T20" s="17">
        <f>(PrevPeak[[#This Row],[Japon]]-Indices!F284)/PrevPeak[[#This Row],[Japon]]</f>
        <v>3.9439744682711504E-2</v>
      </c>
      <c r="U20" s="17">
        <f>(PrevPeak[[#This Row],[Monde]]-Indices!G284)/PrevPeak[[#This Row],[Monde]]</f>
        <v>6.7472781477869365E-2</v>
      </c>
      <c r="V20" s="17">
        <f>(PrevPeak[[#This Row],[RU]]-Indices!H284)/PrevPeak[[#This Row],[RU]]</f>
        <v>4.6197027122495141E-2</v>
      </c>
      <c r="W20" s="17">
        <f>(PrevPeak[[#This Row],[US]]-Indices!I284)/PrevPeak[[#This Row],[US]]</f>
        <v>8.5576377152948982E-2</v>
      </c>
      <c r="X20" s="17">
        <f>(PrevPeak[[#This Row],[France]]-Indices!J284)/PrevPeak[[#This Row],[France]]</f>
        <v>7.9792644439508939E-2</v>
      </c>
      <c r="Y20" s="17">
        <f>(PrevPeak[[#This Row],[Europe]]-Indices!K284)/PrevPeak[[#This Row],[Europe]]</f>
        <v>7.6848428317810136E-2</v>
      </c>
      <c r="Z20" s="17">
        <f>(PrevPeak[[#This Row],[Allemagne]]-Indices!L284)/PrevPeak[[#This Row],[Allemagne]]</f>
        <v>7.7472928234516847E-2</v>
      </c>
      <c r="AA20" s="27">
        <f>YEAR(DD[[#This Row],[Date]])</f>
        <v>2022</v>
      </c>
    </row>
    <row r="21" spans="1:27" x14ac:dyDescent="0.25">
      <c r="A21" s="1">
        <v>44586</v>
      </c>
      <c r="B21">
        <f>IF($A20="Date",Indices!B285,IF(Indices!B285&gt;=B20,Indices!B285,B20))</f>
        <v>2879.4960000000001</v>
      </c>
      <c r="C21">
        <f>IF($A20="Date",Indices!C285,IF(Indices!C285&gt;=C20,Indices!C285,C20))</f>
        <v>293.27100000000002</v>
      </c>
      <c r="D21">
        <f>IF($A20="Date",Indices!D285,IF(Indices!D285&gt;=D20,Indices!D285,D20))</f>
        <v>4363.4859999999999</v>
      </c>
      <c r="E21">
        <f>IF($A20="Date",Indices!E285,IF(Indices!E285&gt;=E20,Indices!E285,E20))</f>
        <v>435.85</v>
      </c>
      <c r="F21">
        <f>IF($A20="Date",Indices!F285,IF(Indices!F285&gt;=F20,Indices!F285,F20))</f>
        <v>182.988</v>
      </c>
      <c r="G21">
        <f>IF($A20="Date",Indices!G285,IF(Indices!G285&gt;=G20,Indices!G285,G20))</f>
        <v>288.13099999999997</v>
      </c>
      <c r="H21">
        <f>IF($A20="Date",Indices!H285,IF(Indices!H285&gt;=H20,Indices!H285,H20))</f>
        <v>104.747</v>
      </c>
      <c r="I21">
        <f>IF($A20="Date",Indices!I285,IF(Indices!I285&gt;=I20,Indices!I285,I20))</f>
        <v>5355.2011460000003</v>
      </c>
      <c r="J21">
        <f>IF($A20="Date",Indices!J285,IF(Indices!J285&gt;=J20,Indices!J285,J20))</f>
        <v>7376.3701170000004</v>
      </c>
      <c r="K21">
        <f>IF($A20="Date",Indices!K285,IF(Indices!K285&gt;=K20,Indices!K285,K20))</f>
        <v>494.35000600000001</v>
      </c>
      <c r="L21">
        <f>IF($A20="Date",Indices!L285,IF(Indices!L285&gt;=L20,Indices!L285,L20))</f>
        <v>16271.75</v>
      </c>
      <c r="O21" s="19">
        <v>44586</v>
      </c>
      <c r="P21" s="18">
        <f>(PrevPeak[[#This Row],[Chine]]-Indices!B285)/PrevPeak[[#This Row],[Chine]]</f>
        <v>2.9938919866532299E-2</v>
      </c>
      <c r="Q21" s="18">
        <f>(PrevPeak[[#This Row],[DM]]-Indices!C285)/PrevPeak[[#This Row],[DM]]</f>
        <v>8.1051314313382625E-2</v>
      </c>
      <c r="R21" s="18">
        <f>(PrevPeak[[#This Row],[EM ex China]]-Indices!D285)/PrevPeak[[#This Row],[EM ex China]]</f>
        <v>3.5351322314314773E-2</v>
      </c>
      <c r="S21" s="18">
        <f>(PrevPeak[[#This Row],[EM]]-Indices!E285)/PrevPeak[[#This Row],[EM]]</f>
        <v>3.2476769530801947E-2</v>
      </c>
      <c r="T21" s="18">
        <f>(PrevPeak[[#This Row],[Japon]]-Indices!F285)/PrevPeak[[#This Row],[Japon]]</f>
        <v>5.3079983386888727E-2</v>
      </c>
      <c r="U21" s="18">
        <f>(PrevPeak[[#This Row],[Monde]]-Indices!G285)/PrevPeak[[#This Row],[Monde]]</f>
        <v>7.3879589492279477E-2</v>
      </c>
      <c r="V21" s="18">
        <f>(PrevPeak[[#This Row],[RU]]-Indices!H285)/PrevPeak[[#This Row],[RU]]</f>
        <v>3.142810772623561E-2</v>
      </c>
      <c r="W21" s="18">
        <f>(PrevPeak[[#This Row],[US]]-Indices!I285)/PrevPeak[[#This Row],[US]]</f>
        <v>9.7857453289393229E-2</v>
      </c>
      <c r="X21" s="18">
        <f>(PrevPeak[[#This Row],[France]]-Indices!J285)/PrevPeak[[#This Row],[France]]</f>
        <v>7.2991206712790926E-2</v>
      </c>
      <c r="Y21" s="18">
        <f>(PrevPeak[[#This Row],[Europe]]-Indices!K285)/PrevPeak[[#This Row],[Europe]]</f>
        <v>7.0314573840624214E-2</v>
      </c>
      <c r="Z21" s="18">
        <f>(PrevPeak[[#This Row],[Allemagne]]-Indices!L285)/PrevPeak[[#This Row],[Allemagne]]</f>
        <v>7.0544340959024107E-2</v>
      </c>
      <c r="AA21" s="27">
        <f>YEAR(DD[[#This Row],[Date]])</f>
        <v>2022</v>
      </c>
    </row>
    <row r="22" spans="1:27" x14ac:dyDescent="0.25">
      <c r="A22" s="1">
        <v>44587</v>
      </c>
      <c r="B22">
        <f>IF($A21="Date",Indices!B286,IF(Indices!B286&gt;=B21,Indices!B286,B21))</f>
        <v>2879.4960000000001</v>
      </c>
      <c r="C22">
        <f>IF($A21="Date",Indices!C286,IF(Indices!C286&gt;=C21,Indices!C286,C21))</f>
        <v>293.27100000000002</v>
      </c>
      <c r="D22">
        <f>IF($A21="Date",Indices!D286,IF(Indices!D286&gt;=D21,Indices!D286,D21))</f>
        <v>4363.4859999999999</v>
      </c>
      <c r="E22">
        <f>IF($A21="Date",Indices!E286,IF(Indices!E286&gt;=E21,Indices!E286,E21))</f>
        <v>435.85</v>
      </c>
      <c r="F22">
        <f>IF($A21="Date",Indices!F286,IF(Indices!F286&gt;=F21,Indices!F286,F21))</f>
        <v>182.988</v>
      </c>
      <c r="G22">
        <f>IF($A21="Date",Indices!G286,IF(Indices!G286&gt;=G21,Indices!G286,G21))</f>
        <v>288.13099999999997</v>
      </c>
      <c r="H22">
        <f>IF($A21="Date",Indices!H286,IF(Indices!H286&gt;=H21,Indices!H286,H21))</f>
        <v>104.747</v>
      </c>
      <c r="I22">
        <f>IF($A21="Date",Indices!I286,IF(Indices!I286&gt;=I21,Indices!I286,I21))</f>
        <v>5355.2011460000003</v>
      </c>
      <c r="J22">
        <f>IF($A21="Date",Indices!J286,IF(Indices!J286&gt;=J21,Indices!J286,J21))</f>
        <v>7376.3701170000004</v>
      </c>
      <c r="K22">
        <f>IF($A21="Date",Indices!K286,IF(Indices!K286&gt;=K21,Indices!K286,K21))</f>
        <v>494.35000600000001</v>
      </c>
      <c r="L22">
        <f>IF($A21="Date",Indices!L286,IF(Indices!L286&gt;=L21,Indices!L286,L21))</f>
        <v>16271.75</v>
      </c>
      <c r="O22" s="20">
        <v>44587</v>
      </c>
      <c r="P22" s="17">
        <f>(PrevPeak[[#This Row],[Chine]]-Indices!B286)/PrevPeak[[#This Row],[Chine]]</f>
        <v>2.8691479342218287E-2</v>
      </c>
      <c r="Q22" s="17">
        <f>(PrevPeak[[#This Row],[DM]]-Indices!C286)/PrevPeak[[#This Row],[DM]]</f>
        <v>8.0444367155293364E-2</v>
      </c>
      <c r="R22" s="17">
        <f>(PrevPeak[[#This Row],[EM ex China]]-Indices!D286)/PrevPeak[[#This Row],[EM ex China]]</f>
        <v>3.4099800022275736E-2</v>
      </c>
      <c r="S22" s="17">
        <f>(PrevPeak[[#This Row],[EM]]-Indices!E286)/PrevPeak[[#This Row],[EM]]</f>
        <v>3.2410232878283887E-2</v>
      </c>
      <c r="T22" s="17">
        <f>(PrevPeak[[#This Row],[Japon]]-Indices!F286)/PrevPeak[[#This Row],[Japon]]</f>
        <v>5.9304435263514567E-2</v>
      </c>
      <c r="U22" s="17">
        <f>(PrevPeak[[#This Row],[Monde]]-Indices!G286)/PrevPeak[[#This Row],[Monde]]</f>
        <v>7.3331227809572602E-2</v>
      </c>
      <c r="V22" s="17">
        <f>(PrevPeak[[#This Row],[RU]]-Indices!H286)/PrevPeak[[#This Row],[RU]]</f>
        <v>1.7508854668868829E-2</v>
      </c>
      <c r="W22" s="17">
        <f>(PrevPeak[[#This Row],[US]]-Indices!I286)/PrevPeak[[#This Row],[US]]</f>
        <v>0.10080532388652128</v>
      </c>
      <c r="X22" s="17">
        <f>(PrevPeak[[#This Row],[France]]-Indices!J286)/PrevPeak[[#This Row],[France]]</f>
        <v>5.3469409715629759E-2</v>
      </c>
      <c r="Y22" s="17">
        <f>(PrevPeak[[#This Row],[Europe]]-Indices!K286)/PrevPeak[[#This Row],[Europe]]</f>
        <v>5.4698103917894966E-2</v>
      </c>
      <c r="Z22" s="17">
        <f>(PrevPeak[[#This Row],[Allemagne]]-Indices!L286)/PrevPeak[[#This Row],[Allemagne]]</f>
        <v>4.9924584018313997E-2</v>
      </c>
      <c r="AA22" s="27">
        <f>YEAR(DD[[#This Row],[Date]])</f>
        <v>2022</v>
      </c>
    </row>
    <row r="23" spans="1:27" x14ac:dyDescent="0.25">
      <c r="A23" s="1">
        <v>44588</v>
      </c>
      <c r="B23">
        <f>IF($A22="Date",Indices!B287,IF(Indices!B287&gt;=B22,Indices!B287,B22))</f>
        <v>2879.4960000000001</v>
      </c>
      <c r="C23">
        <f>IF($A22="Date",Indices!C287,IF(Indices!C287&gt;=C22,Indices!C287,C22))</f>
        <v>293.27100000000002</v>
      </c>
      <c r="D23">
        <f>IF($A22="Date",Indices!D287,IF(Indices!D287&gt;=D22,Indices!D287,D22))</f>
        <v>4363.4859999999999</v>
      </c>
      <c r="E23">
        <f>IF($A22="Date",Indices!E287,IF(Indices!E287&gt;=E22,Indices!E287,E22))</f>
        <v>435.85</v>
      </c>
      <c r="F23">
        <f>IF($A22="Date",Indices!F287,IF(Indices!F287&gt;=F22,Indices!F287,F22))</f>
        <v>182.988</v>
      </c>
      <c r="G23">
        <f>IF($A22="Date",Indices!G287,IF(Indices!G287&gt;=G22,Indices!G287,G22))</f>
        <v>288.13099999999997</v>
      </c>
      <c r="H23">
        <f>IF($A22="Date",Indices!H287,IF(Indices!H287&gt;=H22,Indices!H287,H22))</f>
        <v>104.747</v>
      </c>
      <c r="I23">
        <f>IF($A22="Date",Indices!I287,IF(Indices!I287&gt;=I22,Indices!I287,I22))</f>
        <v>5355.2011460000003</v>
      </c>
      <c r="J23">
        <f>IF($A22="Date",Indices!J287,IF(Indices!J287&gt;=J22,Indices!J287,J22))</f>
        <v>7376.3701170000004</v>
      </c>
      <c r="K23">
        <f>IF($A22="Date",Indices!K287,IF(Indices!K287&gt;=K22,Indices!K287,K22))</f>
        <v>494.35000600000001</v>
      </c>
      <c r="L23">
        <f>IF($A22="Date",Indices!L287,IF(Indices!L287&gt;=L22,Indices!L287,L22))</f>
        <v>16271.75</v>
      </c>
      <c r="O23" s="19">
        <v>44588</v>
      </c>
      <c r="P23" s="18">
        <f>(PrevPeak[[#This Row],[Chine]]-Indices!B287)/PrevPeak[[#This Row],[Chine]]</f>
        <v>4.6552938430892067E-2</v>
      </c>
      <c r="Q23" s="18">
        <f>(PrevPeak[[#This Row],[DM]]-Indices!C287)/PrevPeak[[#This Row],[DM]]</f>
        <v>7.7037961475904596E-2</v>
      </c>
      <c r="R23" s="18">
        <f>(PrevPeak[[#This Row],[EM ex China]]-Indices!D287)/PrevPeak[[#This Row],[EM ex China]]</f>
        <v>3.0453632714760634E-2</v>
      </c>
      <c r="S23" s="18">
        <f>(PrevPeak[[#This Row],[EM]]-Indices!E287)/PrevPeak[[#This Row],[EM]]</f>
        <v>3.6494206722496286E-2</v>
      </c>
      <c r="T23" s="18">
        <f>(PrevPeak[[#This Row],[Japon]]-Indices!F287)/PrevPeak[[#This Row],[Japon]]</f>
        <v>8.1677487048331027E-2</v>
      </c>
      <c r="U23" s="18">
        <f>(PrevPeak[[#This Row],[Monde]]-Indices!G287)/PrevPeak[[#This Row],[Monde]]</f>
        <v>7.0769892861233141E-2</v>
      </c>
      <c r="V23" s="18">
        <f>(PrevPeak[[#This Row],[RU]]-Indices!H287)/PrevPeak[[#This Row],[RU]]</f>
        <v>2.5108117654921405E-3</v>
      </c>
      <c r="W23" s="18">
        <f>(PrevPeak[[#This Row],[US]]-Indices!I287)/PrevPeak[[#This Row],[US]]</f>
        <v>0.10725336067516601</v>
      </c>
      <c r="X23" s="18">
        <f>(PrevPeak[[#This Row],[France]]-Indices!J287)/PrevPeak[[#This Row],[France]]</f>
        <v>4.7797264292290219E-2</v>
      </c>
      <c r="Y23" s="18">
        <f>(PrevPeak[[#This Row],[Europe]]-Indices!K287)/PrevPeak[[#This Row],[Europe]]</f>
        <v>4.8589094181178162E-2</v>
      </c>
      <c r="Z23" s="18">
        <f>(PrevPeak[[#This Row],[Allemagne]]-Indices!L287)/PrevPeak[[#This Row],[Allemagne]]</f>
        <v>4.5937312827446369E-2</v>
      </c>
      <c r="AA23" s="27">
        <f>YEAR(DD[[#This Row],[Date]])</f>
        <v>2022</v>
      </c>
    </row>
    <row r="24" spans="1:27" x14ac:dyDescent="0.25">
      <c r="A24" s="1">
        <v>44589</v>
      </c>
      <c r="B24">
        <f>IF($A23="Date",Indices!B288,IF(Indices!B288&gt;=B23,Indices!B288,B23))</f>
        <v>2879.4960000000001</v>
      </c>
      <c r="C24">
        <f>IF($A23="Date",Indices!C288,IF(Indices!C288&gt;=C23,Indices!C288,C23))</f>
        <v>293.27100000000002</v>
      </c>
      <c r="D24">
        <f>IF($A23="Date",Indices!D288,IF(Indices!D288&gt;=D23,Indices!D288,D23))</f>
        <v>4363.4859999999999</v>
      </c>
      <c r="E24">
        <f>IF($A23="Date",Indices!E288,IF(Indices!E288&gt;=E23,Indices!E288,E23))</f>
        <v>435.85</v>
      </c>
      <c r="F24">
        <f>IF($A23="Date",Indices!F288,IF(Indices!F288&gt;=F23,Indices!F288,F23))</f>
        <v>182.988</v>
      </c>
      <c r="G24">
        <f>IF($A23="Date",Indices!G288,IF(Indices!G288&gt;=G23,Indices!G288,G23))</f>
        <v>288.13099999999997</v>
      </c>
      <c r="H24">
        <f>IF($A23="Date",Indices!H288,IF(Indices!H288&gt;=H23,Indices!H288,H23))</f>
        <v>104.747</v>
      </c>
      <c r="I24">
        <f>IF($A23="Date",Indices!I288,IF(Indices!I288&gt;=I23,Indices!I288,I23))</f>
        <v>5355.2011460000003</v>
      </c>
      <c r="J24">
        <f>IF($A23="Date",Indices!J288,IF(Indices!J288&gt;=J23,Indices!J288,J23))</f>
        <v>7376.3701170000004</v>
      </c>
      <c r="K24">
        <f>IF($A23="Date",Indices!K288,IF(Indices!K288&gt;=K23,Indices!K288,K23))</f>
        <v>494.35000600000001</v>
      </c>
      <c r="L24">
        <f>IF($A23="Date",Indices!L288,IF(Indices!L288&gt;=L23,Indices!L288,L23))</f>
        <v>16271.75</v>
      </c>
      <c r="O24" s="20">
        <v>44589</v>
      </c>
      <c r="P24" s="17">
        <f>(PrevPeak[[#This Row],[Chine]]-Indices!B288)/PrevPeak[[#This Row],[Chine]]</f>
        <v>5.7620500254211192E-2</v>
      </c>
      <c r="Q24" s="17">
        <f>(PrevPeak[[#This Row],[DM]]-Indices!C288)/PrevPeak[[#This Row],[DM]]</f>
        <v>6.2720146212888434E-2</v>
      </c>
      <c r="R24" s="17">
        <f>(PrevPeak[[#This Row],[EM ex China]]-Indices!D288)/PrevPeak[[#This Row],[EM ex China]]</f>
        <v>2.9133128879066026E-2</v>
      </c>
      <c r="S24" s="17">
        <f>(PrevPeak[[#This Row],[EM]]-Indices!E288)/PrevPeak[[#This Row],[EM]]</f>
        <v>3.866467821498229E-2</v>
      </c>
      <c r="T24" s="17">
        <f>(PrevPeak[[#This Row],[Japon]]-Indices!F288)/PrevPeak[[#This Row],[Japon]]</f>
        <v>6.3818392462893725E-2</v>
      </c>
      <c r="U24" s="17">
        <f>(PrevPeak[[#This Row],[Monde]]-Indices!G288)/PrevPeak[[#This Row],[Monde]]</f>
        <v>5.8292929257872265E-2</v>
      </c>
      <c r="V24" s="17">
        <f>(PrevPeak[[#This Row],[RU]]-Indices!H288)/PrevPeak[[#This Row],[RU]]</f>
        <v>1.4539795889142374E-2</v>
      </c>
      <c r="W24" s="17">
        <f>(PrevPeak[[#This Row],[US]]-Indices!I288)/PrevPeak[[#This Row],[US]]</f>
        <v>8.5394343280938687E-2</v>
      </c>
      <c r="X24" s="17">
        <f>(PrevPeak[[#This Row],[France]]-Indices!J288)/PrevPeak[[#This Row],[France]]</f>
        <v>5.5649354287952792E-2</v>
      </c>
      <c r="Y24" s="17">
        <f>(PrevPeak[[#This Row],[Europe]]-Indices!K288)/PrevPeak[[#This Row],[Europe]]</f>
        <v>5.825835470911276E-2</v>
      </c>
      <c r="Z24" s="17">
        <f>(PrevPeak[[#This Row],[Allemagne]]-Indices!L288)/PrevPeak[[#This Row],[Allemagne]]</f>
        <v>5.8555459615591485E-2</v>
      </c>
      <c r="AA24" s="27">
        <f>YEAR(DD[[#This Row],[Date]])</f>
        <v>2022</v>
      </c>
    </row>
    <row r="25" spans="1:27" x14ac:dyDescent="0.25">
      <c r="A25" s="1">
        <v>44592</v>
      </c>
      <c r="B25">
        <f>IF($A24="Date",Indices!B289,IF(Indices!B289&gt;=B24,Indices!B289,B24))</f>
        <v>2879.4960000000001</v>
      </c>
      <c r="C25">
        <f>IF($A24="Date",Indices!C289,IF(Indices!C289&gt;=C24,Indices!C289,C24))</f>
        <v>293.27100000000002</v>
      </c>
      <c r="D25">
        <f>IF($A24="Date",Indices!D289,IF(Indices!D289&gt;=D24,Indices!D289,D24))</f>
        <v>4363.4859999999999</v>
      </c>
      <c r="E25">
        <f>IF($A24="Date",Indices!E289,IF(Indices!E289&gt;=E24,Indices!E289,E24))</f>
        <v>435.85</v>
      </c>
      <c r="F25">
        <f>IF($A24="Date",Indices!F289,IF(Indices!F289&gt;=F24,Indices!F289,F24))</f>
        <v>182.988</v>
      </c>
      <c r="G25">
        <f>IF($A24="Date",Indices!G289,IF(Indices!G289&gt;=G24,Indices!G289,G24))</f>
        <v>288.13099999999997</v>
      </c>
      <c r="H25">
        <f>IF($A24="Date",Indices!H289,IF(Indices!H289&gt;=H24,Indices!H289,H24))</f>
        <v>104.747</v>
      </c>
      <c r="I25">
        <f>IF($A24="Date",Indices!I289,IF(Indices!I289&gt;=I24,Indices!I289,I24))</f>
        <v>5355.2011460000003</v>
      </c>
      <c r="J25">
        <f>IF($A24="Date",Indices!J289,IF(Indices!J289&gt;=J24,Indices!J289,J24))</f>
        <v>7376.3701170000004</v>
      </c>
      <c r="K25">
        <f>IF($A24="Date",Indices!K289,IF(Indices!K289&gt;=K24,Indices!K289,K24))</f>
        <v>494.35000600000001</v>
      </c>
      <c r="L25">
        <f>IF($A24="Date",Indices!L289,IF(Indices!L289&gt;=L24,Indices!L289,L24))</f>
        <v>16271.75</v>
      </c>
      <c r="O25" s="19">
        <v>44592</v>
      </c>
      <c r="P25" s="18">
        <f>(PrevPeak[[#This Row],[Chine]]-Indices!B289)/PrevPeak[[#This Row],[Chine]]</f>
        <v>4.7246115292398416E-2</v>
      </c>
      <c r="Q25" s="18">
        <f>(PrevPeak[[#This Row],[DM]]-Indices!C289)/PrevPeak[[#This Row],[DM]]</f>
        <v>4.984809271970303E-2</v>
      </c>
      <c r="R25" s="18">
        <f>(PrevPeak[[#This Row],[EM ex China]]-Indices!D289)/PrevPeak[[#This Row],[EM ex China]]</f>
        <v>2.3966846690925494E-2</v>
      </c>
      <c r="S25" s="18">
        <f>(PrevPeak[[#This Row],[EM]]-Indices!E289)/PrevPeak[[#This Row],[EM]]</f>
        <v>2.8736950785820888E-2</v>
      </c>
      <c r="T25" s="18">
        <f>(PrevPeak[[#This Row],[Japon]]-Indices!F289)/PrevPeak[[#This Row],[Japon]]</f>
        <v>5.9096771372986169E-2</v>
      </c>
      <c r="U25" s="18">
        <f>(PrevPeak[[#This Row],[Monde]]-Indices!G289)/PrevPeak[[#This Row],[Monde]]</f>
        <v>4.5732670209036742E-2</v>
      </c>
      <c r="V25" s="18">
        <f>(PrevPeak[[#This Row],[RU]]-Indices!H289)/PrevPeak[[#This Row],[RU]]</f>
        <v>1.9695074799278282E-2</v>
      </c>
      <c r="W25" s="18">
        <f>(PrevPeak[[#This Row],[US]]-Indices!I289)/PrevPeak[[#This Row],[US]]</f>
        <v>6.5570809653393347E-2</v>
      </c>
      <c r="X25" s="18">
        <f>(PrevPeak[[#This Row],[France]]-Indices!J289)/PrevPeak[[#This Row],[France]]</f>
        <v>5.1132185074438292E-2</v>
      </c>
      <c r="Y25" s="18">
        <f>(PrevPeak[[#This Row],[Europe]]-Indices!K289)/PrevPeak[[#This Row],[Europe]]</f>
        <v>5.1522202267354732E-2</v>
      </c>
      <c r="Z25" s="18">
        <f>(PrevPeak[[#This Row],[Allemagne]]-Indices!L289)/PrevPeak[[#This Row],[Allemagne]]</f>
        <v>4.9198752439043168E-2</v>
      </c>
      <c r="AA25" s="27">
        <f>YEAR(DD[[#This Row],[Date]])</f>
        <v>2022</v>
      </c>
    </row>
    <row r="26" spans="1:27" x14ac:dyDescent="0.25">
      <c r="A26" s="1">
        <v>44593</v>
      </c>
      <c r="B26">
        <f>IF($A25="Date",Indices!B290,IF(Indices!B290&gt;=B25,Indices!B290,B25))</f>
        <v>2879.4960000000001</v>
      </c>
      <c r="C26">
        <f>IF($A25="Date",Indices!C290,IF(Indices!C290&gt;=C25,Indices!C290,C25))</f>
        <v>293.27100000000002</v>
      </c>
      <c r="D26">
        <f>IF($A25="Date",Indices!D290,IF(Indices!D290&gt;=D25,Indices!D290,D25))</f>
        <v>4363.4859999999999</v>
      </c>
      <c r="E26">
        <f>IF($A25="Date",Indices!E290,IF(Indices!E290&gt;=E25,Indices!E290,E25))</f>
        <v>435.85</v>
      </c>
      <c r="F26">
        <f>IF($A25="Date",Indices!F290,IF(Indices!F290&gt;=F25,Indices!F290,F25))</f>
        <v>182.988</v>
      </c>
      <c r="G26">
        <f>IF($A25="Date",Indices!G290,IF(Indices!G290&gt;=G25,Indices!G290,G25))</f>
        <v>288.13099999999997</v>
      </c>
      <c r="H26">
        <f>IF($A25="Date",Indices!H290,IF(Indices!H290&gt;=H25,Indices!H290,H25))</f>
        <v>104.747</v>
      </c>
      <c r="I26">
        <f>IF($A25="Date",Indices!I290,IF(Indices!I290&gt;=I25,Indices!I290,I25))</f>
        <v>5355.2011460000003</v>
      </c>
      <c r="J26">
        <f>IF($A25="Date",Indices!J290,IF(Indices!J290&gt;=J25,Indices!J290,J25))</f>
        <v>7376.3701170000004</v>
      </c>
      <c r="K26">
        <f>IF($A25="Date",Indices!K290,IF(Indices!K290&gt;=K25,Indices!K290,K25))</f>
        <v>494.35000600000001</v>
      </c>
      <c r="L26">
        <f>IF($A25="Date",Indices!L290,IF(Indices!L290&gt;=L25,Indices!L290,L25))</f>
        <v>16271.75</v>
      </c>
      <c r="O26" s="20">
        <v>44593</v>
      </c>
      <c r="P26" s="17">
        <f>(PrevPeak[[#This Row],[Chine]]-Indices!B290)/PrevPeak[[#This Row],[Chine]]</f>
        <v>4.9368708968513988E-2</v>
      </c>
      <c r="Q26" s="17">
        <f>(PrevPeak[[#This Row],[DM]]-Indices!C290)/PrevPeak[[#This Row],[DM]]</f>
        <v>4.4610616119561859E-2</v>
      </c>
      <c r="R26" s="17">
        <f>(PrevPeak[[#This Row],[EM ex China]]-Indices!D290)/PrevPeak[[#This Row],[EM ex China]]</f>
        <v>2.1548596695394474E-2</v>
      </c>
      <c r="S26" s="17">
        <f>(PrevPeak[[#This Row],[EM]]-Indices!E290)/PrevPeak[[#This Row],[EM]]</f>
        <v>2.7479637489962214E-2</v>
      </c>
      <c r="T26" s="17">
        <f>(PrevPeak[[#This Row],[Japon]]-Indices!F290)/PrevPeak[[#This Row],[Japon]]</f>
        <v>5.8359018077688167E-2</v>
      </c>
      <c r="U26" s="17">
        <f>(PrevPeak[[#This Row],[Monde]]-Indices!G290)/PrevPeak[[#This Row],[Monde]]</f>
        <v>4.0936240807132727E-2</v>
      </c>
      <c r="V26" s="17">
        <f>(PrevPeak[[#This Row],[RU]]-Indices!H290)/PrevPeak[[#This Row],[RU]]</f>
        <v>7.7997460547795452E-3</v>
      </c>
      <c r="W26" s="17">
        <f>(PrevPeak[[#This Row],[US]]-Indices!I290)/PrevPeak[[#This Row],[US]]</f>
        <v>5.8280755006396588E-2</v>
      </c>
      <c r="X26" s="17">
        <f>(PrevPeak[[#This Row],[France]]-Indices!J290)/PrevPeak[[#This Row],[France]]</f>
        <v>3.7536061586970461E-2</v>
      </c>
      <c r="Y26" s="17">
        <f>(PrevPeak[[#This Row],[Europe]]-Indices!K290)/PrevPeak[[#This Row],[Europe]]</f>
        <v>3.9425550244658061E-2</v>
      </c>
      <c r="Z26" s="17">
        <f>(PrevPeak[[#This Row],[Allemagne]]-Indices!L290)/PrevPeak[[#This Row],[Allemagne]]</f>
        <v>4.0091591254782115E-2</v>
      </c>
      <c r="AA26" s="27">
        <f>YEAR(DD[[#This Row],[Date]])</f>
        <v>2022</v>
      </c>
    </row>
    <row r="27" spans="1:27" x14ac:dyDescent="0.25">
      <c r="A27" s="1">
        <v>44594</v>
      </c>
      <c r="B27">
        <f>IF($A26="Date",Indices!B291,IF(Indices!B291&gt;=B26,Indices!B291,B26))</f>
        <v>2879.4960000000001</v>
      </c>
      <c r="C27">
        <f>IF($A26="Date",Indices!C291,IF(Indices!C291&gt;=C26,Indices!C291,C26))</f>
        <v>293.27100000000002</v>
      </c>
      <c r="D27">
        <f>IF($A26="Date",Indices!D291,IF(Indices!D291&gt;=D26,Indices!D291,D26))</f>
        <v>4363.4859999999999</v>
      </c>
      <c r="E27">
        <f>IF($A26="Date",Indices!E291,IF(Indices!E291&gt;=E26,Indices!E291,E26))</f>
        <v>435.85</v>
      </c>
      <c r="F27">
        <f>IF($A26="Date",Indices!F291,IF(Indices!F291&gt;=F26,Indices!F291,F26))</f>
        <v>182.988</v>
      </c>
      <c r="G27">
        <f>IF($A26="Date",Indices!G291,IF(Indices!G291&gt;=G26,Indices!G291,G26))</f>
        <v>288.13099999999997</v>
      </c>
      <c r="H27">
        <f>IF($A26="Date",Indices!H291,IF(Indices!H291&gt;=H26,Indices!H291,H26))</f>
        <v>104.747</v>
      </c>
      <c r="I27">
        <f>IF($A26="Date",Indices!I291,IF(Indices!I291&gt;=I26,Indices!I291,I26))</f>
        <v>5355.2011460000003</v>
      </c>
      <c r="J27">
        <f>IF($A26="Date",Indices!J291,IF(Indices!J291&gt;=J26,Indices!J291,J26))</f>
        <v>7376.3701170000004</v>
      </c>
      <c r="K27">
        <f>IF($A26="Date",Indices!K291,IF(Indices!K291&gt;=K26,Indices!K291,K26))</f>
        <v>494.35000600000001</v>
      </c>
      <c r="L27">
        <f>IF($A26="Date",Indices!L291,IF(Indices!L291&gt;=L26,Indices!L291,L26))</f>
        <v>16271.75</v>
      </c>
      <c r="O27" s="19">
        <v>44594</v>
      </c>
      <c r="P27" s="18">
        <f>(PrevPeak[[#This Row],[Chine]]-Indices!B291)/PrevPeak[[#This Row],[Chine]]</f>
        <v>5.5102351244801145E-2</v>
      </c>
      <c r="Q27" s="18">
        <f>(PrevPeak[[#This Row],[DM]]-Indices!C291)/PrevPeak[[#This Row],[DM]]</f>
        <v>4.0239232655120985E-2</v>
      </c>
      <c r="R27" s="18">
        <f>(PrevPeak[[#This Row],[EM ex China]]-Indices!D291)/PrevPeak[[#This Row],[EM ex China]]</f>
        <v>2.5284600431856485E-2</v>
      </c>
      <c r="S27" s="18">
        <f>(PrevPeak[[#This Row],[EM]]-Indices!E291)/PrevPeak[[#This Row],[EM]]</f>
        <v>3.2187679247447504E-2</v>
      </c>
      <c r="T27" s="18">
        <f>(PrevPeak[[#This Row],[Japon]]-Indices!F291)/PrevPeak[[#This Row],[Japon]]</f>
        <v>3.9926115373685768E-2</v>
      </c>
      <c r="U27" s="18">
        <f>(PrevPeak[[#This Row],[Monde]]-Indices!G291)/PrevPeak[[#This Row],[Monde]]</f>
        <v>3.7587069770347467E-2</v>
      </c>
      <c r="V27" s="18">
        <f>(PrevPeak[[#This Row],[RU]]-Indices!H291)/PrevPeak[[#This Row],[RU]]</f>
        <v>1.2983665403304694E-3</v>
      </c>
      <c r="W27" s="18">
        <f>(PrevPeak[[#This Row],[US]]-Indices!I291)/PrevPeak[[#This Row],[US]]</f>
        <v>5.2222317402379835E-2</v>
      </c>
      <c r="X27" s="18">
        <f>(PrevPeak[[#This Row],[France]]-Indices!J291)/PrevPeak[[#This Row],[France]]</f>
        <v>3.5396827010924302E-2</v>
      </c>
      <c r="Y27" s="18">
        <f>(PrevPeak[[#This Row],[Europe]]-Indices!K291)/PrevPeak[[#This Row],[Europe]]</f>
        <v>3.5076354383618606E-2</v>
      </c>
      <c r="Z27" s="18">
        <f>(PrevPeak[[#This Row],[Allemagne]]-Indices!L291)/PrevPeak[[#This Row],[Allemagne]]</f>
        <v>4.043698250034572E-2</v>
      </c>
      <c r="AA27" s="27">
        <f>YEAR(DD[[#This Row],[Date]])</f>
        <v>2022</v>
      </c>
    </row>
    <row r="28" spans="1:27" x14ac:dyDescent="0.25">
      <c r="A28" s="1">
        <v>44595</v>
      </c>
      <c r="B28">
        <f>IF($A27="Date",Indices!B292,IF(Indices!B292&gt;=B27,Indices!B292,B27))</f>
        <v>2879.4960000000001</v>
      </c>
      <c r="C28">
        <f>IF($A27="Date",Indices!C292,IF(Indices!C292&gt;=C27,Indices!C292,C27))</f>
        <v>293.27100000000002</v>
      </c>
      <c r="D28">
        <f>IF($A27="Date",Indices!D292,IF(Indices!D292&gt;=D27,Indices!D292,D27))</f>
        <v>4363.4859999999999</v>
      </c>
      <c r="E28">
        <f>IF($A27="Date",Indices!E292,IF(Indices!E292&gt;=E27,Indices!E292,E27))</f>
        <v>435.85</v>
      </c>
      <c r="F28">
        <f>IF($A27="Date",Indices!F292,IF(Indices!F292&gt;=F27,Indices!F292,F27))</f>
        <v>182.988</v>
      </c>
      <c r="G28">
        <f>IF($A27="Date",Indices!G292,IF(Indices!G292&gt;=G27,Indices!G292,G27))</f>
        <v>288.13099999999997</v>
      </c>
      <c r="H28">
        <f>IF($A27="Date",Indices!H292,IF(Indices!H292&gt;=H27,Indices!H292,H27))</f>
        <v>104.747</v>
      </c>
      <c r="I28">
        <f>IF($A27="Date",Indices!I292,IF(Indices!I292&gt;=I27,Indices!I292,I27))</f>
        <v>5355.2011460000003</v>
      </c>
      <c r="J28">
        <f>IF($A27="Date",Indices!J292,IF(Indices!J292&gt;=J27,Indices!J292,J27))</f>
        <v>7376.3701170000004</v>
      </c>
      <c r="K28">
        <f>IF($A27="Date",Indices!K292,IF(Indices!K292&gt;=K27,Indices!K292,K27))</f>
        <v>494.35000600000001</v>
      </c>
      <c r="L28">
        <f>IF($A27="Date",Indices!L292,IF(Indices!L292&gt;=L27,Indices!L292,L27))</f>
        <v>16271.75</v>
      </c>
      <c r="O28" s="20">
        <v>44595</v>
      </c>
      <c r="P28" s="17">
        <f>(PrevPeak[[#This Row],[Chine]]-Indices!B292)/PrevPeak[[#This Row],[Chine]]</f>
        <v>6.692316988806371E-2</v>
      </c>
      <c r="Q28" s="17">
        <f>(PrevPeak[[#This Row],[DM]]-Indices!C292)/PrevPeak[[#This Row],[DM]]</f>
        <v>6.9113550265795132E-2</v>
      </c>
      <c r="R28" s="17">
        <f>(PrevPeak[[#This Row],[EM ex China]]-Indices!D292)/PrevPeak[[#This Row],[EM ex China]]</f>
        <v>3.7646963918298339E-2</v>
      </c>
      <c r="S28" s="17">
        <f>(PrevPeak[[#This Row],[EM]]-Indices!E292)/PrevPeak[[#This Row],[EM]]</f>
        <v>4.4779167144659848E-2</v>
      </c>
      <c r="T28" s="17">
        <f>(PrevPeak[[#This Row],[Japon]]-Indices!F292)/PrevPeak[[#This Row],[Japon]]</f>
        <v>6.2725424618007786E-2</v>
      </c>
      <c r="U28" s="17">
        <f>(PrevPeak[[#This Row],[Monde]]-Indices!G292)/PrevPeak[[#This Row],[Monde]]</f>
        <v>6.4668501480229415E-2</v>
      </c>
      <c r="V28" s="17">
        <f>(PrevPeak[[#This Row],[RU]]-Indices!H292)/PrevPeak[[#This Row],[RU]]</f>
        <v>1.4711638519480241E-2</v>
      </c>
      <c r="W28" s="17">
        <f>(PrevPeak[[#This Row],[US]]-Indices!I292)/PrevPeak[[#This Row],[US]]</f>
        <v>7.5498051702874339E-2</v>
      </c>
      <c r="X28" s="17">
        <f>(PrevPeak[[#This Row],[France]]-Indices!J292)/PrevPeak[[#This Row],[France]]</f>
        <v>5.0260524908528087E-2</v>
      </c>
      <c r="Y28" s="17">
        <f>(PrevPeak[[#This Row],[Europe]]-Indices!K292)/PrevPeak[[#This Row],[Europe]]</f>
        <v>5.2027916835910841E-2</v>
      </c>
      <c r="Z28" s="17">
        <f>(PrevPeak[[#This Row],[Allemagne]]-Indices!L292)/PrevPeak[[#This Row],[Allemagne]]</f>
        <v>5.5512177239694517E-2</v>
      </c>
      <c r="AA28" s="27">
        <f>YEAR(DD[[#This Row],[Date]])</f>
        <v>2022</v>
      </c>
    </row>
    <row r="29" spans="1:27" x14ac:dyDescent="0.25">
      <c r="A29" s="1">
        <v>44596</v>
      </c>
      <c r="B29">
        <f>IF($A28="Date",Indices!B293,IF(Indices!B293&gt;=B28,Indices!B293,B28))</f>
        <v>2879.4960000000001</v>
      </c>
      <c r="C29">
        <f>IF($A28="Date",Indices!C293,IF(Indices!C293&gt;=C28,Indices!C293,C28))</f>
        <v>293.27100000000002</v>
      </c>
      <c r="D29">
        <f>IF($A28="Date",Indices!D293,IF(Indices!D293&gt;=D28,Indices!D293,D28))</f>
        <v>4363.4859999999999</v>
      </c>
      <c r="E29">
        <f>IF($A28="Date",Indices!E293,IF(Indices!E293&gt;=E28,Indices!E293,E28))</f>
        <v>435.85</v>
      </c>
      <c r="F29">
        <f>IF($A28="Date",Indices!F293,IF(Indices!F293&gt;=F28,Indices!F293,F28))</f>
        <v>182.988</v>
      </c>
      <c r="G29">
        <f>IF($A28="Date",Indices!G293,IF(Indices!G293&gt;=G28,Indices!G293,G28))</f>
        <v>288.13099999999997</v>
      </c>
      <c r="H29">
        <f>IF($A28="Date",Indices!H293,IF(Indices!H293&gt;=H28,Indices!H293,H28))</f>
        <v>104.747</v>
      </c>
      <c r="I29">
        <f>IF($A28="Date",Indices!I293,IF(Indices!I293&gt;=I28,Indices!I293,I28))</f>
        <v>5355.2011460000003</v>
      </c>
      <c r="J29">
        <f>IF($A28="Date",Indices!J293,IF(Indices!J293&gt;=J28,Indices!J293,J28))</f>
        <v>7376.3701170000004</v>
      </c>
      <c r="K29">
        <f>IF($A28="Date",Indices!K293,IF(Indices!K293&gt;=K28,Indices!K293,K28))</f>
        <v>494.35000600000001</v>
      </c>
      <c r="L29">
        <f>IF($A28="Date",Indices!L293,IF(Indices!L293&gt;=L28,Indices!L293,L28))</f>
        <v>16271.75</v>
      </c>
      <c r="O29" s="19">
        <v>44596</v>
      </c>
      <c r="P29" s="18">
        <f>(PrevPeak[[#This Row],[Chine]]-Indices!B293)/PrevPeak[[#This Row],[Chine]]</f>
        <v>5.5660782303569821E-2</v>
      </c>
      <c r="Q29" s="18">
        <f>(PrevPeak[[#This Row],[DM]]-Indices!C293)/PrevPeak[[#This Row],[DM]]</f>
        <v>6.8462275506272458E-2</v>
      </c>
      <c r="R29" s="18">
        <f>(PrevPeak[[#This Row],[EM ex China]]-Indices!D293)/PrevPeak[[#This Row],[EM ex China]]</f>
        <v>3.7896535018102473E-2</v>
      </c>
      <c r="S29" s="18">
        <f>(PrevPeak[[#This Row],[EM]]-Indices!E293)/PrevPeak[[#This Row],[EM]]</f>
        <v>3.8380176666284287E-2</v>
      </c>
      <c r="T29" s="18">
        <f>(PrevPeak[[#This Row],[Japon]]-Indices!F293)/PrevPeak[[#This Row],[Japon]]</f>
        <v>6.3495966948652366E-2</v>
      </c>
      <c r="U29" s="18">
        <f>(PrevPeak[[#This Row],[Monde]]-Indices!G293)/PrevPeak[[#This Row],[Monde]]</f>
        <v>6.3363539501129523E-2</v>
      </c>
      <c r="V29" s="18">
        <f>(PrevPeak[[#This Row],[RU]]-Indices!H293)/PrevPeak[[#This Row],[RU]]</f>
        <v>2.3886125616962732E-2</v>
      </c>
      <c r="W29" s="18">
        <f>(PrevPeak[[#This Row],[US]]-Indices!I293)/PrevPeak[[#This Row],[US]]</f>
        <v>6.9380046401715592E-2</v>
      </c>
      <c r="X29" s="18">
        <f>(PrevPeak[[#This Row],[France]]-Indices!J293)/PrevPeak[[#This Row],[France]]</f>
        <v>5.7615090791139155E-2</v>
      </c>
      <c r="Y29" s="18">
        <f>(PrevPeak[[#This Row],[Europe]]-Indices!K293)/PrevPeak[[#This Row],[Europe]]</f>
        <v>6.513606070432619E-2</v>
      </c>
      <c r="Z29" s="18">
        <f>(PrevPeak[[#This Row],[Allemagne]]-Indices!L293)/PrevPeak[[#This Row],[Allemagne]]</f>
        <v>7.2038375097945861E-2</v>
      </c>
      <c r="AA29" s="27">
        <f>YEAR(DD[[#This Row],[Date]])</f>
        <v>2022</v>
      </c>
    </row>
    <row r="30" spans="1:27" x14ac:dyDescent="0.25">
      <c r="A30" s="1">
        <v>44599</v>
      </c>
      <c r="B30">
        <f>IF($A29="Date",Indices!B294,IF(Indices!B294&gt;=B29,Indices!B294,B29))</f>
        <v>2879.4960000000001</v>
      </c>
      <c r="C30">
        <f>IF($A29="Date",Indices!C294,IF(Indices!C294&gt;=C29,Indices!C294,C29))</f>
        <v>293.27100000000002</v>
      </c>
      <c r="D30">
        <f>IF($A29="Date",Indices!D294,IF(Indices!D294&gt;=D29,Indices!D294,D29))</f>
        <v>4363.4859999999999</v>
      </c>
      <c r="E30">
        <f>IF($A29="Date",Indices!E294,IF(Indices!E294&gt;=E29,Indices!E294,E29))</f>
        <v>435.85</v>
      </c>
      <c r="F30">
        <f>IF($A29="Date",Indices!F294,IF(Indices!F294&gt;=F29,Indices!F294,F29))</f>
        <v>182.988</v>
      </c>
      <c r="G30">
        <f>IF($A29="Date",Indices!G294,IF(Indices!G294&gt;=G29,Indices!G294,G29))</f>
        <v>288.13099999999997</v>
      </c>
      <c r="H30">
        <f>IF($A29="Date",Indices!H294,IF(Indices!H294&gt;=H29,Indices!H294,H29))</f>
        <v>104.747</v>
      </c>
      <c r="I30">
        <f>IF($A29="Date",Indices!I294,IF(Indices!I294&gt;=I29,Indices!I294,I29))</f>
        <v>5355.2011460000003</v>
      </c>
      <c r="J30">
        <f>IF($A29="Date",Indices!J294,IF(Indices!J294&gt;=J29,Indices!J294,J29))</f>
        <v>7376.3701170000004</v>
      </c>
      <c r="K30">
        <f>IF($A29="Date",Indices!K294,IF(Indices!K294&gt;=K29,Indices!K294,K29))</f>
        <v>494.35000600000001</v>
      </c>
      <c r="L30">
        <f>IF($A29="Date",Indices!L294,IF(Indices!L294&gt;=L29,Indices!L294,L29))</f>
        <v>16271.75</v>
      </c>
      <c r="O30" s="20">
        <v>44599</v>
      </c>
      <c r="P30" s="17">
        <f>(PrevPeak[[#This Row],[Chine]]-Indices!B294)/PrevPeak[[#This Row],[Chine]]</f>
        <v>5.0859247590550591E-2</v>
      </c>
      <c r="Q30" s="17">
        <f>(PrevPeak[[#This Row],[DM]]-Indices!C294)/PrevPeak[[#This Row],[DM]]</f>
        <v>6.9280631225044548E-2</v>
      </c>
      <c r="R30" s="17">
        <f>(PrevPeak[[#This Row],[EM ex China]]-Indices!D294)/PrevPeak[[#This Row],[EM ex China]]</f>
        <v>3.9131327566995701E-2</v>
      </c>
      <c r="S30" s="17">
        <f>(PrevPeak[[#This Row],[EM]]-Indices!E294)/PrevPeak[[#This Row],[EM]]</f>
        <v>3.9983939428702583E-2</v>
      </c>
      <c r="T30" s="17">
        <f>(PrevPeak[[#This Row],[Japon]]-Indices!F294)/PrevPeak[[#This Row],[Japon]]</f>
        <v>6.3911294729709009E-2</v>
      </c>
      <c r="U30" s="17">
        <f>(PrevPeak[[#This Row],[Monde]]-Indices!G294)/PrevPeak[[#This Row],[Monde]]</f>
        <v>6.427284811422565E-2</v>
      </c>
      <c r="V30" s="17">
        <f>(PrevPeak[[#This Row],[RU]]-Indices!H294)/PrevPeak[[#This Row],[RU]]</f>
        <v>1.6554173389213962E-2</v>
      </c>
      <c r="W30" s="17">
        <f>(PrevPeak[[#This Row],[US]]-Indices!I294)/PrevPeak[[#This Row],[US]]</f>
        <v>7.1892269870678732E-2</v>
      </c>
      <c r="X30" s="17">
        <f>(PrevPeak[[#This Row],[France]]-Indices!J294)/PrevPeak[[#This Row],[France]]</f>
        <v>4.9769752761444901E-2</v>
      </c>
      <c r="Y30" s="17">
        <f>(PrevPeak[[#This Row],[Europe]]-Indices!K294)/PrevPeak[[#This Row],[Europe]]</f>
        <v>5.8804504191712362E-2</v>
      </c>
      <c r="Z30" s="17">
        <f>(PrevPeak[[#This Row],[Allemagne]]-Indices!L294)/PrevPeak[[#This Row],[Allemagne]]</f>
        <v>6.5457639774455775E-2</v>
      </c>
      <c r="AA30" s="27">
        <f>YEAR(DD[[#This Row],[Date]])</f>
        <v>2022</v>
      </c>
    </row>
    <row r="31" spans="1:27" x14ac:dyDescent="0.25">
      <c r="A31" s="1">
        <v>44600</v>
      </c>
      <c r="B31">
        <f>IF($A30="Date",Indices!B295,IF(Indices!B295&gt;=B30,Indices!B295,B30))</f>
        <v>2879.4960000000001</v>
      </c>
      <c r="C31">
        <f>IF($A30="Date",Indices!C295,IF(Indices!C295&gt;=C30,Indices!C295,C30))</f>
        <v>293.27100000000002</v>
      </c>
      <c r="D31">
        <f>IF($A30="Date",Indices!D295,IF(Indices!D295&gt;=D30,Indices!D295,D30))</f>
        <v>4363.4859999999999</v>
      </c>
      <c r="E31">
        <f>IF($A30="Date",Indices!E295,IF(Indices!E295&gt;=E30,Indices!E295,E30))</f>
        <v>435.85</v>
      </c>
      <c r="F31">
        <f>IF($A30="Date",Indices!F295,IF(Indices!F295&gt;=F30,Indices!F295,F30))</f>
        <v>182.988</v>
      </c>
      <c r="G31">
        <f>IF($A30="Date",Indices!G295,IF(Indices!G295&gt;=G30,Indices!G295,G30))</f>
        <v>288.13099999999997</v>
      </c>
      <c r="H31">
        <f>IF($A30="Date",Indices!H295,IF(Indices!H295&gt;=H30,Indices!H295,H30))</f>
        <v>104.747</v>
      </c>
      <c r="I31">
        <f>IF($A30="Date",Indices!I295,IF(Indices!I295&gt;=I30,Indices!I295,I30))</f>
        <v>5355.2011460000003</v>
      </c>
      <c r="J31">
        <f>IF($A30="Date",Indices!J295,IF(Indices!J295&gt;=J30,Indices!J295,J30))</f>
        <v>7376.3701170000004</v>
      </c>
      <c r="K31">
        <f>IF($A30="Date",Indices!K295,IF(Indices!K295&gt;=K30,Indices!K295,K30))</f>
        <v>494.35000600000001</v>
      </c>
      <c r="L31">
        <f>IF($A30="Date",Indices!L295,IF(Indices!L295&gt;=L30,Indices!L295,L30))</f>
        <v>16271.75</v>
      </c>
      <c r="O31" s="19">
        <v>44600</v>
      </c>
      <c r="P31" s="18">
        <f>(PrevPeak[[#This Row],[Chine]]-Indices!B295)/PrevPeak[[#This Row],[Chine]]</f>
        <v>5.6430014141363706E-2</v>
      </c>
      <c r="Q31" s="18">
        <f>(PrevPeak[[#This Row],[DM]]-Indices!C295)/PrevPeak[[#This Row],[DM]]</f>
        <v>6.1806315660259736E-2</v>
      </c>
      <c r="R31" s="18">
        <f>(PrevPeak[[#This Row],[EM ex China]]-Indices!D295)/PrevPeak[[#This Row],[EM ex China]]</f>
        <v>3.214631604180683E-2</v>
      </c>
      <c r="S31" s="18">
        <f>(PrevPeak[[#This Row],[EM]]-Indices!E295)/PrevPeak[[#This Row],[EM]]</f>
        <v>3.7464724102328796E-2</v>
      </c>
      <c r="T31" s="18">
        <f>(PrevPeak[[#This Row],[Japon]]-Indices!F295)/PrevPeak[[#This Row],[Japon]]</f>
        <v>6.3162611755962106E-2</v>
      </c>
      <c r="U31" s="18">
        <f>(PrevPeak[[#This Row],[Monde]]-Indices!G295)/PrevPeak[[#This Row],[Monde]]</f>
        <v>5.7345443565600264E-2</v>
      </c>
      <c r="V31" s="18">
        <f>(PrevPeak[[#This Row],[RU]]-Indices!H295)/PrevPeak[[#This Row],[RU]]</f>
        <v>1.3833331742197849E-2</v>
      </c>
      <c r="W31" s="18">
        <f>(PrevPeak[[#This Row],[US]]-Indices!I295)/PrevPeak[[#This Row],[US]]</f>
        <v>6.3180409059465828E-2</v>
      </c>
      <c r="X31" s="18">
        <f>(PrevPeak[[#This Row],[France]]-Indices!J295)/PrevPeak[[#This Row],[France]]</f>
        <v>4.7172248067931438E-2</v>
      </c>
      <c r="Y31" s="18">
        <f>(PrevPeak[[#This Row],[Europe]]-Indices!K295)/PrevPeak[[#This Row],[Europe]]</f>
        <v>5.86831387638337E-2</v>
      </c>
      <c r="Z31" s="18">
        <f>(PrevPeak[[#This Row],[Allemagne]]-Indices!L295)/PrevPeak[[#This Row],[Allemagne]]</f>
        <v>6.3261180880974668E-2</v>
      </c>
      <c r="AA31" s="27">
        <f>YEAR(DD[[#This Row],[Date]])</f>
        <v>2022</v>
      </c>
    </row>
    <row r="32" spans="1:27" x14ac:dyDescent="0.25">
      <c r="A32" s="1">
        <v>44601</v>
      </c>
      <c r="B32">
        <f>IF($A31="Date",Indices!B296,IF(Indices!B296&gt;=B31,Indices!B296,B31))</f>
        <v>2879.4960000000001</v>
      </c>
      <c r="C32">
        <f>IF($A31="Date",Indices!C296,IF(Indices!C296&gt;=C31,Indices!C296,C31))</f>
        <v>293.27100000000002</v>
      </c>
      <c r="D32">
        <f>IF($A31="Date",Indices!D296,IF(Indices!D296&gt;=D31,Indices!D296,D31))</f>
        <v>4363.4859999999999</v>
      </c>
      <c r="E32">
        <f>IF($A31="Date",Indices!E296,IF(Indices!E296&gt;=E31,Indices!E296,E31))</f>
        <v>435.85</v>
      </c>
      <c r="F32">
        <f>IF($A31="Date",Indices!F296,IF(Indices!F296&gt;=F31,Indices!F296,F31))</f>
        <v>182.988</v>
      </c>
      <c r="G32">
        <f>IF($A31="Date",Indices!G296,IF(Indices!G296&gt;=G31,Indices!G296,G31))</f>
        <v>288.13099999999997</v>
      </c>
      <c r="H32">
        <f>IF($A31="Date",Indices!H296,IF(Indices!H296&gt;=H31,Indices!H296,H31))</f>
        <v>104.747</v>
      </c>
      <c r="I32">
        <f>IF($A31="Date",Indices!I296,IF(Indices!I296&gt;=I31,Indices!I296,I31))</f>
        <v>5355.2011460000003</v>
      </c>
      <c r="J32">
        <f>IF($A31="Date",Indices!J296,IF(Indices!J296&gt;=J31,Indices!J296,J31))</f>
        <v>7376.3701170000004</v>
      </c>
      <c r="K32">
        <f>IF($A31="Date",Indices!K296,IF(Indices!K296&gt;=K31,Indices!K296,K31))</f>
        <v>494.35000600000001</v>
      </c>
      <c r="L32">
        <f>IF($A31="Date",Indices!L296,IF(Indices!L296&gt;=L31,Indices!L296,L31))</f>
        <v>16271.75</v>
      </c>
      <c r="O32" s="20">
        <v>44601</v>
      </c>
      <c r="P32" s="17">
        <f>(PrevPeak[[#This Row],[Chine]]-Indices!B296)/PrevPeak[[#This Row],[Chine]]</f>
        <v>3.7611790396652703E-2</v>
      </c>
      <c r="Q32" s="17">
        <f>(PrevPeak[[#This Row],[DM]]-Indices!C296)/PrevPeak[[#This Row],[DM]]</f>
        <v>4.7942005858063026E-2</v>
      </c>
      <c r="R32" s="17">
        <f>(PrevPeak[[#This Row],[EM ex China]]-Indices!D296)/PrevPeak[[#This Row],[EM ex China]]</f>
        <v>2.1764479134343515E-2</v>
      </c>
      <c r="S32" s="17">
        <f>(PrevPeak[[#This Row],[EM]]-Indices!E296)/PrevPeak[[#This Row],[EM]]</f>
        <v>2.242285189858902E-2</v>
      </c>
      <c r="T32" s="17">
        <f>(PrevPeak[[#This Row],[Japon]]-Indices!F296)/PrevPeak[[#This Row],[Japon]]</f>
        <v>5.3970752180470878E-2</v>
      </c>
      <c r="U32" s="17">
        <f>(PrevPeak[[#This Row],[Monde]]-Indices!G296)/PrevPeak[[#This Row],[Monde]]</f>
        <v>4.3324043577400377E-2</v>
      </c>
      <c r="V32" s="17">
        <f>(PrevPeak[[#This Row],[RU]]-Indices!H296)/PrevPeak[[#This Row],[RU]]</f>
        <v>5.9381175594527755E-3</v>
      </c>
      <c r="W32" s="17">
        <f>(PrevPeak[[#This Row],[US]]-Indices!I296)/PrevPeak[[#This Row],[US]]</f>
        <v>4.8318832093408107E-2</v>
      </c>
      <c r="X32" s="17">
        <f>(PrevPeak[[#This Row],[France]]-Indices!J296)/PrevPeak[[#This Row],[France]]</f>
        <v>3.328062856203895E-2</v>
      </c>
      <c r="Y32" s="17">
        <f>(PrevPeak[[#This Row],[Europe]]-Indices!K296)/PrevPeak[[#This Row],[Europe]]</f>
        <v>4.252051935850485E-2</v>
      </c>
      <c r="Z32" s="17">
        <f>(PrevPeak[[#This Row],[Allemagne]]-Indices!L296)/PrevPeak[[#This Row],[Allemagne]]</f>
        <v>4.8534437291625022E-2</v>
      </c>
      <c r="AA32" s="27">
        <f>YEAR(DD[[#This Row],[Date]])</f>
        <v>2022</v>
      </c>
    </row>
    <row r="33" spans="1:27" x14ac:dyDescent="0.25">
      <c r="A33" s="1">
        <v>44602</v>
      </c>
      <c r="B33">
        <f>IF($A32="Date",Indices!B297,IF(Indices!B297&gt;=B32,Indices!B297,B32))</f>
        <v>2879.4960000000001</v>
      </c>
      <c r="C33">
        <f>IF($A32="Date",Indices!C297,IF(Indices!C297&gt;=C32,Indices!C297,C32))</f>
        <v>293.27100000000002</v>
      </c>
      <c r="D33">
        <f>IF($A32="Date",Indices!D297,IF(Indices!D297&gt;=D32,Indices!D297,D32))</f>
        <v>4363.4859999999999</v>
      </c>
      <c r="E33">
        <f>IF($A32="Date",Indices!E297,IF(Indices!E297&gt;=E32,Indices!E297,E32))</f>
        <v>435.85</v>
      </c>
      <c r="F33">
        <f>IF($A32="Date",Indices!F297,IF(Indices!F297&gt;=F32,Indices!F297,F32))</f>
        <v>182.988</v>
      </c>
      <c r="G33">
        <f>IF($A32="Date",Indices!G297,IF(Indices!G297&gt;=G32,Indices!G297,G32))</f>
        <v>288.13099999999997</v>
      </c>
      <c r="H33">
        <f>IF($A32="Date",Indices!H297,IF(Indices!H297&gt;=H32,Indices!H297,H32))</f>
        <v>104.747</v>
      </c>
      <c r="I33">
        <f>IF($A32="Date",Indices!I297,IF(Indices!I297&gt;=I32,Indices!I297,I32))</f>
        <v>5355.2011460000003</v>
      </c>
      <c r="J33">
        <f>IF($A32="Date",Indices!J297,IF(Indices!J297&gt;=J32,Indices!J297,J32))</f>
        <v>7376.3701170000004</v>
      </c>
      <c r="K33">
        <f>IF($A32="Date",Indices!K297,IF(Indices!K297&gt;=K32,Indices!K297,K32))</f>
        <v>494.35000600000001</v>
      </c>
      <c r="L33">
        <f>IF($A32="Date",Indices!L297,IF(Indices!L297&gt;=L32,Indices!L297,L32))</f>
        <v>16271.75</v>
      </c>
      <c r="O33" s="19">
        <v>44602</v>
      </c>
      <c r="P33" s="18">
        <f>(PrevPeak[[#This Row],[Chine]]-Indices!B297)/PrevPeak[[#This Row],[Chine]]</f>
        <v>3.7200260045507944E-2</v>
      </c>
      <c r="Q33" s="18">
        <f>(PrevPeak[[#This Row],[DM]]-Indices!C297)/PrevPeak[[#This Row],[DM]]</f>
        <v>6.2399623556369403E-2</v>
      </c>
      <c r="R33" s="18">
        <f>(PrevPeak[[#This Row],[EM ex China]]-Indices!D297)/PrevPeak[[#This Row],[EM ex China]]</f>
        <v>1.5699603482170015E-2</v>
      </c>
      <c r="S33" s="18">
        <f>(PrevPeak[[#This Row],[EM]]-Indices!E297)/PrevPeak[[#This Row],[EM]]</f>
        <v>1.6865894229666167E-2</v>
      </c>
      <c r="T33" s="18">
        <f>(PrevPeak[[#This Row],[Japon]]-Indices!F297)/PrevPeak[[#This Row],[Japon]]</f>
        <v>5.6189476905589494E-2</v>
      </c>
      <c r="U33" s="18">
        <f>(PrevPeak[[#This Row],[Monde]]-Indices!G297)/PrevPeak[[#This Row],[Monde]]</f>
        <v>5.5537238270092264E-2</v>
      </c>
      <c r="V33" s="18">
        <f>(PrevPeak[[#This Row],[RU]]-Indices!H297)/PrevPeak[[#This Row],[RU]]</f>
        <v>1.9093625593091947E-4</v>
      </c>
      <c r="W33" s="18">
        <f>(PrevPeak[[#This Row],[US]]-Indices!I297)/PrevPeak[[#This Row],[US]]</f>
        <v>6.4949904497947741E-2</v>
      </c>
      <c r="X33" s="18">
        <f>(PrevPeak[[#This Row],[France]]-Indices!J297)/PrevPeak[[#This Row],[France]]</f>
        <v>3.7256849594170215E-2</v>
      </c>
      <c r="Y33" s="18">
        <f>(PrevPeak[[#This Row],[Europe]]-Indices!K297)/PrevPeak[[#This Row],[Europe]]</f>
        <v>4.4502882032937612E-2</v>
      </c>
      <c r="Z33" s="18">
        <f>(PrevPeak[[#This Row],[Allemagne]]-Indices!L297)/PrevPeak[[#This Row],[Allemagne]]</f>
        <v>4.8016320924301283E-2</v>
      </c>
      <c r="AA33" s="27">
        <f>YEAR(DD[[#This Row],[Date]])</f>
        <v>2022</v>
      </c>
    </row>
    <row r="34" spans="1:27" x14ac:dyDescent="0.25">
      <c r="A34" s="1">
        <v>44603</v>
      </c>
      <c r="B34">
        <f>IF($A33="Date",Indices!B298,IF(Indices!B298&gt;=B33,Indices!B298,B33))</f>
        <v>2879.4960000000001</v>
      </c>
      <c r="C34">
        <f>IF($A33="Date",Indices!C298,IF(Indices!C298&gt;=C33,Indices!C298,C33))</f>
        <v>293.27100000000002</v>
      </c>
      <c r="D34">
        <f>IF($A33="Date",Indices!D298,IF(Indices!D298&gt;=D33,Indices!D298,D33))</f>
        <v>4363.4859999999999</v>
      </c>
      <c r="E34">
        <f>IF($A33="Date",Indices!E298,IF(Indices!E298&gt;=E33,Indices!E298,E33))</f>
        <v>435.85</v>
      </c>
      <c r="F34">
        <f>IF($A33="Date",Indices!F298,IF(Indices!F298&gt;=F33,Indices!F298,F33))</f>
        <v>182.988</v>
      </c>
      <c r="G34">
        <f>IF($A33="Date",Indices!G298,IF(Indices!G298&gt;=G33,Indices!G298,G33))</f>
        <v>288.13099999999997</v>
      </c>
      <c r="H34">
        <f>IF($A33="Date",Indices!H298,IF(Indices!H298&gt;=H33,Indices!H298,H33))</f>
        <v>105.084</v>
      </c>
      <c r="I34">
        <f>IF($A33="Date",Indices!I298,IF(Indices!I298&gt;=I33,Indices!I298,I33))</f>
        <v>5355.2011460000003</v>
      </c>
      <c r="J34">
        <f>IF($A33="Date",Indices!J298,IF(Indices!J298&gt;=J33,Indices!J298,J33))</f>
        <v>7376.3701170000004</v>
      </c>
      <c r="K34">
        <f>IF($A33="Date",Indices!K298,IF(Indices!K298&gt;=K33,Indices!K298,K33))</f>
        <v>494.35000600000001</v>
      </c>
      <c r="L34">
        <f>IF($A33="Date",Indices!L298,IF(Indices!L298&gt;=L33,Indices!L298,L33))</f>
        <v>16271.75</v>
      </c>
      <c r="O34" s="20">
        <v>44603</v>
      </c>
      <c r="P34" s="17">
        <f>(PrevPeak[[#This Row],[Chine]]-Indices!B298)/PrevPeak[[#This Row],[Chine]]</f>
        <v>4.0813392343660118E-2</v>
      </c>
      <c r="Q34" s="17">
        <f>(PrevPeak[[#This Row],[DM]]-Indices!C298)/PrevPeak[[#This Row],[DM]]</f>
        <v>7.2039171960405254E-2</v>
      </c>
      <c r="R34" s="17">
        <f>(PrevPeak[[#This Row],[EM ex China]]-Indices!D298)/PrevPeak[[#This Row],[EM ex China]]</f>
        <v>1.8259712532594233E-2</v>
      </c>
      <c r="S34" s="17">
        <f>(PrevPeak[[#This Row],[EM]]-Indices!E298)/PrevPeak[[#This Row],[EM]]</f>
        <v>1.9713204083973937E-2</v>
      </c>
      <c r="T34" s="17">
        <f>(PrevPeak[[#This Row],[Japon]]-Indices!F298)/PrevPeak[[#This Row],[Japon]]</f>
        <v>5.0281985703980556E-2</v>
      </c>
      <c r="U34" s="17">
        <f>(PrevPeak[[#This Row],[Monde]]-Indices!G298)/PrevPeak[[#This Row],[Monde]]</f>
        <v>6.4425556430928954E-2</v>
      </c>
      <c r="V34" s="17">
        <f>(PrevPeak[[#This Row],[RU]]-Indices!H298)/PrevPeak[[#This Row],[RU]]</f>
        <v>0</v>
      </c>
      <c r="W34" s="17">
        <f>(PrevPeak[[#This Row],[US]]-Indices!I298)/PrevPeak[[#This Row],[US]]</f>
        <v>8.2464297597833011E-2</v>
      </c>
      <c r="X34" s="17">
        <f>(PrevPeak[[#This Row],[France]]-Indices!J298)/PrevPeak[[#This Row],[France]]</f>
        <v>4.9451154594226616E-2</v>
      </c>
      <c r="Y34" s="17">
        <f>(PrevPeak[[#This Row],[Europe]]-Indices!K298)/PrevPeak[[#This Row],[Europe]]</f>
        <v>5.0126426012423335E-2</v>
      </c>
      <c r="Z34" s="17">
        <f>(PrevPeak[[#This Row],[Allemagne]]-Indices!L298)/PrevPeak[[#This Row],[Allemagne]]</f>
        <v>5.203065927143672E-2</v>
      </c>
      <c r="AA34" s="27">
        <f>YEAR(DD[[#This Row],[Date]])</f>
        <v>2022</v>
      </c>
    </row>
    <row r="35" spans="1:27" x14ac:dyDescent="0.25">
      <c r="A35" s="1">
        <v>44606</v>
      </c>
      <c r="B35">
        <f>IF($A34="Date",Indices!B299,IF(Indices!B299&gt;=B34,Indices!B299,B34))</f>
        <v>2879.4960000000001</v>
      </c>
      <c r="C35">
        <f>IF($A34="Date",Indices!C299,IF(Indices!C299&gt;=C34,Indices!C299,C34))</f>
        <v>293.27100000000002</v>
      </c>
      <c r="D35">
        <f>IF($A34="Date",Indices!D299,IF(Indices!D299&gt;=D34,Indices!D299,D34))</f>
        <v>4363.4859999999999</v>
      </c>
      <c r="E35">
        <f>IF($A34="Date",Indices!E299,IF(Indices!E299&gt;=E34,Indices!E299,E34))</f>
        <v>435.85</v>
      </c>
      <c r="F35">
        <f>IF($A34="Date",Indices!F299,IF(Indices!F299&gt;=F34,Indices!F299,F34))</f>
        <v>182.988</v>
      </c>
      <c r="G35">
        <f>IF($A34="Date",Indices!G299,IF(Indices!G299&gt;=G34,Indices!G299,G34))</f>
        <v>288.13099999999997</v>
      </c>
      <c r="H35">
        <f>IF($A34="Date",Indices!H299,IF(Indices!H299&gt;=H34,Indices!H299,H34))</f>
        <v>105.084</v>
      </c>
      <c r="I35">
        <f>IF($A34="Date",Indices!I299,IF(Indices!I299&gt;=I34,Indices!I299,I34))</f>
        <v>5355.2011460000003</v>
      </c>
      <c r="J35">
        <f>IF($A34="Date",Indices!J299,IF(Indices!J299&gt;=J34,Indices!J299,J34))</f>
        <v>7376.3701170000004</v>
      </c>
      <c r="K35">
        <f>IF($A34="Date",Indices!K299,IF(Indices!K299&gt;=K34,Indices!K299,K34))</f>
        <v>494.35000600000001</v>
      </c>
      <c r="L35">
        <f>IF($A34="Date",Indices!L299,IF(Indices!L299&gt;=L34,Indices!L299,L34))</f>
        <v>16271.75</v>
      </c>
      <c r="O35" s="19">
        <v>44606</v>
      </c>
      <c r="P35" s="18">
        <f>(PrevPeak[[#This Row],[Chine]]-Indices!B299)/PrevPeak[[#This Row],[Chine]]</f>
        <v>4.5983047033230778E-2</v>
      </c>
      <c r="Q35" s="18">
        <f>(PrevPeak[[#This Row],[DM]]-Indices!C299)/PrevPeak[[#This Row],[DM]]</f>
        <v>7.2779101922794937E-2</v>
      </c>
      <c r="R35" s="18">
        <f>(PrevPeak[[#This Row],[EM ex China]]-Indices!D299)/PrevPeak[[#This Row],[EM ex China]]</f>
        <v>2.5613924279807389E-2</v>
      </c>
      <c r="S35" s="18">
        <f>(PrevPeak[[#This Row],[EM]]-Indices!E299)/PrevPeak[[#This Row],[EM]]</f>
        <v>2.7486520591946811E-2</v>
      </c>
      <c r="T35" s="18">
        <f>(PrevPeak[[#This Row],[Japon]]-Indices!F299)/PrevPeak[[#This Row],[Japon]]</f>
        <v>5.7118499573742529E-2</v>
      </c>
      <c r="U35" s="18">
        <f>(PrevPeak[[#This Row],[Monde]]-Indices!G299)/PrevPeak[[#This Row],[Monde]]</f>
        <v>6.5963051528644859E-2</v>
      </c>
      <c r="V35" s="18">
        <f>(PrevPeak[[#This Row],[RU]]-Indices!H299)/PrevPeak[[#This Row],[RU]]</f>
        <v>1.5216398309923525E-2</v>
      </c>
      <c r="W35" s="18">
        <f>(PrevPeak[[#This Row],[US]]-Indices!I299)/PrevPeak[[#This Row],[US]]</f>
        <v>8.6020996119647891E-2</v>
      </c>
      <c r="X35" s="18">
        <f>(PrevPeak[[#This Row],[France]]-Indices!J299)/PrevPeak[[#This Row],[France]]</f>
        <v>7.1060686175706989E-2</v>
      </c>
      <c r="Y35" s="18">
        <f>(PrevPeak[[#This Row],[Europe]]-Indices!K299)/PrevPeak[[#This Row],[Europe]]</f>
        <v>6.7543268119228075E-2</v>
      </c>
      <c r="Z35" s="18">
        <f>(PrevPeak[[#This Row],[Allemagne]]-Indices!L299)/PrevPeak[[#This Row],[Allemagne]]</f>
        <v>7.1152781354187428E-2</v>
      </c>
      <c r="AA35" s="27">
        <f>YEAR(DD[[#This Row],[Date]])</f>
        <v>2022</v>
      </c>
    </row>
    <row r="36" spans="1:27" x14ac:dyDescent="0.25">
      <c r="A36" s="1">
        <v>44607</v>
      </c>
      <c r="B36">
        <f>IF($A35="Date",Indices!B300,IF(Indices!B300&gt;=B35,Indices!B300,B35))</f>
        <v>2879.4960000000001</v>
      </c>
      <c r="C36">
        <f>IF($A35="Date",Indices!C300,IF(Indices!C300&gt;=C35,Indices!C300,C35))</f>
        <v>293.27100000000002</v>
      </c>
      <c r="D36">
        <f>IF($A35="Date",Indices!D300,IF(Indices!D300&gt;=D35,Indices!D300,D35))</f>
        <v>4363.4859999999999</v>
      </c>
      <c r="E36">
        <f>IF($A35="Date",Indices!E300,IF(Indices!E300&gt;=E35,Indices!E300,E35))</f>
        <v>435.85</v>
      </c>
      <c r="F36">
        <f>IF($A35="Date",Indices!F300,IF(Indices!F300&gt;=F35,Indices!F300,F35))</f>
        <v>182.988</v>
      </c>
      <c r="G36">
        <f>IF($A35="Date",Indices!G300,IF(Indices!G300&gt;=G35,Indices!G300,G35))</f>
        <v>288.13099999999997</v>
      </c>
      <c r="H36">
        <f>IF($A35="Date",Indices!H300,IF(Indices!H300&gt;=H35,Indices!H300,H35))</f>
        <v>105.084</v>
      </c>
      <c r="I36">
        <f>IF($A35="Date",Indices!I300,IF(Indices!I300&gt;=I35,Indices!I300,I35))</f>
        <v>5355.2011460000003</v>
      </c>
      <c r="J36">
        <f>IF($A35="Date",Indices!J300,IF(Indices!J300&gt;=J35,Indices!J300,J35))</f>
        <v>7376.3701170000004</v>
      </c>
      <c r="K36">
        <f>IF($A35="Date",Indices!K300,IF(Indices!K300&gt;=K35,Indices!K300,K35))</f>
        <v>494.35000600000001</v>
      </c>
      <c r="L36">
        <f>IF($A35="Date",Indices!L300,IF(Indices!L300&gt;=L35,Indices!L300,L35))</f>
        <v>16271.75</v>
      </c>
      <c r="O36" s="20">
        <v>44607</v>
      </c>
      <c r="P36" s="17">
        <f>(PrevPeak[[#This Row],[Chine]]-Indices!B300)/PrevPeak[[#This Row],[Chine]]</f>
        <v>4.2503965971822801E-2</v>
      </c>
      <c r="Q36" s="17">
        <f>(PrevPeak[[#This Row],[DM]]-Indices!C300)/PrevPeak[[#This Row],[DM]]</f>
        <v>6.3576009902104325E-2</v>
      </c>
      <c r="R36" s="17">
        <f>(PrevPeak[[#This Row],[EM ex China]]-Indices!D300)/PrevPeak[[#This Row],[EM ex China]]</f>
        <v>2.1218126974625343E-2</v>
      </c>
      <c r="S36" s="17">
        <f>(PrevPeak[[#This Row],[EM]]-Indices!E300)/PrevPeak[[#This Row],[EM]]</f>
        <v>2.4747046002064933E-2</v>
      </c>
      <c r="T36" s="17">
        <f>(PrevPeak[[#This Row],[Japon]]-Indices!F300)/PrevPeak[[#This Row],[Japon]]</f>
        <v>7.156753448313552E-2</v>
      </c>
      <c r="U36" s="17">
        <f>(PrevPeak[[#This Row],[Monde]]-Indices!G300)/PrevPeak[[#This Row],[Monde]]</f>
        <v>5.7477328020934852E-2</v>
      </c>
      <c r="V36" s="17">
        <f>(PrevPeak[[#This Row],[RU]]-Indices!H300)/PrevPeak[[#This Row],[RU]]</f>
        <v>9.0403867382284914E-3</v>
      </c>
      <c r="W36" s="17">
        <f>(PrevPeak[[#This Row],[US]]-Indices!I300)/PrevPeak[[#This Row],[US]]</f>
        <v>6.9863916741849302E-2</v>
      </c>
      <c r="X36" s="17">
        <f>(PrevPeak[[#This Row],[France]]-Indices!J300)/PrevPeak[[#This Row],[France]]</f>
        <v>5.3739155670406838E-2</v>
      </c>
      <c r="Y36" s="17">
        <f>(PrevPeak[[#This Row],[Europe]]-Indices!K300)/PrevPeak[[#This Row],[Europe]]</f>
        <v>5.4192389349338857E-2</v>
      </c>
      <c r="Z36" s="17">
        <f>(PrevPeak[[#This Row],[Allemagne]]-Indices!L300)/PrevPeak[[#This Row],[Allemagne]]</f>
        <v>5.2793340605650892E-2</v>
      </c>
      <c r="AA36" s="27">
        <f>YEAR(DD[[#This Row],[Date]])</f>
        <v>2022</v>
      </c>
    </row>
    <row r="37" spans="1:27" x14ac:dyDescent="0.25">
      <c r="A37" s="1">
        <v>44608</v>
      </c>
      <c r="B37">
        <f>IF($A36="Date",Indices!B301,IF(Indices!B301&gt;=B36,Indices!B301,B36))</f>
        <v>2879.4960000000001</v>
      </c>
      <c r="C37">
        <f>IF($A36="Date",Indices!C301,IF(Indices!C301&gt;=C36,Indices!C301,C36))</f>
        <v>293.27100000000002</v>
      </c>
      <c r="D37">
        <f>IF($A36="Date",Indices!D301,IF(Indices!D301&gt;=D36,Indices!D301,D36))</f>
        <v>4363.4859999999999</v>
      </c>
      <c r="E37">
        <f>IF($A36="Date",Indices!E301,IF(Indices!E301&gt;=E36,Indices!E301,E36))</f>
        <v>435.85</v>
      </c>
      <c r="F37">
        <f>IF($A36="Date",Indices!F301,IF(Indices!F301&gt;=F36,Indices!F301,F36))</f>
        <v>182.988</v>
      </c>
      <c r="G37">
        <f>IF($A36="Date",Indices!G301,IF(Indices!G301&gt;=G36,Indices!G301,G36))</f>
        <v>288.13099999999997</v>
      </c>
      <c r="H37">
        <f>IF($A36="Date",Indices!H301,IF(Indices!H301&gt;=H36,Indices!H301,H36))</f>
        <v>105.084</v>
      </c>
      <c r="I37">
        <f>IF($A36="Date",Indices!I301,IF(Indices!I301&gt;=I36,Indices!I301,I36))</f>
        <v>5355.2011460000003</v>
      </c>
      <c r="J37">
        <f>IF($A36="Date",Indices!J301,IF(Indices!J301&gt;=J36,Indices!J301,J36))</f>
        <v>7376.3701170000004</v>
      </c>
      <c r="K37">
        <f>IF($A36="Date",Indices!K301,IF(Indices!K301&gt;=K36,Indices!K301,K36))</f>
        <v>494.35000600000001</v>
      </c>
      <c r="L37">
        <f>IF($A36="Date",Indices!L301,IF(Indices!L301&gt;=L36,Indices!L301,L36))</f>
        <v>16271.75</v>
      </c>
      <c r="O37" s="19">
        <v>44608</v>
      </c>
      <c r="P37" s="18">
        <f>(PrevPeak[[#This Row],[Chine]]-Indices!B301)/PrevPeak[[#This Row],[Chine]]</f>
        <v>3.3844117164948374E-2</v>
      </c>
      <c r="Q37" s="18">
        <f>(PrevPeak[[#This Row],[DM]]-Indices!C301)/PrevPeak[[#This Row],[DM]]</f>
        <v>6.2385984294389803E-2</v>
      </c>
      <c r="R37" s="18">
        <f>(PrevPeak[[#This Row],[EM ex China]]-Indices!D301)/PrevPeak[[#This Row],[EM ex China]]</f>
        <v>1.0058242423603541E-2</v>
      </c>
      <c r="S37" s="18">
        <f>(PrevPeak[[#This Row],[EM]]-Indices!E301)/PrevPeak[[#This Row],[EM]]</f>
        <v>1.3428931972008737E-2</v>
      </c>
      <c r="T37" s="18">
        <f>(PrevPeak[[#This Row],[Japon]]-Indices!F301)/PrevPeak[[#This Row],[Japon]]</f>
        <v>5.3407873740354536E-2</v>
      </c>
      <c r="U37" s="18">
        <f>(PrevPeak[[#This Row],[Monde]]-Indices!G301)/PrevPeak[[#This Row],[Monde]]</f>
        <v>5.5134643616965788E-2</v>
      </c>
      <c r="V37" s="18">
        <f>(PrevPeak[[#This Row],[RU]]-Indices!H301)/PrevPeak[[#This Row],[RU]]</f>
        <v>6.0427848197632857E-3</v>
      </c>
      <c r="W37" s="18">
        <f>(PrevPeak[[#This Row],[US]]-Indices!I301)/PrevPeak[[#This Row],[US]]</f>
        <v>6.9459285068654758E-2</v>
      </c>
      <c r="X37" s="18">
        <f>(PrevPeak[[#This Row],[France]]-Indices!J301)/PrevPeak[[#This Row],[France]]</f>
        <v>5.5771352369085619E-2</v>
      </c>
      <c r="Y37" s="18">
        <f>(PrevPeak[[#This Row],[Europe]]-Indices!K301)/PrevPeak[[#This Row],[Europe]]</f>
        <v>5.3767607317476186E-2</v>
      </c>
      <c r="Z37" s="18">
        <f>(PrevPeak[[#This Row],[Allemagne]]-Indices!L301)/PrevPeak[[#This Row],[Allemagne]]</f>
        <v>5.3815950343386598E-2</v>
      </c>
      <c r="AA37" s="27">
        <f>YEAR(DD[[#This Row],[Date]])</f>
        <v>2022</v>
      </c>
    </row>
    <row r="38" spans="1:27" x14ac:dyDescent="0.25">
      <c r="A38" s="1">
        <v>44609</v>
      </c>
      <c r="B38">
        <f>IF($A37="Date",Indices!B302,IF(Indices!B302&gt;=B37,Indices!B302,B37))</f>
        <v>2879.4960000000001</v>
      </c>
      <c r="C38">
        <f>IF($A37="Date",Indices!C302,IF(Indices!C302&gt;=C37,Indices!C302,C37))</f>
        <v>293.27100000000002</v>
      </c>
      <c r="D38">
        <f>IF($A37="Date",Indices!D302,IF(Indices!D302&gt;=D37,Indices!D302,D37))</f>
        <v>4363.4859999999999</v>
      </c>
      <c r="E38">
        <f>IF($A37="Date",Indices!E302,IF(Indices!E302&gt;=E37,Indices!E302,E37))</f>
        <v>435.85</v>
      </c>
      <c r="F38">
        <f>IF($A37="Date",Indices!F302,IF(Indices!F302&gt;=F37,Indices!F302,F37))</f>
        <v>182.988</v>
      </c>
      <c r="G38">
        <f>IF($A37="Date",Indices!G302,IF(Indices!G302&gt;=G37,Indices!G302,G37))</f>
        <v>288.13099999999997</v>
      </c>
      <c r="H38">
        <f>IF($A37="Date",Indices!H302,IF(Indices!H302&gt;=H37,Indices!H302,H37))</f>
        <v>105.084</v>
      </c>
      <c r="I38">
        <f>IF($A37="Date",Indices!I302,IF(Indices!I302&gt;=I37,Indices!I302,I37))</f>
        <v>5355.2011460000003</v>
      </c>
      <c r="J38">
        <f>IF($A37="Date",Indices!J302,IF(Indices!J302&gt;=J37,Indices!J302,J37))</f>
        <v>7376.3701170000004</v>
      </c>
      <c r="K38">
        <f>IF($A37="Date",Indices!K302,IF(Indices!K302&gt;=K37,Indices!K302,K37))</f>
        <v>494.35000600000001</v>
      </c>
      <c r="L38">
        <f>IF($A37="Date",Indices!L302,IF(Indices!L302&gt;=L37,Indices!L302,L37))</f>
        <v>16271.75</v>
      </c>
      <c r="O38" s="20">
        <v>44609</v>
      </c>
      <c r="P38" s="17">
        <f>(PrevPeak[[#This Row],[Chine]]-Indices!B302)/PrevPeak[[#This Row],[Chine]]</f>
        <v>3.1069673303939348E-2</v>
      </c>
      <c r="Q38" s="17">
        <f>(PrevPeak[[#This Row],[DM]]-Indices!C302)/PrevPeak[[#This Row],[DM]]</f>
        <v>7.8398477858363139E-2</v>
      </c>
      <c r="R38" s="17">
        <f>(PrevPeak[[#This Row],[EM ex China]]-Indices!D302)/PrevPeak[[#This Row],[EM ex China]]</f>
        <v>1.3370273217331153E-2</v>
      </c>
      <c r="S38" s="17">
        <f>(PrevPeak[[#This Row],[EM]]-Indices!E302)/PrevPeak[[#This Row],[EM]]</f>
        <v>1.4782608695652266E-2</v>
      </c>
      <c r="T38" s="17">
        <f>(PrevPeak[[#This Row],[Japon]]-Indices!F302)/PrevPeak[[#This Row],[Japon]]</f>
        <v>5.7424530570310675E-2</v>
      </c>
      <c r="U38" s="17">
        <f>(PrevPeak[[#This Row],[Monde]]-Indices!G302)/PrevPeak[[#This Row],[Monde]]</f>
        <v>6.9513519891993572E-2</v>
      </c>
      <c r="V38" s="17">
        <f>(PrevPeak[[#This Row],[RU]]-Indices!H302)/PrevPeak[[#This Row],[RU]]</f>
        <v>1.1847664725362609E-2</v>
      </c>
      <c r="W38" s="17">
        <f>(PrevPeak[[#This Row],[US]]-Indices!I302)/PrevPeak[[#This Row],[US]]</f>
        <v>9.0329838564760553E-2</v>
      </c>
      <c r="X38" s="17">
        <f>(PrevPeak[[#This Row],[France]]-Indices!J302)/PrevPeak[[#This Row],[France]]</f>
        <v>5.8233289027896568E-2</v>
      </c>
      <c r="Y38" s="17">
        <f>(PrevPeak[[#This Row],[Europe]]-Indices!K302)/PrevPeak[[#This Row],[Europe]]</f>
        <v>6.0281212983337197E-2</v>
      </c>
      <c r="Z38" s="17">
        <f>(PrevPeak[[#This Row],[Allemagne]]-Indices!L302)/PrevPeak[[#This Row],[Allemagne]]</f>
        <v>6.1709411710479792E-2</v>
      </c>
      <c r="AA38" s="27">
        <f>YEAR(DD[[#This Row],[Date]])</f>
        <v>2022</v>
      </c>
    </row>
    <row r="39" spans="1:27" x14ac:dyDescent="0.25">
      <c r="A39" s="1">
        <v>44610</v>
      </c>
      <c r="B39">
        <f>IF($A38="Date",Indices!B303,IF(Indices!B303&gt;=B38,Indices!B303,B38))</f>
        <v>2879.4960000000001</v>
      </c>
      <c r="C39">
        <f>IF($A38="Date",Indices!C303,IF(Indices!C303&gt;=C38,Indices!C303,C38))</f>
        <v>293.27100000000002</v>
      </c>
      <c r="D39">
        <f>IF($A38="Date",Indices!D303,IF(Indices!D303&gt;=D38,Indices!D303,D38))</f>
        <v>4363.4859999999999</v>
      </c>
      <c r="E39">
        <f>IF($A38="Date",Indices!E303,IF(Indices!E303&gt;=E38,Indices!E303,E38))</f>
        <v>435.85</v>
      </c>
      <c r="F39">
        <f>IF($A38="Date",Indices!F303,IF(Indices!F303&gt;=F38,Indices!F303,F38))</f>
        <v>182.988</v>
      </c>
      <c r="G39">
        <f>IF($A38="Date",Indices!G303,IF(Indices!G303&gt;=G38,Indices!G303,G38))</f>
        <v>288.13099999999997</v>
      </c>
      <c r="H39">
        <f>IF($A38="Date",Indices!H303,IF(Indices!H303&gt;=H38,Indices!H303,H38))</f>
        <v>105.084</v>
      </c>
      <c r="I39">
        <f>IF($A38="Date",Indices!I303,IF(Indices!I303&gt;=I38,Indices!I303,I38))</f>
        <v>5355.2011460000003</v>
      </c>
      <c r="J39">
        <f>IF($A38="Date",Indices!J303,IF(Indices!J303&gt;=J38,Indices!J303,J38))</f>
        <v>7376.3701170000004</v>
      </c>
      <c r="K39">
        <f>IF($A38="Date",Indices!K303,IF(Indices!K303&gt;=K38,Indices!K303,K38))</f>
        <v>494.35000600000001</v>
      </c>
      <c r="L39">
        <f>IF($A38="Date",Indices!L303,IF(Indices!L303&gt;=L38,Indices!L303,L38))</f>
        <v>16271.75</v>
      </c>
      <c r="O39" s="19">
        <v>44610</v>
      </c>
      <c r="P39" s="18">
        <f>(PrevPeak[[#This Row],[Chine]]-Indices!B303)/PrevPeak[[#This Row],[Chine]]</f>
        <v>3.6638008873775219E-2</v>
      </c>
      <c r="Q39" s="18">
        <f>(PrevPeak[[#This Row],[DM]]-Indices!C303)/PrevPeak[[#This Row],[DM]]</f>
        <v>8.4031493055910761E-2</v>
      </c>
      <c r="R39" s="18">
        <f>(PrevPeak[[#This Row],[EM ex China]]-Indices!D303)/PrevPeak[[#This Row],[EM ex China]]</f>
        <v>1.5735125539534184E-2</v>
      </c>
      <c r="S39" s="18">
        <f>(PrevPeak[[#This Row],[EM]]-Indices!E303)/PrevPeak[[#This Row],[EM]]</f>
        <v>2.1294023173110029E-2</v>
      </c>
      <c r="T39" s="18">
        <f>(PrevPeak[[#This Row],[Japon]]-Indices!F303)/PrevPeak[[#This Row],[Japon]]</f>
        <v>5.9998469845017235E-2</v>
      </c>
      <c r="U39" s="18">
        <f>(PrevPeak[[#This Row],[Monde]]-Indices!G303)/PrevPeak[[#This Row],[Monde]]</f>
        <v>7.525743498616938E-2</v>
      </c>
      <c r="V39" s="18">
        <f>(PrevPeak[[#This Row],[RU]]-Indices!H303)/PrevPeak[[#This Row],[RU]]</f>
        <v>1.4131551901336067E-2</v>
      </c>
      <c r="W39" s="18">
        <f>(PrevPeak[[#This Row],[US]]-Indices!I303)/PrevPeak[[#This Row],[US]]</f>
        <v>9.7634425625737334E-2</v>
      </c>
      <c r="X39" s="18">
        <f>(PrevPeak[[#This Row],[France]]-Indices!J303)/PrevPeak[[#This Row],[France]]</f>
        <v>6.0563695545918707E-2</v>
      </c>
      <c r="Y39" s="18">
        <f>(PrevPeak[[#This Row],[Europe]]-Indices!K303)/PrevPeak[[#This Row],[Europe]]</f>
        <v>6.7846682700353808E-2</v>
      </c>
      <c r="Z39" s="18">
        <f>(PrevPeak[[#This Row],[Allemagne]]-Indices!L303)/PrevPeak[[#This Row],[Allemagne]]</f>
        <v>7.5544439288951673E-2</v>
      </c>
      <c r="AA39" s="27">
        <f>YEAR(DD[[#This Row],[Date]])</f>
        <v>2022</v>
      </c>
    </row>
    <row r="40" spans="1:27" x14ac:dyDescent="0.25">
      <c r="A40" s="1">
        <v>44613</v>
      </c>
      <c r="B40">
        <f>IF($A39="Date",Indices!B304,IF(Indices!B304&gt;=B39,Indices!B304,B39))</f>
        <v>2879.4960000000001</v>
      </c>
      <c r="C40">
        <f>IF($A39="Date",Indices!C304,IF(Indices!C304&gt;=C39,Indices!C304,C39))</f>
        <v>293.27100000000002</v>
      </c>
      <c r="D40">
        <f>IF($A39="Date",Indices!D304,IF(Indices!D304&gt;=D39,Indices!D304,D39))</f>
        <v>4363.4859999999999</v>
      </c>
      <c r="E40">
        <f>IF($A39="Date",Indices!E304,IF(Indices!E304&gt;=E39,Indices!E304,E39))</f>
        <v>435.85</v>
      </c>
      <c r="F40">
        <f>IF($A39="Date",Indices!F304,IF(Indices!F304&gt;=F39,Indices!F304,F39))</f>
        <v>182.988</v>
      </c>
      <c r="G40">
        <f>IF($A39="Date",Indices!G304,IF(Indices!G304&gt;=G39,Indices!G304,G39))</f>
        <v>288.13099999999997</v>
      </c>
      <c r="H40">
        <f>IF($A39="Date",Indices!H304,IF(Indices!H304&gt;=H39,Indices!H304,H39))</f>
        <v>105.084</v>
      </c>
      <c r="I40">
        <f>IF($A39="Date",Indices!I304,IF(Indices!I304&gt;=I39,Indices!I304,I39))</f>
        <v>5355.2011460000003</v>
      </c>
      <c r="J40">
        <f>IF($A39="Date",Indices!J304,IF(Indices!J304&gt;=J39,Indices!J304,J39))</f>
        <v>7376.3701170000004</v>
      </c>
      <c r="K40">
        <f>IF($A39="Date",Indices!K304,IF(Indices!K304&gt;=K39,Indices!K304,K39))</f>
        <v>494.35000600000001</v>
      </c>
      <c r="L40">
        <f>IF($A39="Date",Indices!L304,IF(Indices!L304&gt;=L39,Indices!L304,L39))</f>
        <v>16271.75</v>
      </c>
      <c r="O40" s="20">
        <v>44613</v>
      </c>
      <c r="P40" s="17">
        <f>(PrevPeak[[#This Row],[Chine]]-Indices!B304)/PrevPeak[[#This Row],[Chine]]</f>
        <v>4.5805585421893252E-2</v>
      </c>
      <c r="Q40" s="17">
        <f>(PrevPeak[[#This Row],[DM]]-Indices!C304)/PrevPeak[[#This Row],[DM]]</f>
        <v>8.5947809364035371E-2</v>
      </c>
      <c r="R40" s="17">
        <f>(PrevPeak[[#This Row],[EM ex China]]-Indices!D304)/PrevPeak[[#This Row],[EM ex China]]</f>
        <v>2.3218591740640466E-2</v>
      </c>
      <c r="S40" s="17">
        <f>(PrevPeak[[#This Row],[EM]]-Indices!E304)/PrevPeak[[#This Row],[EM]]</f>
        <v>3.0606860158311416E-2</v>
      </c>
      <c r="T40" s="17">
        <f>(PrevPeak[[#This Row],[Japon]]-Indices!F304)/PrevPeak[[#This Row],[Japon]]</f>
        <v>6.3643517607711905E-2</v>
      </c>
      <c r="U40" s="17">
        <f>(PrevPeak[[#This Row],[Monde]]-Indices!G304)/PrevPeak[[#This Row],[Monde]]</f>
        <v>7.8013125973949188E-2</v>
      </c>
      <c r="V40" s="17">
        <f>(PrevPeak[[#This Row],[RU]]-Indices!H304)/PrevPeak[[#This Row],[RU]]</f>
        <v>1.4778653267861874E-2</v>
      </c>
      <c r="W40" s="17">
        <f>(PrevPeak[[#This Row],[US]]-Indices!I304)/PrevPeak[[#This Row],[US]]</f>
        <v>9.7634425625737334E-2</v>
      </c>
      <c r="X40" s="17">
        <f>(PrevPeak[[#This Row],[France]]-Indices!J304)/PrevPeak[[#This Row],[France]]</f>
        <v>7.9718108456189374E-2</v>
      </c>
      <c r="Y40" s="17">
        <f>(PrevPeak[[#This Row],[Europe]]-Indices!K304)/PrevPeak[[#This Row],[Europe]]</f>
        <v>7.9983832345700431E-2</v>
      </c>
      <c r="Z40" s="17">
        <f>(PrevPeak[[#This Row],[Allemagne]]-Indices!L304)/PrevPeak[[#This Row],[Allemagne]]</f>
        <v>9.4681265383256288E-2</v>
      </c>
      <c r="AA40" s="27">
        <f>YEAR(DD[[#This Row],[Date]])</f>
        <v>2022</v>
      </c>
    </row>
    <row r="41" spans="1:27" x14ac:dyDescent="0.25">
      <c r="A41" s="1">
        <v>44614</v>
      </c>
      <c r="B41">
        <f>IF($A40="Date",Indices!B305,IF(Indices!B305&gt;=B40,Indices!B305,B40))</f>
        <v>2879.4960000000001</v>
      </c>
      <c r="C41">
        <f>IF($A40="Date",Indices!C305,IF(Indices!C305&gt;=C40,Indices!C305,C40))</f>
        <v>293.27100000000002</v>
      </c>
      <c r="D41">
        <f>IF($A40="Date",Indices!D305,IF(Indices!D305&gt;=D40,Indices!D305,D40))</f>
        <v>4363.4859999999999</v>
      </c>
      <c r="E41">
        <f>IF($A40="Date",Indices!E305,IF(Indices!E305&gt;=E40,Indices!E305,E40))</f>
        <v>435.85</v>
      </c>
      <c r="F41">
        <f>IF($A40="Date",Indices!F305,IF(Indices!F305&gt;=F40,Indices!F305,F40))</f>
        <v>182.988</v>
      </c>
      <c r="G41">
        <f>IF($A40="Date",Indices!G305,IF(Indices!G305&gt;=G40,Indices!G305,G40))</f>
        <v>288.13099999999997</v>
      </c>
      <c r="H41">
        <f>IF($A40="Date",Indices!H305,IF(Indices!H305&gt;=H40,Indices!H305,H40))</f>
        <v>105.084</v>
      </c>
      <c r="I41">
        <f>IF($A40="Date",Indices!I305,IF(Indices!I305&gt;=I40,Indices!I305,I40))</f>
        <v>5355.2011460000003</v>
      </c>
      <c r="J41">
        <f>IF($A40="Date",Indices!J305,IF(Indices!J305&gt;=J40,Indices!J305,J40))</f>
        <v>7376.3701170000004</v>
      </c>
      <c r="K41">
        <f>IF($A40="Date",Indices!K305,IF(Indices!K305&gt;=K40,Indices!K305,K40))</f>
        <v>494.35000600000001</v>
      </c>
      <c r="L41">
        <f>IF($A40="Date",Indices!L305,IF(Indices!L305&gt;=L40,Indices!L305,L40))</f>
        <v>16271.75</v>
      </c>
      <c r="O41" s="19">
        <v>44614</v>
      </c>
      <c r="P41" s="18">
        <f>(PrevPeak[[#This Row],[Chine]]-Indices!B305)/PrevPeak[[#This Row],[Chine]]</f>
        <v>6.1867771304422767E-2</v>
      </c>
      <c r="Q41" s="18">
        <f>(PrevPeak[[#This Row],[DM]]-Indices!C305)/PrevPeak[[#This Row],[DM]]</f>
        <v>9.3896089282609035E-2</v>
      </c>
      <c r="R41" s="18">
        <f>(PrevPeak[[#This Row],[EM ex China]]-Indices!D305)/PrevPeak[[#This Row],[EM ex China]]</f>
        <v>2.8832910200697309E-2</v>
      </c>
      <c r="S41" s="18">
        <f>(PrevPeak[[#This Row],[EM]]-Indices!E305)/PrevPeak[[#This Row],[EM]]</f>
        <v>4.0679132729149976E-2</v>
      </c>
      <c r="T41" s="18">
        <f>(PrevPeak[[#This Row],[Japon]]-Indices!F305)/PrevPeak[[#This Row],[Japon]]</f>
        <v>8.0387784991365605E-2</v>
      </c>
      <c r="U41" s="18">
        <f>(PrevPeak[[#This Row],[Monde]]-Indices!G305)/PrevPeak[[#This Row],[Monde]]</f>
        <v>8.621772735318306E-2</v>
      </c>
      <c r="V41" s="18">
        <f>(PrevPeak[[#This Row],[RU]]-Indices!H305)/PrevPeak[[#This Row],[RU]]</f>
        <v>1.4426553994899369E-2</v>
      </c>
      <c r="W41" s="18">
        <f>(PrevPeak[[#This Row],[US]]-Indices!I305)/PrevPeak[[#This Row],[US]]</f>
        <v>0.10758077433381254</v>
      </c>
      <c r="X41" s="18">
        <f>(PrevPeak[[#This Row],[France]]-Indices!J305)/PrevPeak[[#This Row],[France]]</f>
        <v>7.9818394367588433E-2</v>
      </c>
      <c r="Y41" s="18">
        <f>(PrevPeak[[#This Row],[Europe]]-Indices!K305)/PrevPeak[[#This Row],[Europe]]</f>
        <v>7.9356752349265647E-2</v>
      </c>
      <c r="Z41" s="18">
        <f>(PrevPeak[[#This Row],[Allemagne]]-Indices!L305)/PrevPeak[[#This Row],[Allemagne]]</f>
        <v>9.7023983283912305E-2</v>
      </c>
      <c r="AA41" s="27">
        <f>YEAR(DD[[#This Row],[Date]])</f>
        <v>2022</v>
      </c>
    </row>
    <row r="42" spans="1:27" x14ac:dyDescent="0.25">
      <c r="A42" s="1">
        <v>44615</v>
      </c>
      <c r="B42">
        <f>IF($A41="Date",Indices!B306,IF(Indices!B306&gt;=B41,Indices!B306,B41))</f>
        <v>2879.4960000000001</v>
      </c>
      <c r="C42">
        <f>IF($A41="Date",Indices!C306,IF(Indices!C306&gt;=C41,Indices!C306,C41))</f>
        <v>293.27100000000002</v>
      </c>
      <c r="D42">
        <f>IF($A41="Date",Indices!D306,IF(Indices!D306&gt;=D41,Indices!D306,D41))</f>
        <v>4363.4859999999999</v>
      </c>
      <c r="E42">
        <f>IF($A41="Date",Indices!E306,IF(Indices!E306&gt;=E41,Indices!E306,E41))</f>
        <v>435.85</v>
      </c>
      <c r="F42">
        <f>IF($A41="Date",Indices!F306,IF(Indices!F306&gt;=F41,Indices!F306,F41))</f>
        <v>182.988</v>
      </c>
      <c r="G42">
        <f>IF($A41="Date",Indices!G306,IF(Indices!G306&gt;=G41,Indices!G306,G41))</f>
        <v>288.13099999999997</v>
      </c>
      <c r="H42">
        <f>IF($A41="Date",Indices!H306,IF(Indices!H306&gt;=H41,Indices!H306,H41))</f>
        <v>105.084</v>
      </c>
      <c r="I42">
        <f>IF($A41="Date",Indices!I306,IF(Indices!I306&gt;=I41,Indices!I306,I41))</f>
        <v>5355.2011460000003</v>
      </c>
      <c r="J42">
        <f>IF($A41="Date",Indices!J306,IF(Indices!J306&gt;=J41,Indices!J306,J41))</f>
        <v>7376.3701170000004</v>
      </c>
      <c r="K42">
        <f>IF($A41="Date",Indices!K306,IF(Indices!K306&gt;=K41,Indices!K306,K41))</f>
        <v>494.35000600000001</v>
      </c>
      <c r="L42">
        <f>IF($A41="Date",Indices!L306,IF(Indices!L306&gt;=L41,Indices!L306,L41))</f>
        <v>16271.75</v>
      </c>
      <c r="O42" s="20">
        <v>44615</v>
      </c>
      <c r="P42" s="17">
        <f>(PrevPeak[[#This Row],[Chine]]-Indices!B306)/PrevPeak[[#This Row],[Chine]]</f>
        <v>5.3323915018461655E-2</v>
      </c>
      <c r="Q42" s="17">
        <f>(PrevPeak[[#This Row],[DM]]-Indices!C306)/PrevPeak[[#This Row],[DM]]</f>
        <v>0.1054894619652131</v>
      </c>
      <c r="R42" s="17">
        <f>(PrevPeak[[#This Row],[EM ex China]]-Indices!D306)/PrevPeak[[#This Row],[EM ex China]]</f>
        <v>2.8939018023662649E-2</v>
      </c>
      <c r="S42" s="17">
        <f>(PrevPeak[[#This Row],[EM]]-Indices!E306)/PrevPeak[[#This Row],[EM]]</f>
        <v>3.9651256166112279E-2</v>
      </c>
      <c r="T42" s="17">
        <f>(PrevPeak[[#This Row],[Japon]]-Indices!F306)/PrevPeak[[#This Row],[Japon]]</f>
        <v>7.9338535860274992E-2</v>
      </c>
      <c r="U42" s="17">
        <f>(PrevPeak[[#This Row],[Monde]]-Indices!G306)/PrevPeak[[#This Row],[Monde]]</f>
        <v>9.6400595562434993E-2</v>
      </c>
      <c r="V42" s="17">
        <f>(PrevPeak[[#This Row],[RU]]-Indices!H306)/PrevPeak[[#This Row],[RU]]</f>
        <v>1.4854782840394418E-2</v>
      </c>
      <c r="W42" s="17">
        <f>(PrevPeak[[#This Row],[US]]-Indices!I306)/PrevPeak[[#This Row],[US]]</f>
        <v>0.1244291717217227</v>
      </c>
      <c r="X42" s="17">
        <f>(PrevPeak[[#This Row],[France]]-Indices!J306)/PrevPeak[[#This Row],[France]]</f>
        <v>8.0757904708050901E-2</v>
      </c>
      <c r="Y42" s="17">
        <f>(PrevPeak[[#This Row],[Europe]]-Indices!K306)/PrevPeak[[#This Row],[Europe]]</f>
        <v>8.1905574003371229E-2</v>
      </c>
      <c r="Z42" s="17">
        <f>(PrevPeak[[#This Row],[Allemagne]]-Indices!L306)/PrevPeak[[#This Row],[Allemagne]]</f>
        <v>0.10081212223639124</v>
      </c>
      <c r="AA42" s="27">
        <f>YEAR(DD[[#This Row],[Date]])</f>
        <v>2022</v>
      </c>
    </row>
    <row r="43" spans="1:27" x14ac:dyDescent="0.25">
      <c r="A43" s="1">
        <v>44616</v>
      </c>
      <c r="B43">
        <f>IF($A42="Date",Indices!B307,IF(Indices!B307&gt;=B42,Indices!B307,B42))</f>
        <v>2879.4960000000001</v>
      </c>
      <c r="C43">
        <f>IF($A42="Date",Indices!C307,IF(Indices!C307&gt;=C42,Indices!C307,C42))</f>
        <v>293.27100000000002</v>
      </c>
      <c r="D43">
        <f>IF($A42="Date",Indices!D307,IF(Indices!D307&gt;=D42,Indices!D307,D42))</f>
        <v>4363.4859999999999</v>
      </c>
      <c r="E43">
        <f>IF($A42="Date",Indices!E307,IF(Indices!E307&gt;=E42,Indices!E307,E42))</f>
        <v>435.85</v>
      </c>
      <c r="F43">
        <f>IF($A42="Date",Indices!F307,IF(Indices!F307&gt;=F42,Indices!F307,F42))</f>
        <v>182.988</v>
      </c>
      <c r="G43">
        <f>IF($A42="Date",Indices!G307,IF(Indices!G307&gt;=G42,Indices!G307,G42))</f>
        <v>288.13099999999997</v>
      </c>
      <c r="H43">
        <f>IF($A42="Date",Indices!H307,IF(Indices!H307&gt;=H42,Indices!H307,H42))</f>
        <v>105.084</v>
      </c>
      <c r="I43">
        <f>IF($A42="Date",Indices!I307,IF(Indices!I307&gt;=I42,Indices!I307,I42))</f>
        <v>5355.2011460000003</v>
      </c>
      <c r="J43">
        <f>IF($A42="Date",Indices!J307,IF(Indices!J307&gt;=J42,Indices!J307,J42))</f>
        <v>7376.3701170000004</v>
      </c>
      <c r="K43">
        <f>IF($A42="Date",Indices!K307,IF(Indices!K307&gt;=K42,Indices!K307,K42))</f>
        <v>494.35000600000001</v>
      </c>
      <c r="L43">
        <f>IF($A42="Date",Indices!L307,IF(Indices!L307&gt;=L42,Indices!L307,L42))</f>
        <v>16271.75</v>
      </c>
      <c r="O43" s="19">
        <v>44616</v>
      </c>
      <c r="P43" s="18">
        <f>(PrevPeak[[#This Row],[Chine]]-Indices!B307)/PrevPeak[[#This Row],[Chine]]</f>
        <v>5.9669817218013135E-2</v>
      </c>
      <c r="Q43" s="18">
        <f>(PrevPeak[[#This Row],[DM]]-Indices!C307)/PrevPeak[[#This Row],[DM]]</f>
        <v>8.9606541390045369E-2</v>
      </c>
      <c r="R43" s="18">
        <f>(PrevPeak[[#This Row],[EM ex China]]-Indices!D307)/PrevPeak[[#This Row],[EM ex China]]</f>
        <v>5.960326216240857E-2</v>
      </c>
      <c r="S43" s="18">
        <f>(PrevPeak[[#This Row],[EM]]-Indices!E307)/PrevPeak[[#This Row],[EM]]</f>
        <v>6.3620511643914288E-2</v>
      </c>
      <c r="T43" s="18">
        <f>(PrevPeak[[#This Row],[Japon]]-Indices!F307)/PrevPeak[[#This Row],[Japon]]</f>
        <v>7.8879489365422856E-2</v>
      </c>
      <c r="U43" s="18">
        <f>(PrevPeak[[#This Row],[Monde]]-Indices!G307)/PrevPeak[[#This Row],[Monde]]</f>
        <v>8.5013414037364773E-2</v>
      </c>
      <c r="V43" s="18">
        <f>(PrevPeak[[#This Row],[RU]]-Indices!H307)/PrevPeak[[#This Row],[RU]]</f>
        <v>5.4499257736667847E-2</v>
      </c>
      <c r="W43" s="18">
        <f>(PrevPeak[[#This Row],[US]]-Indices!I307)/PrevPeak[[#This Row],[US]]</f>
        <v>0.10932287024125908</v>
      </c>
      <c r="X43" s="18">
        <f>(PrevPeak[[#This Row],[France]]-Indices!J307)/PrevPeak[[#This Row],[France]]</f>
        <v>0.11595409373897618</v>
      </c>
      <c r="Y43" s="18">
        <f>(PrevPeak[[#This Row],[Europe]]-Indices!K307)/PrevPeak[[#This Row],[Europe]]</f>
        <v>0.11204615015216568</v>
      </c>
      <c r="Z43" s="18">
        <f>(PrevPeak[[#This Row],[Allemagne]]-Indices!L307)/PrevPeak[[#This Row],[Allemagne]]</f>
        <v>0.13641128889025461</v>
      </c>
      <c r="AA43" s="27">
        <f>YEAR(DD[[#This Row],[Date]])</f>
        <v>2022</v>
      </c>
    </row>
    <row r="44" spans="1:27" x14ac:dyDescent="0.25">
      <c r="A44" s="1">
        <v>44617</v>
      </c>
      <c r="B44">
        <f>IF($A43="Date",Indices!B308,IF(Indices!B308&gt;=B43,Indices!B308,B43))</f>
        <v>2879.4960000000001</v>
      </c>
      <c r="C44">
        <f>IF($A43="Date",Indices!C308,IF(Indices!C308&gt;=C43,Indices!C308,C43))</f>
        <v>293.27100000000002</v>
      </c>
      <c r="D44">
        <f>IF($A43="Date",Indices!D308,IF(Indices!D308&gt;=D43,Indices!D308,D43))</f>
        <v>4363.4859999999999</v>
      </c>
      <c r="E44">
        <f>IF($A43="Date",Indices!E308,IF(Indices!E308&gt;=E43,Indices!E308,E43))</f>
        <v>435.85</v>
      </c>
      <c r="F44">
        <f>IF($A43="Date",Indices!F308,IF(Indices!F308&gt;=F43,Indices!F308,F43))</f>
        <v>182.988</v>
      </c>
      <c r="G44">
        <f>IF($A43="Date",Indices!G308,IF(Indices!G308&gt;=G43,Indices!G308,G43))</f>
        <v>288.13099999999997</v>
      </c>
      <c r="H44">
        <f>IF($A43="Date",Indices!H308,IF(Indices!H308&gt;=H43,Indices!H308,H43))</f>
        <v>105.084</v>
      </c>
      <c r="I44">
        <f>IF($A43="Date",Indices!I308,IF(Indices!I308&gt;=I43,Indices!I308,I43))</f>
        <v>5355.2011460000003</v>
      </c>
      <c r="J44">
        <f>IF($A43="Date",Indices!J308,IF(Indices!J308&gt;=J43,Indices!J308,J43))</f>
        <v>7376.3701170000004</v>
      </c>
      <c r="K44">
        <f>IF($A43="Date",Indices!K308,IF(Indices!K308&gt;=K43,Indices!K308,K43))</f>
        <v>494.35000600000001</v>
      </c>
      <c r="L44">
        <f>IF($A43="Date",Indices!L308,IF(Indices!L308&gt;=L43,Indices!L308,L43))</f>
        <v>16271.75</v>
      </c>
      <c r="O44" s="20">
        <v>44617</v>
      </c>
      <c r="P44" s="17">
        <f>(PrevPeak[[#This Row],[Chine]]-Indices!B308)/PrevPeak[[#This Row],[Chine]]</f>
        <v>6.5052009101592784E-2</v>
      </c>
      <c r="Q44" s="17">
        <f>(PrevPeak[[#This Row],[DM]]-Indices!C308)/PrevPeak[[#This Row],[DM]]</f>
        <v>7.7259599483072025E-2</v>
      </c>
      <c r="R44" s="17">
        <f>(PrevPeak[[#This Row],[EM ex China]]-Indices!D308)/PrevPeak[[#This Row],[EM ex China]]</f>
        <v>5.1044279734139122E-2</v>
      </c>
      <c r="S44" s="17">
        <f>(PrevPeak[[#This Row],[EM]]-Indices!E308)/PrevPeak[[#This Row],[EM]]</f>
        <v>6.0846621544109296E-2</v>
      </c>
      <c r="T44" s="17">
        <f>(PrevPeak[[#This Row],[Japon]]-Indices!F308)/PrevPeak[[#This Row],[Japon]]</f>
        <v>7.9294817146479499E-2</v>
      </c>
      <c r="U44" s="17">
        <f>(PrevPeak[[#This Row],[Monde]]-Indices!G308)/PrevPeak[[#This Row],[Monde]]</f>
        <v>7.3730351819137729E-2</v>
      </c>
      <c r="V44" s="17">
        <f>(PrevPeak[[#This Row],[RU]]-Indices!H308)/PrevPeak[[#This Row],[RU]]</f>
        <v>1.8899166381180808E-2</v>
      </c>
      <c r="W44" s="17">
        <f>(PrevPeak[[#This Row],[US]]-Indices!I308)/PrevPeak[[#This Row],[US]]</f>
        <v>8.9154661605310326E-2</v>
      </c>
      <c r="X44" s="17">
        <f>(PrevPeak[[#This Row],[France]]-Indices!J308)/PrevPeak[[#This Row],[France]]</f>
        <v>8.4586311573768946E-2</v>
      </c>
      <c r="Y44" s="17">
        <f>(PrevPeak[[#This Row],[Europe]]-Indices!K308)/PrevPeak[[#This Row],[Europe]]</f>
        <v>8.2573088913849499E-2</v>
      </c>
      <c r="Z44" s="17">
        <f>(PrevPeak[[#This Row],[Allemagne]]-Indices!L308)/PrevPeak[[#This Row],[Allemagne]]</f>
        <v>0.10475330127367982</v>
      </c>
      <c r="AA44" s="27">
        <f>YEAR(DD[[#This Row],[Date]])</f>
        <v>2022</v>
      </c>
    </row>
    <row r="45" spans="1:27" x14ac:dyDescent="0.25">
      <c r="A45" s="1">
        <v>44620</v>
      </c>
      <c r="B45">
        <f>IF($A44="Date",Indices!B309,IF(Indices!B309&gt;=B44,Indices!B309,B44))</f>
        <v>2879.4960000000001</v>
      </c>
      <c r="C45">
        <f>IF($A44="Date",Indices!C309,IF(Indices!C309&gt;=C44,Indices!C309,C44))</f>
        <v>293.27100000000002</v>
      </c>
      <c r="D45">
        <f>IF($A44="Date",Indices!D309,IF(Indices!D309&gt;=D44,Indices!D309,D44))</f>
        <v>4363.4859999999999</v>
      </c>
      <c r="E45">
        <f>IF($A44="Date",Indices!E309,IF(Indices!E309&gt;=E44,Indices!E309,E44))</f>
        <v>435.85</v>
      </c>
      <c r="F45">
        <f>IF($A44="Date",Indices!F309,IF(Indices!F309&gt;=F44,Indices!F309,F44))</f>
        <v>182.988</v>
      </c>
      <c r="G45">
        <f>IF($A44="Date",Indices!G309,IF(Indices!G309&gt;=G44,Indices!G309,G44))</f>
        <v>288.13099999999997</v>
      </c>
      <c r="H45">
        <f>IF($A44="Date",Indices!H309,IF(Indices!H309&gt;=H44,Indices!H309,H44))</f>
        <v>105.084</v>
      </c>
      <c r="I45">
        <f>IF($A44="Date",Indices!I309,IF(Indices!I309&gt;=I44,Indices!I309,I44))</f>
        <v>5355.2011460000003</v>
      </c>
      <c r="J45">
        <f>IF($A44="Date",Indices!J309,IF(Indices!J309&gt;=J44,Indices!J309,J44))</f>
        <v>7376.3701170000004</v>
      </c>
      <c r="K45">
        <f>IF($A44="Date",Indices!K309,IF(Indices!K309&gt;=K44,Indices!K309,K44))</f>
        <v>494.35000600000001</v>
      </c>
      <c r="L45">
        <f>IF($A44="Date",Indices!L309,IF(Indices!L309&gt;=L44,Indices!L309,L44))</f>
        <v>16271.75</v>
      </c>
      <c r="O45" s="19">
        <v>44620</v>
      </c>
      <c r="P45" s="18">
        <f>(PrevPeak[[#This Row],[Chine]]-Indices!B309)/PrevPeak[[#This Row],[Chine]]</f>
        <v>6.0805085334378027E-2</v>
      </c>
      <c r="Q45" s="18">
        <f>(PrevPeak[[#This Row],[DM]]-Indices!C309)/PrevPeak[[#This Row],[DM]]</f>
        <v>7.685042162368598E-2</v>
      </c>
      <c r="R45" s="18">
        <f>(PrevPeak[[#This Row],[EM ex China]]-Indices!D309)/PrevPeak[[#This Row],[EM ex China]]</f>
        <v>5.1770992275442171E-2</v>
      </c>
      <c r="S45" s="18">
        <f>(PrevPeak[[#This Row],[EM]]-Indices!E309)/PrevPeak[[#This Row],[EM]]</f>
        <v>6.0261557875415948E-2</v>
      </c>
      <c r="T45" s="18">
        <f>(PrevPeak[[#This Row],[Japon]]-Indices!F309)/PrevPeak[[#This Row],[Japon]]</f>
        <v>7.1791592891337144E-2</v>
      </c>
      <c r="U45" s="18">
        <f>(PrevPeak[[#This Row],[Monde]]-Indices!G309)/PrevPeak[[#This Row],[Monde]]</f>
        <v>7.3299992017519633E-2</v>
      </c>
      <c r="V45" s="18">
        <f>(PrevPeak[[#This Row],[RU]]-Indices!H309)/PrevPeak[[#This Row],[RU]]</f>
        <v>2.1335312702219219E-2</v>
      </c>
      <c r="W45" s="18">
        <f>(PrevPeak[[#This Row],[US]]-Indices!I309)/PrevPeak[[#This Row],[US]]</f>
        <v>9.0260316432939441E-2</v>
      </c>
      <c r="X45" s="18">
        <f>(PrevPeak[[#This Row],[France]]-Indices!J309)/PrevPeak[[#This Row],[France]]</f>
        <v>9.7275492907591091E-2</v>
      </c>
      <c r="Y45" s="18">
        <f>(PrevPeak[[#This Row],[Europe]]-Indices!K309)/PrevPeak[[#This Row],[Europe]]</f>
        <v>8.3422717709039557E-2</v>
      </c>
      <c r="Z45" s="18">
        <f>(PrevPeak[[#This Row],[Allemagne]]-Indices!L309)/PrevPeak[[#This Row],[Allemagne]]</f>
        <v>0.11128062255135436</v>
      </c>
      <c r="AA45" s="27">
        <f>YEAR(DD[[#This Row],[Date]])</f>
        <v>2022</v>
      </c>
    </row>
    <row r="46" spans="1:27" x14ac:dyDescent="0.25">
      <c r="A46" s="1">
        <v>44621</v>
      </c>
      <c r="B46">
        <f>IF($A45="Date",Indices!B310,IF(Indices!B310&gt;=B45,Indices!B310,B45))</f>
        <v>2879.4960000000001</v>
      </c>
      <c r="C46">
        <f>IF($A45="Date",Indices!C310,IF(Indices!C310&gt;=C45,Indices!C310,C45))</f>
        <v>293.27100000000002</v>
      </c>
      <c r="D46">
        <f>IF($A45="Date",Indices!D310,IF(Indices!D310&gt;=D45,Indices!D310,D45))</f>
        <v>4363.4859999999999</v>
      </c>
      <c r="E46">
        <f>IF($A45="Date",Indices!E310,IF(Indices!E310&gt;=E45,Indices!E310,E45))</f>
        <v>435.85</v>
      </c>
      <c r="F46">
        <f>IF($A45="Date",Indices!F310,IF(Indices!F310&gt;=F45,Indices!F310,F45))</f>
        <v>182.988</v>
      </c>
      <c r="G46">
        <f>IF($A45="Date",Indices!G310,IF(Indices!G310&gt;=G45,Indices!G310,G45))</f>
        <v>288.13099999999997</v>
      </c>
      <c r="H46">
        <f>IF($A45="Date",Indices!H310,IF(Indices!H310&gt;=H45,Indices!H310,H45))</f>
        <v>105.084</v>
      </c>
      <c r="I46">
        <f>IF($A45="Date",Indices!I310,IF(Indices!I310&gt;=I45,Indices!I310,I45))</f>
        <v>5355.2011460000003</v>
      </c>
      <c r="J46">
        <f>IF($A45="Date",Indices!J310,IF(Indices!J310&gt;=J45,Indices!J310,J45))</f>
        <v>7376.3701170000004</v>
      </c>
      <c r="K46">
        <f>IF($A45="Date",Indices!K310,IF(Indices!K310&gt;=K45,Indices!K310,K45))</f>
        <v>494.35000600000001</v>
      </c>
      <c r="L46">
        <f>IF($A45="Date",Indices!L310,IF(Indices!L310&gt;=L45,Indices!L310,L45))</f>
        <v>16271.75</v>
      </c>
      <c r="O46" s="20">
        <v>44621</v>
      </c>
      <c r="P46" s="17">
        <f>(PrevPeak[[#This Row],[Chine]]-Indices!B310)/PrevPeak[[#This Row],[Chine]]</f>
        <v>4.7247851707382188E-2</v>
      </c>
      <c r="Q46" s="17">
        <f>(PrevPeak[[#This Row],[DM]]-Indices!C310)/PrevPeak[[#This Row],[DM]]</f>
        <v>8.4096279550313568E-2</v>
      </c>
      <c r="R46" s="17">
        <f>(PrevPeak[[#This Row],[EM ex China]]-Indices!D310)/PrevPeak[[#This Row],[EM ex China]]</f>
        <v>4.0963119854171684E-2</v>
      </c>
      <c r="S46" s="17">
        <f>(PrevPeak[[#This Row],[EM]]-Indices!E310)/PrevPeak[[#This Row],[EM]]</f>
        <v>4.8486864747046089E-2</v>
      </c>
      <c r="T46" s="17">
        <f>(PrevPeak[[#This Row],[Japon]]-Indices!F310)/PrevPeak[[#This Row],[Japon]]</f>
        <v>5.5763219446083936E-2</v>
      </c>
      <c r="U46" s="17">
        <f>(PrevPeak[[#This Row],[Monde]]-Indices!G310)/PrevPeak[[#This Row],[Monde]]</f>
        <v>7.8391426122145794E-2</v>
      </c>
      <c r="V46" s="17">
        <f>(PrevPeak[[#This Row],[RU]]-Indices!H310)/PrevPeak[[#This Row],[RU]]</f>
        <v>3.2983137299684141E-2</v>
      </c>
      <c r="W46" s="17">
        <f>(PrevPeak[[#This Row],[US]]-Indices!I310)/PrevPeak[[#This Row],[US]]</f>
        <v>0.10465538748598111</v>
      </c>
      <c r="X46" s="17">
        <f>(PrevPeak[[#This Row],[France]]-Indices!J310)/PrevPeak[[#This Row],[France]]</f>
        <v>0.13284038998283368</v>
      </c>
      <c r="Y46" s="17">
        <f>(PrevPeak[[#This Row],[Europe]]-Indices!K310)/PrevPeak[[#This Row],[Europe]]</f>
        <v>0.10514819534562722</v>
      </c>
      <c r="Z46" s="17">
        <f>(PrevPeak[[#This Row],[Allemagne]]-Indices!L310)/PrevPeak[[#This Row],[Allemagne]]</f>
        <v>0.14546071504294256</v>
      </c>
      <c r="AA46" s="27">
        <f>YEAR(DD[[#This Row],[Date]])</f>
        <v>2022</v>
      </c>
    </row>
    <row r="47" spans="1:27" x14ac:dyDescent="0.25">
      <c r="A47" s="1">
        <v>44622</v>
      </c>
      <c r="B47">
        <f>IF($A46="Date",Indices!B311,IF(Indices!B311&gt;=B46,Indices!B311,B46))</f>
        <v>2879.4960000000001</v>
      </c>
      <c r="C47">
        <f>IF($A46="Date",Indices!C311,IF(Indices!C311&gt;=C46,Indices!C311,C46))</f>
        <v>293.27100000000002</v>
      </c>
      <c r="D47">
        <f>IF($A46="Date",Indices!D311,IF(Indices!D311&gt;=D46,Indices!D311,D46))</f>
        <v>4363.4859999999999</v>
      </c>
      <c r="E47">
        <f>IF($A46="Date",Indices!E311,IF(Indices!E311&gt;=E46,Indices!E311,E46))</f>
        <v>435.85</v>
      </c>
      <c r="F47">
        <f>IF($A46="Date",Indices!F311,IF(Indices!F311&gt;=F46,Indices!F311,F46))</f>
        <v>182.988</v>
      </c>
      <c r="G47">
        <f>IF($A46="Date",Indices!G311,IF(Indices!G311&gt;=G46,Indices!G311,G46))</f>
        <v>288.13099999999997</v>
      </c>
      <c r="H47">
        <f>IF($A46="Date",Indices!H311,IF(Indices!H311&gt;=H46,Indices!H311,H46))</f>
        <v>105.084</v>
      </c>
      <c r="I47">
        <f>IF($A46="Date",Indices!I311,IF(Indices!I311&gt;=I46,Indices!I311,I46))</f>
        <v>5355.2011460000003</v>
      </c>
      <c r="J47">
        <f>IF($A46="Date",Indices!J311,IF(Indices!J311&gt;=J46,Indices!J311,J46))</f>
        <v>7376.3701170000004</v>
      </c>
      <c r="K47">
        <f>IF($A46="Date",Indices!K311,IF(Indices!K311&gt;=K46,Indices!K311,K46))</f>
        <v>494.35000600000001</v>
      </c>
      <c r="L47">
        <f>IF($A46="Date",Indices!L311,IF(Indices!L311&gt;=L46,Indices!L311,L46))</f>
        <v>16271.75</v>
      </c>
      <c r="O47" s="19">
        <v>44622</v>
      </c>
      <c r="P47" s="18">
        <f>(PrevPeak[[#This Row],[Chine]]-Indices!B311)/PrevPeak[[#This Row],[Chine]]</f>
        <v>5.1087759802409857E-2</v>
      </c>
      <c r="Q47" s="18">
        <f>(PrevPeak[[#This Row],[DM]]-Indices!C311)/PrevPeak[[#This Row],[DM]]</f>
        <v>6.7442740673302151E-2</v>
      </c>
      <c r="R47" s="18">
        <f>(PrevPeak[[#This Row],[EM ex China]]-Indices!D311)/PrevPeak[[#This Row],[EM ex China]]</f>
        <v>3.8090645873505642E-2</v>
      </c>
      <c r="S47" s="18">
        <f>(PrevPeak[[#This Row],[EM]]-Indices!E311)/PrevPeak[[#This Row],[EM]]</f>
        <v>4.8658942296661754E-2</v>
      </c>
      <c r="T47" s="18">
        <f>(PrevPeak[[#This Row],[Japon]]-Indices!F311)/PrevPeak[[#This Row],[Japon]]</f>
        <v>7.4250770542330591E-2</v>
      </c>
      <c r="U47" s="18">
        <f>(PrevPeak[[#This Row],[Monde]]-Indices!G311)/PrevPeak[[#This Row],[Monde]]</f>
        <v>6.3623837768237351E-2</v>
      </c>
      <c r="V47" s="18">
        <f>(PrevPeak[[#This Row],[RU]]-Indices!H311)/PrevPeak[[#This Row],[RU]]</f>
        <v>1.576833771078372E-2</v>
      </c>
      <c r="W47" s="18">
        <f>(PrevPeak[[#This Row],[US]]-Indices!I311)/PrevPeak[[#This Row],[US]]</f>
        <v>8.7629523188035296E-2</v>
      </c>
      <c r="X47" s="18">
        <f>(PrevPeak[[#This Row],[France]]-Indices!J311)/PrevPeak[[#This Row],[France]]</f>
        <v>0.11907619643104744</v>
      </c>
      <c r="Y47" s="18">
        <f>(PrevPeak[[#This Row],[Europe]]-Indices!K311)/PrevPeak[[#This Row],[Europe]]</f>
        <v>9.7137692762564648E-2</v>
      </c>
      <c r="Z47" s="18">
        <f>(PrevPeak[[#This Row],[Allemagne]]-Indices!L311)/PrevPeak[[#This Row],[Allemagne]]</f>
        <v>0.13960635149876313</v>
      </c>
      <c r="AA47" s="27">
        <f>YEAR(DD[[#This Row],[Date]])</f>
        <v>2022</v>
      </c>
    </row>
    <row r="48" spans="1:27" x14ac:dyDescent="0.25">
      <c r="A48" s="1">
        <v>44623</v>
      </c>
      <c r="B48">
        <f>IF($A47="Date",Indices!B312,IF(Indices!B312&gt;=B47,Indices!B312,B47))</f>
        <v>2879.4960000000001</v>
      </c>
      <c r="C48">
        <f>IF($A47="Date",Indices!C312,IF(Indices!C312&gt;=C47,Indices!C312,C47))</f>
        <v>293.27100000000002</v>
      </c>
      <c r="D48">
        <f>IF($A47="Date",Indices!D312,IF(Indices!D312&gt;=D47,Indices!D312,D47))</f>
        <v>4363.4859999999999</v>
      </c>
      <c r="E48">
        <f>IF($A47="Date",Indices!E312,IF(Indices!E312&gt;=E47,Indices!E312,E47))</f>
        <v>435.85</v>
      </c>
      <c r="F48">
        <f>IF($A47="Date",Indices!F312,IF(Indices!F312&gt;=F47,Indices!F312,F47))</f>
        <v>182.988</v>
      </c>
      <c r="G48">
        <f>IF($A47="Date",Indices!G312,IF(Indices!G312&gt;=G47,Indices!G312,G47))</f>
        <v>288.13099999999997</v>
      </c>
      <c r="H48">
        <f>IF($A47="Date",Indices!H312,IF(Indices!H312&gt;=H47,Indices!H312,H47))</f>
        <v>105.084</v>
      </c>
      <c r="I48">
        <f>IF($A47="Date",Indices!I312,IF(Indices!I312&gt;=I47,Indices!I312,I47))</f>
        <v>5355.2011460000003</v>
      </c>
      <c r="J48">
        <f>IF($A47="Date",Indices!J312,IF(Indices!J312&gt;=J47,Indices!J312,J47))</f>
        <v>7376.3701170000004</v>
      </c>
      <c r="K48">
        <f>IF($A47="Date",Indices!K312,IF(Indices!K312&gt;=K47,Indices!K312,K47))</f>
        <v>494.35000600000001</v>
      </c>
      <c r="L48">
        <f>IF($A47="Date",Indices!L312,IF(Indices!L312&gt;=L47,Indices!L312,L47))</f>
        <v>16271.75</v>
      </c>
      <c r="O48" s="20">
        <v>44623</v>
      </c>
      <c r="P48" s="17">
        <f>(PrevPeak[[#This Row],[Chine]]-Indices!B312)/PrevPeak[[#This Row],[Chine]]</f>
        <v>5.9108955178267371E-2</v>
      </c>
      <c r="Q48" s="17">
        <f>(PrevPeak[[#This Row],[DM]]-Indices!C312)/PrevPeak[[#This Row],[DM]]</f>
        <v>7.3880472327642444E-2</v>
      </c>
      <c r="R48" s="17">
        <f>(PrevPeak[[#This Row],[EM ex China]]-Indices!D312)/PrevPeak[[#This Row],[EM ex China]]</f>
        <v>2.850152378167364E-2</v>
      </c>
      <c r="S48" s="17">
        <f>(PrevPeak[[#This Row],[EM]]-Indices!E312)/PrevPeak[[#This Row],[EM]]</f>
        <v>4.484570379717804E-2</v>
      </c>
      <c r="T48" s="17">
        <f>(PrevPeak[[#This Row],[Japon]]-Indices!F312)/PrevPeak[[#This Row],[Japon]]</f>
        <v>6.3485037270203451E-2</v>
      </c>
      <c r="U48" s="17">
        <f>(PrevPeak[[#This Row],[Monde]]-Indices!G312)/PrevPeak[[#This Row],[Monde]]</f>
        <v>6.8906157268742302E-2</v>
      </c>
      <c r="V48" s="17">
        <f>(PrevPeak[[#This Row],[RU]]-Indices!H312)/PrevPeak[[#This Row],[RU]]</f>
        <v>3.8112367249057991E-2</v>
      </c>
      <c r="W48" s="17">
        <f>(PrevPeak[[#This Row],[US]]-Indices!I312)/PrevPeak[[#This Row],[US]]</f>
        <v>9.4537201348290981E-2</v>
      </c>
      <c r="X48" s="17">
        <f>(PrevPeak[[#This Row],[France]]-Indices!J312)/PrevPeak[[#This Row],[France]]</f>
        <v>0.13529689863310312</v>
      </c>
      <c r="Y48" s="17">
        <f>(PrevPeak[[#This Row],[Europe]]-Indices!K312)/PrevPeak[[#This Row],[Europe]]</f>
        <v>0.11528273552807444</v>
      </c>
      <c r="Z48" s="17">
        <f>(PrevPeak[[#This Row],[Allemagne]]-Indices!L312)/PrevPeak[[#This Row],[Allemagne]]</f>
        <v>0.15814830058229751</v>
      </c>
      <c r="AA48" s="27">
        <f>YEAR(DD[[#This Row],[Date]])</f>
        <v>2022</v>
      </c>
    </row>
    <row r="49" spans="1:27" x14ac:dyDescent="0.25">
      <c r="A49" s="1">
        <v>44624</v>
      </c>
      <c r="B49">
        <f>IF($A48="Date",Indices!B313,IF(Indices!B313&gt;=B48,Indices!B313,B48))</f>
        <v>2879.4960000000001</v>
      </c>
      <c r="C49">
        <f>IF($A48="Date",Indices!C313,IF(Indices!C313&gt;=C48,Indices!C313,C48))</f>
        <v>293.27100000000002</v>
      </c>
      <c r="D49">
        <f>IF($A48="Date",Indices!D313,IF(Indices!D313&gt;=D48,Indices!D313,D48))</f>
        <v>4363.4859999999999</v>
      </c>
      <c r="E49">
        <f>IF($A48="Date",Indices!E313,IF(Indices!E313&gt;=E48,Indices!E313,E48))</f>
        <v>435.85</v>
      </c>
      <c r="F49">
        <f>IF($A48="Date",Indices!F313,IF(Indices!F313&gt;=F48,Indices!F313,F48))</f>
        <v>182.988</v>
      </c>
      <c r="G49">
        <f>IF($A48="Date",Indices!G313,IF(Indices!G313&gt;=G48,Indices!G313,G48))</f>
        <v>288.13099999999997</v>
      </c>
      <c r="H49">
        <f>IF($A48="Date",Indices!H313,IF(Indices!H313&gt;=H48,Indices!H313,H48))</f>
        <v>105.084</v>
      </c>
      <c r="I49">
        <f>IF($A48="Date",Indices!I313,IF(Indices!I313&gt;=I48,Indices!I313,I48))</f>
        <v>5355.2011460000003</v>
      </c>
      <c r="J49">
        <f>IF($A48="Date",Indices!J313,IF(Indices!J313&gt;=J48,Indices!J313,J48))</f>
        <v>7376.3701170000004</v>
      </c>
      <c r="K49">
        <f>IF($A48="Date",Indices!K313,IF(Indices!K313&gt;=K48,Indices!K313,K48))</f>
        <v>494.35000600000001</v>
      </c>
      <c r="L49">
        <f>IF($A48="Date",Indices!L313,IF(Indices!L313&gt;=L48,Indices!L313,L48))</f>
        <v>16271.75</v>
      </c>
      <c r="O49" s="19">
        <v>44624</v>
      </c>
      <c r="P49" s="18">
        <f>(PrevPeak[[#This Row],[Chine]]-Indices!B313)/PrevPeak[[#This Row],[Chine]]</f>
        <v>6.7950432992440343E-2</v>
      </c>
      <c r="Q49" s="18">
        <f>(PrevPeak[[#This Row],[DM]]-Indices!C313)/PrevPeak[[#This Row],[DM]]</f>
        <v>7.6396916162866521E-2</v>
      </c>
      <c r="R49" s="18">
        <f>(PrevPeak[[#This Row],[EM ex China]]-Indices!D313)/PrevPeak[[#This Row],[EM ex China]]</f>
        <v>3.5921966977778753E-2</v>
      </c>
      <c r="S49" s="18">
        <f>(PrevPeak[[#This Row],[EM]]-Indices!E313)/PrevPeak[[#This Row],[EM]]</f>
        <v>5.5156590570150328E-2</v>
      </c>
      <c r="T49" s="18">
        <f>(PrevPeak[[#This Row],[Japon]]-Indices!F313)/PrevPeak[[#This Row],[Japon]]</f>
        <v>6.3419459199510295E-2</v>
      </c>
      <c r="U49" s="18">
        <f>(PrevPeak[[#This Row],[Monde]]-Indices!G313)/PrevPeak[[#This Row],[Monde]]</f>
        <v>7.2314329246071951E-2</v>
      </c>
      <c r="V49" s="18">
        <f>(PrevPeak[[#This Row],[RU]]-Indices!H313)/PrevPeak[[#This Row],[RU]]</f>
        <v>6.6974991435423056E-2</v>
      </c>
      <c r="W49" s="18">
        <f>(PrevPeak[[#This Row],[US]]-Indices!I313)/PrevPeak[[#This Row],[US]]</f>
        <v>0.10349805934255006</v>
      </c>
      <c r="X49" s="18">
        <f>(PrevPeak[[#This Row],[France]]-Indices!J313)/PrevPeak[[#This Row],[France]]</f>
        <v>0.17823264561658117</v>
      </c>
      <c r="Y49" s="18">
        <f>(PrevPeak[[#This Row],[Europe]]-Indices!K313)/PrevPeak[[#This Row],[Europe]]</f>
        <v>0.14679883912047537</v>
      </c>
      <c r="Z49" s="18">
        <f>(PrevPeak[[#This Row],[Allemagne]]-Indices!L313)/PrevPeak[[#This Row],[Allemagne]]</f>
        <v>0.195259265905634</v>
      </c>
      <c r="AA49" s="27">
        <f>YEAR(DD[[#This Row],[Date]])</f>
        <v>2022</v>
      </c>
    </row>
    <row r="50" spans="1:27" x14ac:dyDescent="0.25">
      <c r="A50" s="1">
        <v>44627</v>
      </c>
      <c r="B50">
        <f>IF($A49="Date",Indices!B314,IF(Indices!B314&gt;=B49,Indices!B314,B49))</f>
        <v>2879.4960000000001</v>
      </c>
      <c r="C50">
        <f>IF($A49="Date",Indices!C314,IF(Indices!C314&gt;=C49,Indices!C314,C49))</f>
        <v>293.27100000000002</v>
      </c>
      <c r="D50">
        <f>IF($A49="Date",Indices!D314,IF(Indices!D314&gt;=D49,Indices!D314,D49))</f>
        <v>4363.4859999999999</v>
      </c>
      <c r="E50">
        <f>IF($A49="Date",Indices!E314,IF(Indices!E314&gt;=E49,Indices!E314,E49))</f>
        <v>435.85</v>
      </c>
      <c r="F50">
        <f>IF($A49="Date",Indices!F314,IF(Indices!F314&gt;=F49,Indices!F314,F49))</f>
        <v>182.988</v>
      </c>
      <c r="G50">
        <f>IF($A49="Date",Indices!G314,IF(Indices!G314&gt;=G49,Indices!G314,G49))</f>
        <v>288.13099999999997</v>
      </c>
      <c r="H50">
        <f>IF($A49="Date",Indices!H314,IF(Indices!H314&gt;=H49,Indices!H314,H49))</f>
        <v>105.084</v>
      </c>
      <c r="I50">
        <f>IF($A49="Date",Indices!I314,IF(Indices!I314&gt;=I49,Indices!I314,I49))</f>
        <v>5355.2011460000003</v>
      </c>
      <c r="J50">
        <f>IF($A49="Date",Indices!J314,IF(Indices!J314&gt;=J49,Indices!J314,J49))</f>
        <v>7376.3701170000004</v>
      </c>
      <c r="K50">
        <f>IF($A49="Date",Indices!K314,IF(Indices!K314&gt;=K49,Indices!K314,K49))</f>
        <v>494.35000600000001</v>
      </c>
      <c r="L50">
        <f>IF($A49="Date",Indices!L314,IF(Indices!L314&gt;=L49,Indices!L314,L49))</f>
        <v>16271.75</v>
      </c>
      <c r="O50" s="20">
        <v>44627</v>
      </c>
      <c r="P50" s="17">
        <f>(PrevPeak[[#This Row],[Chine]]-Indices!B314)/PrevPeak[[#This Row],[Chine]]</f>
        <v>9.6797842400197898E-2</v>
      </c>
      <c r="Q50" s="17">
        <f>(PrevPeak[[#This Row],[DM]]-Indices!C314)/PrevPeak[[#This Row],[DM]]</f>
        <v>9.7305904777492597E-2</v>
      </c>
      <c r="R50" s="17">
        <f>(PrevPeak[[#This Row],[EM ex China]]-Indices!D314)/PrevPeak[[#This Row],[EM ex China]]</f>
        <v>6.1443763083002888E-2</v>
      </c>
      <c r="S50" s="17">
        <f>(PrevPeak[[#This Row],[EM]]-Indices!E314)/PrevPeak[[#This Row],[EM]]</f>
        <v>8.2496271653091702E-2</v>
      </c>
      <c r="T50" s="17">
        <f>(PrevPeak[[#This Row],[Japon]]-Indices!F314)/PrevPeak[[#This Row],[Japon]]</f>
        <v>9.0705401447089495E-2</v>
      </c>
      <c r="U50" s="17">
        <f>(PrevPeak[[#This Row],[Monde]]-Indices!G314)/PrevPeak[[#This Row],[Monde]]</f>
        <v>9.3995439574360184E-2</v>
      </c>
      <c r="V50" s="17">
        <f>(PrevPeak[[#This Row],[RU]]-Indices!H314)/PrevPeak[[#This Row],[RU]]</f>
        <v>7.1923413650032422E-2</v>
      </c>
      <c r="W50" s="17">
        <f>(PrevPeak[[#This Row],[US]]-Indices!I314)/PrevPeak[[#This Row],[US]]</f>
        <v>0.13106986980765037</v>
      </c>
      <c r="X50" s="17">
        <f>(PrevPeak[[#This Row],[France]]-Indices!J314)/PrevPeak[[#This Row],[France]]</f>
        <v>0.18899541032886602</v>
      </c>
      <c r="Y50" s="17">
        <f>(PrevPeak[[#This Row],[Europe]]-Indices!K314)/PrevPeak[[#This Row],[Europe]]</f>
        <v>0.15620511795846934</v>
      </c>
      <c r="Z50" s="17">
        <f>(PrevPeak[[#This Row],[Allemagne]]-Indices!L314)/PrevPeak[[#This Row],[Allemagne]]</f>
        <v>0.21123109745417668</v>
      </c>
      <c r="AA50" s="27">
        <f>YEAR(DD[[#This Row],[Date]])</f>
        <v>2022</v>
      </c>
    </row>
    <row r="51" spans="1:27" x14ac:dyDescent="0.25">
      <c r="A51" s="1">
        <v>44628</v>
      </c>
      <c r="B51">
        <f>IF($A50="Date",Indices!B315,IF(Indices!B315&gt;=B50,Indices!B315,B50))</f>
        <v>2879.4960000000001</v>
      </c>
      <c r="C51">
        <f>IF($A50="Date",Indices!C315,IF(Indices!C315&gt;=C50,Indices!C315,C50))</f>
        <v>293.27100000000002</v>
      </c>
      <c r="D51">
        <f>IF($A50="Date",Indices!D315,IF(Indices!D315&gt;=D50,Indices!D315,D50))</f>
        <v>4363.4859999999999</v>
      </c>
      <c r="E51">
        <f>IF($A50="Date",Indices!E315,IF(Indices!E315&gt;=E50,Indices!E315,E50))</f>
        <v>435.85</v>
      </c>
      <c r="F51">
        <f>IF($A50="Date",Indices!F315,IF(Indices!F315&gt;=F50,Indices!F315,F50))</f>
        <v>182.988</v>
      </c>
      <c r="G51">
        <f>IF($A50="Date",Indices!G315,IF(Indices!G315&gt;=G50,Indices!G315,G50))</f>
        <v>288.13099999999997</v>
      </c>
      <c r="H51">
        <f>IF($A50="Date",Indices!H315,IF(Indices!H315&gt;=H50,Indices!H315,H50))</f>
        <v>105.084</v>
      </c>
      <c r="I51">
        <f>IF($A50="Date",Indices!I315,IF(Indices!I315&gt;=I50,Indices!I315,I50))</f>
        <v>5355.2011460000003</v>
      </c>
      <c r="J51">
        <f>IF($A50="Date",Indices!J315,IF(Indices!J315&gt;=J50,Indices!J315,J50))</f>
        <v>7376.3701170000004</v>
      </c>
      <c r="K51">
        <f>IF($A50="Date",Indices!K315,IF(Indices!K315&gt;=K50,Indices!K315,K50))</f>
        <v>494.35000600000001</v>
      </c>
      <c r="L51">
        <f>IF($A50="Date",Indices!L315,IF(Indices!L315&gt;=L50,Indices!L315,L50))</f>
        <v>16271.75</v>
      </c>
      <c r="O51" s="19">
        <v>44628</v>
      </c>
      <c r="P51" s="18">
        <f>(PrevPeak[[#This Row],[Chine]]-Indices!B315)/PrevPeak[[#This Row],[Chine]]</f>
        <v>0.11591993876706207</v>
      </c>
      <c r="Q51" s="18">
        <f>(PrevPeak[[#This Row],[DM]]-Indices!C315)/PrevPeak[[#This Row],[DM]]</f>
        <v>0.10446310750125318</v>
      </c>
      <c r="R51" s="18">
        <f>(PrevPeak[[#This Row],[EM ex China]]-Indices!D315)/PrevPeak[[#This Row],[EM ex China]]</f>
        <v>6.6766113148982273E-2</v>
      </c>
      <c r="S51" s="18">
        <f>(PrevPeak[[#This Row],[EM]]-Indices!E315)/PrevPeak[[#This Row],[EM]]</f>
        <v>9.1985774922565197E-2</v>
      </c>
      <c r="T51" s="18">
        <f>(PrevPeak[[#This Row],[Japon]]-Indices!F315)/PrevPeak[[#This Row],[Japon]]</f>
        <v>0.10877215992305504</v>
      </c>
      <c r="U51" s="18">
        <f>(PrevPeak[[#This Row],[Monde]]-Indices!G315)/PrevPeak[[#This Row],[Monde]]</f>
        <v>0.10143302872651676</v>
      </c>
      <c r="V51" s="18">
        <f>(PrevPeak[[#This Row],[RU]]-Indices!H315)/PrevPeak[[#This Row],[RU]]</f>
        <v>7.2580031213124827E-2</v>
      </c>
      <c r="W51" s="18">
        <f>(PrevPeak[[#This Row],[US]]-Indices!I315)/PrevPeak[[#This Row],[US]]</f>
        <v>0.13576749391441079</v>
      </c>
      <c r="X51" s="18">
        <f>(PrevPeak[[#This Row],[France]]-Indices!J315)/PrevPeak[[#This Row],[France]]</f>
        <v>0.19161323707748554</v>
      </c>
      <c r="Y51" s="18">
        <f>(PrevPeak[[#This Row],[Europe]]-Indices!K315)/PrevPeak[[#This Row],[Europe]]</f>
        <v>0.16049356738553369</v>
      </c>
      <c r="Z51" s="18">
        <f>(PrevPeak[[#This Row],[Allemagne]]-Indices!L315)/PrevPeak[[#This Row],[Allemagne]]</f>
        <v>0.21142410804000794</v>
      </c>
      <c r="AA51" s="27">
        <f>YEAR(DD[[#This Row],[Date]])</f>
        <v>2022</v>
      </c>
    </row>
    <row r="52" spans="1:27" x14ac:dyDescent="0.25">
      <c r="A52" s="1">
        <v>44629</v>
      </c>
      <c r="B52">
        <f>IF($A51="Date",Indices!B316,IF(Indices!B316&gt;=B51,Indices!B316,B51))</f>
        <v>2879.4960000000001</v>
      </c>
      <c r="C52">
        <f>IF($A51="Date",Indices!C316,IF(Indices!C316&gt;=C51,Indices!C316,C51))</f>
        <v>293.27100000000002</v>
      </c>
      <c r="D52">
        <f>IF($A51="Date",Indices!D316,IF(Indices!D316&gt;=D51,Indices!D316,D51))</f>
        <v>4363.4859999999999</v>
      </c>
      <c r="E52">
        <f>IF($A51="Date",Indices!E316,IF(Indices!E316&gt;=E51,Indices!E316,E51))</f>
        <v>435.85</v>
      </c>
      <c r="F52">
        <f>IF($A51="Date",Indices!F316,IF(Indices!F316&gt;=F51,Indices!F316,F51))</f>
        <v>182.988</v>
      </c>
      <c r="G52">
        <f>IF($A51="Date",Indices!G316,IF(Indices!G316&gt;=G51,Indices!G316,G51))</f>
        <v>288.13099999999997</v>
      </c>
      <c r="H52">
        <f>IF($A51="Date",Indices!H316,IF(Indices!H316&gt;=H51,Indices!H316,H51))</f>
        <v>105.084</v>
      </c>
      <c r="I52">
        <f>IF($A51="Date",Indices!I316,IF(Indices!I316&gt;=I51,Indices!I316,I51))</f>
        <v>5355.2011460000003</v>
      </c>
      <c r="J52">
        <f>IF($A51="Date",Indices!J316,IF(Indices!J316&gt;=J51,Indices!J316,J51))</f>
        <v>7376.3701170000004</v>
      </c>
      <c r="K52">
        <f>IF($A51="Date",Indices!K316,IF(Indices!K316&gt;=K51,Indices!K316,K51))</f>
        <v>494.35000600000001</v>
      </c>
      <c r="L52">
        <f>IF($A51="Date",Indices!L316,IF(Indices!L316&gt;=L51,Indices!L316,L51))</f>
        <v>16271.75</v>
      </c>
      <c r="O52" s="20">
        <v>44629</v>
      </c>
      <c r="P52" s="17">
        <f>(PrevPeak[[#This Row],[Chine]]-Indices!B316)/PrevPeak[[#This Row],[Chine]]</f>
        <v>0.13278886305103402</v>
      </c>
      <c r="Q52" s="17">
        <f>(PrevPeak[[#This Row],[DM]]-Indices!C316)/PrevPeak[[#This Row],[DM]]</f>
        <v>9.158082456158298E-2</v>
      </c>
      <c r="R52" s="17">
        <f>(PrevPeak[[#This Row],[EM ex China]]-Indices!D316)/PrevPeak[[#This Row],[EM ex China]]</f>
        <v>8.7908612517606274E-2</v>
      </c>
      <c r="S52" s="17">
        <f>(PrevPeak[[#This Row],[EM]]-Indices!E316)/PrevPeak[[#This Row],[EM]]</f>
        <v>0.11018240220259269</v>
      </c>
      <c r="T52" s="17">
        <f>(PrevPeak[[#This Row],[Japon]]-Indices!F316)/PrevPeak[[#This Row],[Japon]]</f>
        <v>0.12441799462259819</v>
      </c>
      <c r="U52" s="17">
        <f>(PrevPeak[[#This Row],[Monde]]-Indices!G316)/PrevPeak[[#This Row],[Monde]]</f>
        <v>9.2069232397763393E-2</v>
      </c>
      <c r="V52" s="17">
        <f>(PrevPeak[[#This Row],[RU]]-Indices!H316)/PrevPeak[[#This Row],[RU]]</f>
        <v>5.5584104145255303E-2</v>
      </c>
      <c r="W52" s="17">
        <f>(PrevPeak[[#This Row],[US]]-Indices!I316)/PrevPeak[[#This Row],[US]]</f>
        <v>0.1125720111279645</v>
      </c>
      <c r="X52" s="17">
        <f>(PrevPeak[[#This Row],[France]]-Indices!J316)/PrevPeak[[#This Row],[France]]</f>
        <v>0.1340144303119708</v>
      </c>
      <c r="Y52" s="17">
        <f>(PrevPeak[[#This Row],[Europe]]-Indices!K316)/PrevPeak[[#This Row],[Europe]]</f>
        <v>0.1211691984888941</v>
      </c>
      <c r="Z52" s="17">
        <f>(PrevPeak[[#This Row],[Allemagne]]-Indices!L316)/PrevPeak[[#This Row],[Allemagne]]</f>
        <v>0.14895879730207257</v>
      </c>
      <c r="AA52" s="27">
        <f>YEAR(DD[[#This Row],[Date]])</f>
        <v>2022</v>
      </c>
    </row>
    <row r="53" spans="1:27" x14ac:dyDescent="0.25">
      <c r="A53" s="1">
        <v>44630</v>
      </c>
      <c r="B53">
        <f>IF($A52="Date",Indices!B317,IF(Indices!B317&gt;=B52,Indices!B317,B52))</f>
        <v>2879.4960000000001</v>
      </c>
      <c r="C53">
        <f>IF($A52="Date",Indices!C317,IF(Indices!C317&gt;=C52,Indices!C317,C52))</f>
        <v>293.27100000000002</v>
      </c>
      <c r="D53">
        <f>IF($A52="Date",Indices!D317,IF(Indices!D317&gt;=D52,Indices!D317,D52))</f>
        <v>4363.4859999999999</v>
      </c>
      <c r="E53">
        <f>IF($A52="Date",Indices!E317,IF(Indices!E317&gt;=E52,Indices!E317,E52))</f>
        <v>435.85</v>
      </c>
      <c r="F53">
        <f>IF($A52="Date",Indices!F317,IF(Indices!F317&gt;=F52,Indices!F317,F52))</f>
        <v>182.988</v>
      </c>
      <c r="G53">
        <f>IF($A52="Date",Indices!G317,IF(Indices!G317&gt;=G52,Indices!G317,G52))</f>
        <v>288.13099999999997</v>
      </c>
      <c r="H53">
        <f>IF($A52="Date",Indices!H317,IF(Indices!H317&gt;=H52,Indices!H317,H52))</f>
        <v>105.084</v>
      </c>
      <c r="I53">
        <f>IF($A52="Date",Indices!I317,IF(Indices!I317&gt;=I52,Indices!I317,I52))</f>
        <v>5355.2011460000003</v>
      </c>
      <c r="J53">
        <f>IF($A52="Date",Indices!J317,IF(Indices!J317&gt;=J52,Indices!J317,J52))</f>
        <v>7376.3701170000004</v>
      </c>
      <c r="K53">
        <f>IF($A52="Date",Indices!K317,IF(Indices!K317&gt;=K52,Indices!K317,K52))</f>
        <v>494.35000600000001</v>
      </c>
      <c r="L53">
        <f>IF($A52="Date",Indices!L317,IF(Indices!L317&gt;=L52,Indices!L317,L52))</f>
        <v>16271.75</v>
      </c>
      <c r="O53" s="19">
        <v>44630</v>
      </c>
      <c r="P53" s="18">
        <f>(PrevPeak[[#This Row],[Chine]]-Indices!B317)/PrevPeak[[#This Row],[Chine]]</f>
        <v>0.12517051595140255</v>
      </c>
      <c r="Q53" s="18">
        <f>(PrevPeak[[#This Row],[DM]]-Indices!C317)/PrevPeak[[#This Row],[DM]]</f>
        <v>9.2593539763563493E-2</v>
      </c>
      <c r="R53" s="18">
        <f>(PrevPeak[[#This Row],[EM ex China]]-Indices!D317)/PrevPeak[[#This Row],[EM ex China]]</f>
        <v>7.0500971012626062E-2</v>
      </c>
      <c r="S53" s="18">
        <f>(PrevPeak[[#This Row],[EM]]-Indices!E317)/PrevPeak[[#This Row],[EM]]</f>
        <v>9.8132384994837701E-2</v>
      </c>
      <c r="T53" s="18">
        <f>(PrevPeak[[#This Row],[Japon]]-Indices!F317)/PrevPeak[[#This Row],[Japon]]</f>
        <v>8.7830896015039253E-2</v>
      </c>
      <c r="U53" s="18">
        <f>(PrevPeak[[#This Row],[Monde]]-Indices!G317)/PrevPeak[[#This Row],[Monde]]</f>
        <v>9.1593754229846724E-2</v>
      </c>
      <c r="V53" s="18">
        <f>(PrevPeak[[#This Row],[RU]]-Indices!H317)/PrevPeak[[#This Row],[RU]]</f>
        <v>6.7450801263750984E-2</v>
      </c>
      <c r="W53" s="18">
        <f>(PrevPeak[[#This Row],[US]]-Indices!I317)/PrevPeak[[#This Row],[US]]</f>
        <v>0.11642501467301573</v>
      </c>
      <c r="X53" s="18">
        <f>(PrevPeak[[#This Row],[France]]-Indices!J317)/PrevPeak[[#This Row],[France]]</f>
        <v>0.15850206855882473</v>
      </c>
      <c r="Y53" s="18">
        <f>(PrevPeak[[#This Row],[Europe]]-Indices!K317)/PrevPeak[[#This Row],[Europe]]</f>
        <v>0.13599678402754989</v>
      </c>
      <c r="Z53" s="18">
        <f>(PrevPeak[[#This Row],[Allemagne]]-Indices!L317)/PrevPeak[[#This Row],[Allemagne]]</f>
        <v>0.17389957380121995</v>
      </c>
      <c r="AA53" s="27">
        <f>YEAR(DD[[#This Row],[Date]])</f>
        <v>2022</v>
      </c>
    </row>
    <row r="54" spans="1:27" x14ac:dyDescent="0.25">
      <c r="A54" s="1">
        <v>44631</v>
      </c>
      <c r="B54">
        <f>IF($A53="Date",Indices!B318,IF(Indices!B318&gt;=B53,Indices!B318,B53))</f>
        <v>2879.4960000000001</v>
      </c>
      <c r="C54">
        <f>IF($A53="Date",Indices!C318,IF(Indices!C318&gt;=C53,Indices!C318,C53))</f>
        <v>293.27100000000002</v>
      </c>
      <c r="D54">
        <f>IF($A53="Date",Indices!D318,IF(Indices!D318&gt;=D53,Indices!D318,D53))</f>
        <v>4363.4859999999999</v>
      </c>
      <c r="E54">
        <f>IF($A53="Date",Indices!E318,IF(Indices!E318&gt;=E53,Indices!E318,E53))</f>
        <v>435.85</v>
      </c>
      <c r="F54">
        <f>IF($A53="Date",Indices!F318,IF(Indices!F318&gt;=F53,Indices!F318,F53))</f>
        <v>182.988</v>
      </c>
      <c r="G54">
        <f>IF($A53="Date",Indices!G318,IF(Indices!G318&gt;=G53,Indices!G318,G53))</f>
        <v>288.13099999999997</v>
      </c>
      <c r="H54">
        <f>IF($A53="Date",Indices!H318,IF(Indices!H318&gt;=H53,Indices!H318,H53))</f>
        <v>105.084</v>
      </c>
      <c r="I54">
        <f>IF($A53="Date",Indices!I318,IF(Indices!I318&gt;=I53,Indices!I318,I53))</f>
        <v>5355.2011460000003</v>
      </c>
      <c r="J54">
        <f>IF($A53="Date",Indices!J318,IF(Indices!J318&gt;=J53,Indices!J318,J53))</f>
        <v>7376.3701170000004</v>
      </c>
      <c r="K54">
        <f>IF($A53="Date",Indices!K318,IF(Indices!K318&gt;=K53,Indices!K318,K53))</f>
        <v>494.35000600000001</v>
      </c>
      <c r="L54">
        <f>IF($A53="Date",Indices!L318,IF(Indices!L318&gt;=L53,Indices!L318,L53))</f>
        <v>16271.75</v>
      </c>
      <c r="O54" s="20">
        <v>44631</v>
      </c>
      <c r="P54" s="17">
        <f>(PrevPeak[[#This Row],[Chine]]-Indices!B318)/PrevPeak[[#This Row],[Chine]]</f>
        <v>0.13722436148548223</v>
      </c>
      <c r="Q54" s="17">
        <f>(PrevPeak[[#This Row],[DM]]-Indices!C318)/PrevPeak[[#This Row],[DM]]</f>
        <v>9.8284521824524115E-2</v>
      </c>
      <c r="R54" s="17">
        <f>(PrevPeak[[#This Row],[EM ex China]]-Indices!D318)/PrevPeak[[#This Row],[EM ex China]]</f>
        <v>7.2236739157636745E-2</v>
      </c>
      <c r="S54" s="17">
        <f>(PrevPeak[[#This Row],[EM]]-Indices!E318)/PrevPeak[[#This Row],[EM]]</f>
        <v>0.10788803487438343</v>
      </c>
      <c r="T54" s="17">
        <f>(PrevPeak[[#This Row],[Japon]]-Indices!F318)/PrevPeak[[#This Row],[Japon]]</f>
        <v>0.10817649244759213</v>
      </c>
      <c r="U54" s="17">
        <f>(PrevPeak[[#This Row],[Monde]]-Indices!G318)/PrevPeak[[#This Row],[Monde]]</f>
        <v>9.7761087838517724E-2</v>
      </c>
      <c r="V54" s="17">
        <f>(PrevPeak[[#This Row],[RU]]-Indices!H318)/PrevPeak[[#This Row],[RU]]</f>
        <v>5.9390582771877733E-2</v>
      </c>
      <c r="W54" s="17">
        <f>(PrevPeak[[#This Row],[US]]-Indices!I318)/PrevPeak[[#This Row],[US]]</f>
        <v>0.12883104353892008</v>
      </c>
      <c r="X54" s="17">
        <f>(PrevPeak[[#This Row],[France]]-Indices!J318)/PrevPeak[[#This Row],[France]]</f>
        <v>0.1513102107536235</v>
      </c>
      <c r="Y54" s="17">
        <f>(PrevPeak[[#This Row],[Europe]]-Indices!K318)/PrevPeak[[#This Row],[Europe]]</f>
        <v>0.12780417160549204</v>
      </c>
      <c r="Z54" s="17">
        <f>(PrevPeak[[#This Row],[Allemagne]]-Indices!L318)/PrevPeak[[#This Row],[Allemagne]]</f>
        <v>0.16246805967397479</v>
      </c>
      <c r="AA54" s="27">
        <f>YEAR(DD[[#This Row],[Date]])</f>
        <v>2022</v>
      </c>
    </row>
    <row r="55" spans="1:27" x14ac:dyDescent="0.25">
      <c r="A55" s="1">
        <v>44634</v>
      </c>
      <c r="B55">
        <f>IF($A54="Date",Indices!B319,IF(Indices!B319&gt;=B54,Indices!B319,B54))</f>
        <v>2879.4960000000001</v>
      </c>
      <c r="C55">
        <f>IF($A54="Date",Indices!C319,IF(Indices!C319&gt;=C54,Indices!C319,C54))</f>
        <v>293.27100000000002</v>
      </c>
      <c r="D55">
        <f>IF($A54="Date",Indices!D319,IF(Indices!D319&gt;=D54,Indices!D319,D54))</f>
        <v>4363.4859999999999</v>
      </c>
      <c r="E55">
        <f>IF($A54="Date",Indices!E319,IF(Indices!E319&gt;=E54,Indices!E319,E54))</f>
        <v>435.85</v>
      </c>
      <c r="F55">
        <f>IF($A54="Date",Indices!F319,IF(Indices!F319&gt;=F54,Indices!F319,F54))</f>
        <v>182.988</v>
      </c>
      <c r="G55">
        <f>IF($A54="Date",Indices!G319,IF(Indices!G319&gt;=G54,Indices!G319,G54))</f>
        <v>288.13099999999997</v>
      </c>
      <c r="H55">
        <f>IF($A54="Date",Indices!H319,IF(Indices!H319&gt;=H54,Indices!H319,H54))</f>
        <v>105.084</v>
      </c>
      <c r="I55">
        <f>IF($A54="Date",Indices!I319,IF(Indices!I319&gt;=I54,Indices!I319,I54))</f>
        <v>5355.2011460000003</v>
      </c>
      <c r="J55">
        <f>IF($A54="Date",Indices!J319,IF(Indices!J319&gt;=J54,Indices!J319,J54))</f>
        <v>7376.3701170000004</v>
      </c>
      <c r="K55">
        <f>IF($A54="Date",Indices!K319,IF(Indices!K319&gt;=K54,Indices!K319,K54))</f>
        <v>494.35000600000001</v>
      </c>
      <c r="L55">
        <f>IF($A54="Date",Indices!L319,IF(Indices!L319&gt;=L54,Indices!L319,L54))</f>
        <v>16271.75</v>
      </c>
      <c r="O55" s="19">
        <v>44634</v>
      </c>
      <c r="P55" s="18">
        <f>(PrevPeak[[#This Row],[Chine]]-Indices!B319)/PrevPeak[[#This Row],[Chine]]</f>
        <v>0.18853577153779685</v>
      </c>
      <c r="Q55" s="18">
        <f>(PrevPeak[[#This Row],[DM]]-Indices!C319)/PrevPeak[[#This Row],[DM]]</f>
        <v>0.1036924891994095</v>
      </c>
      <c r="R55" s="18">
        <f>(PrevPeak[[#This Row],[EM ex China]]-Indices!D319)/PrevPeak[[#This Row],[EM ex China]]</f>
        <v>8.0561505181866055E-2</v>
      </c>
      <c r="S55" s="18">
        <f>(PrevPeak[[#This Row],[EM]]-Indices!E319)/PrevPeak[[#This Row],[EM]]</f>
        <v>0.1341424802110818</v>
      </c>
      <c r="T55" s="18">
        <f>(PrevPeak[[#This Row],[Japon]]-Indices!F319)/PrevPeak[[#This Row],[Japon]]</f>
        <v>0.11105099787964237</v>
      </c>
      <c r="U55" s="18">
        <f>(PrevPeak[[#This Row],[Monde]]-Indices!G319)/PrevPeak[[#This Row],[Monde]]</f>
        <v>0.10555268263394066</v>
      </c>
      <c r="V55" s="18">
        <f>(PrevPeak[[#This Row],[RU]]-Indices!H319)/PrevPeak[[#This Row],[RU]]</f>
        <v>5.838186593582282E-2</v>
      </c>
      <c r="W55" s="18">
        <f>(PrevPeak[[#This Row],[US]]-Indices!I319)/PrevPeak[[#This Row],[US]]</f>
        <v>0.13720776287718556</v>
      </c>
      <c r="X55" s="18">
        <f>(PrevPeak[[#This Row],[France]]-Indices!J319)/PrevPeak[[#This Row],[France]]</f>
        <v>0.13643976102561947</v>
      </c>
      <c r="Y55" s="18">
        <f>(PrevPeak[[#This Row],[Europe]]-Indices!K319)/PrevPeak[[#This Row],[Europe]]</f>
        <v>0.11732577990501733</v>
      </c>
      <c r="Z55" s="18">
        <f>(PrevPeak[[#This Row],[Allemagne]]-Indices!L319)/PrevPeak[[#This Row],[Allemagne]]</f>
        <v>0.14396974203758042</v>
      </c>
      <c r="AA55" s="27">
        <f>YEAR(DD[[#This Row],[Date]])</f>
        <v>2022</v>
      </c>
    </row>
    <row r="56" spans="1:27" x14ac:dyDescent="0.25">
      <c r="A56" s="1">
        <v>44635</v>
      </c>
      <c r="B56">
        <f>IF($A55="Date",Indices!B320,IF(Indices!B320&gt;=B55,Indices!B320,B55))</f>
        <v>2879.4960000000001</v>
      </c>
      <c r="C56">
        <f>IF($A55="Date",Indices!C320,IF(Indices!C320&gt;=C55,Indices!C320,C55))</f>
        <v>293.27100000000002</v>
      </c>
      <c r="D56">
        <f>IF($A55="Date",Indices!D320,IF(Indices!D320&gt;=D55,Indices!D320,D55))</f>
        <v>4363.4859999999999</v>
      </c>
      <c r="E56">
        <f>IF($A55="Date",Indices!E320,IF(Indices!E320&gt;=E55,Indices!E320,E55))</f>
        <v>435.85</v>
      </c>
      <c r="F56">
        <f>IF($A55="Date",Indices!F320,IF(Indices!F320&gt;=F55,Indices!F320,F55))</f>
        <v>182.988</v>
      </c>
      <c r="G56">
        <f>IF($A55="Date",Indices!G320,IF(Indices!G320&gt;=G55,Indices!G320,G55))</f>
        <v>288.13099999999997</v>
      </c>
      <c r="H56">
        <f>IF($A55="Date",Indices!H320,IF(Indices!H320&gt;=H55,Indices!H320,H55))</f>
        <v>105.084</v>
      </c>
      <c r="I56">
        <f>IF($A55="Date",Indices!I320,IF(Indices!I320&gt;=I55,Indices!I320,I55))</f>
        <v>5355.2011460000003</v>
      </c>
      <c r="J56">
        <f>IF($A55="Date",Indices!J320,IF(Indices!J320&gt;=J55,Indices!J320,J55))</f>
        <v>7376.3701170000004</v>
      </c>
      <c r="K56">
        <f>IF($A55="Date",Indices!K320,IF(Indices!K320&gt;=K55,Indices!K320,K55))</f>
        <v>494.35000600000001</v>
      </c>
      <c r="L56">
        <f>IF($A55="Date",Indices!L320,IF(Indices!L320&gt;=L55,Indices!L320,L55))</f>
        <v>16271.75</v>
      </c>
      <c r="O56" s="20">
        <v>44635</v>
      </c>
      <c r="P56" s="17">
        <f>(PrevPeak[[#This Row],[Chine]]-Indices!B320)/PrevPeak[[#This Row],[Chine]]</f>
        <v>0.23351829625740059</v>
      </c>
      <c r="Q56" s="17">
        <f>(PrevPeak[[#This Row],[DM]]-Indices!C320)/PrevPeak[[#This Row],[DM]]</f>
        <v>9.0660174377964475E-2</v>
      </c>
      <c r="R56" s="17">
        <f>(PrevPeak[[#This Row],[EM ex China]]-Indices!D320)/PrevPeak[[#This Row],[EM ex China]]</f>
        <v>9.2290888523533718E-2</v>
      </c>
      <c r="S56" s="17">
        <f>(PrevPeak[[#This Row],[EM]]-Indices!E320)/PrevPeak[[#This Row],[EM]]</f>
        <v>0.15682000688310202</v>
      </c>
      <c r="T56" s="17">
        <f>(PrevPeak[[#This Row],[Japon]]-Indices!F320)/PrevPeak[[#This Row],[Japon]]</f>
        <v>0.10594683804402474</v>
      </c>
      <c r="U56" s="17">
        <f>(PrevPeak[[#This Row],[Monde]]-Indices!G320)/PrevPeak[[#This Row],[Monde]]</f>
        <v>9.6567186453383899E-2</v>
      </c>
      <c r="V56" s="17">
        <f>(PrevPeak[[#This Row],[RU]]-Indices!H320)/PrevPeak[[#This Row],[RU]]</f>
        <v>5.867686802938598E-2</v>
      </c>
      <c r="W56" s="17">
        <f>(PrevPeak[[#This Row],[US]]-Indices!I320)/PrevPeak[[#This Row],[US]]</f>
        <v>0.11921618004523794</v>
      </c>
      <c r="X56" s="17">
        <f>(PrevPeak[[#This Row],[France]]-Indices!J320)/PrevPeak[[#This Row],[France]]</f>
        <v>0.13846513946556085</v>
      </c>
      <c r="Y56" s="17">
        <f>(PrevPeak[[#This Row],[Europe]]-Indices!K320)/PrevPeak[[#This Row],[Europe]]</f>
        <v>0.11981391783375439</v>
      </c>
      <c r="Z56" s="17">
        <f>(PrevPeak[[#This Row],[Allemagne]]-Indices!L320)/PrevPeak[[#This Row],[Allemagne]]</f>
        <v>0.14469743389616976</v>
      </c>
      <c r="AA56" s="27">
        <f>YEAR(DD[[#This Row],[Date]])</f>
        <v>2022</v>
      </c>
    </row>
    <row r="57" spans="1:27" x14ac:dyDescent="0.25">
      <c r="A57" s="1">
        <v>44636</v>
      </c>
      <c r="B57">
        <f>IF($A56="Date",Indices!B321,IF(Indices!B321&gt;=B56,Indices!B321,B56))</f>
        <v>2879.4960000000001</v>
      </c>
      <c r="C57">
        <f>IF($A56="Date",Indices!C321,IF(Indices!C321&gt;=C56,Indices!C321,C56))</f>
        <v>293.27100000000002</v>
      </c>
      <c r="D57">
        <f>IF($A56="Date",Indices!D321,IF(Indices!D321&gt;=D56,Indices!D321,D56))</f>
        <v>4363.4859999999999</v>
      </c>
      <c r="E57">
        <f>IF($A56="Date",Indices!E321,IF(Indices!E321&gt;=E56,Indices!E321,E56))</f>
        <v>435.85</v>
      </c>
      <c r="F57">
        <f>IF($A56="Date",Indices!F321,IF(Indices!F321&gt;=F56,Indices!F321,F56))</f>
        <v>182.988</v>
      </c>
      <c r="G57">
        <f>IF($A56="Date",Indices!G321,IF(Indices!G321&gt;=G56,Indices!G321,G56))</f>
        <v>288.13099999999997</v>
      </c>
      <c r="H57">
        <f>IF($A56="Date",Indices!H321,IF(Indices!H321&gt;=H56,Indices!H321,H56))</f>
        <v>105.084</v>
      </c>
      <c r="I57">
        <f>IF($A56="Date",Indices!I321,IF(Indices!I321&gt;=I56,Indices!I321,I56))</f>
        <v>5355.2011460000003</v>
      </c>
      <c r="J57">
        <f>IF($A56="Date",Indices!J321,IF(Indices!J321&gt;=J56,Indices!J321,J56))</f>
        <v>7376.3701170000004</v>
      </c>
      <c r="K57">
        <f>IF($A56="Date",Indices!K321,IF(Indices!K321&gt;=K56,Indices!K321,K56))</f>
        <v>494.35000600000001</v>
      </c>
      <c r="L57">
        <f>IF($A56="Date",Indices!L321,IF(Indices!L321&gt;=L56,Indices!L321,L56))</f>
        <v>16271.75</v>
      </c>
      <c r="O57" s="19">
        <v>44636</v>
      </c>
      <c r="P57" s="18">
        <f>(PrevPeak[[#This Row],[Chine]]-Indices!B321)/PrevPeak[[#This Row],[Chine]]</f>
        <v>0.15767724629587954</v>
      </c>
      <c r="Q57" s="18">
        <f>(PrevPeak[[#This Row],[DM]]-Indices!C321)/PrevPeak[[#This Row],[DM]]</f>
        <v>7.0006921925454629E-2</v>
      </c>
      <c r="R57" s="18">
        <f>(PrevPeak[[#This Row],[EM ex China]]-Indices!D321)/PrevPeak[[#This Row],[EM ex China]]</f>
        <v>7.7584298425616594E-2</v>
      </c>
      <c r="S57" s="18">
        <f>(PrevPeak[[#This Row],[EM]]-Indices!E321)/PrevPeak[[#This Row],[EM]]</f>
        <v>0.11390157164161983</v>
      </c>
      <c r="T57" s="18">
        <f>(PrevPeak[[#This Row],[Japon]]-Indices!F321)/PrevPeak[[#This Row],[Japon]]</f>
        <v>9.4743917633943145E-2</v>
      </c>
      <c r="U57" s="18">
        <f>(PrevPeak[[#This Row],[Monde]]-Indices!G321)/PrevPeak[[#This Row],[Monde]]</f>
        <v>7.3338169096695507E-2</v>
      </c>
      <c r="V57" s="18">
        <f>(PrevPeak[[#This Row],[RU]]-Indices!H321)/PrevPeak[[#This Row],[RU]]</f>
        <v>4.427886262418642E-2</v>
      </c>
      <c r="W57" s="18">
        <f>(PrevPeak[[#This Row],[US]]-Indices!I321)/PrevPeak[[#This Row],[US]]</f>
        <v>9.7465941945031095E-2</v>
      </c>
      <c r="X57" s="18">
        <f>(PrevPeak[[#This Row],[France]]-Indices!J321)/PrevPeak[[#This Row],[France]]</f>
        <v>0.10679100526484604</v>
      </c>
      <c r="Y57" s="18">
        <f>(PrevPeak[[#This Row],[Europe]]-Indices!K321)/PrevPeak[[#This Row],[Europe]]</f>
        <v>9.2849182649751991E-2</v>
      </c>
      <c r="Z57" s="18">
        <f>(PrevPeak[[#This Row],[Allemagne]]-Indices!L321)/PrevPeak[[#This Row],[Allemagne]]</f>
        <v>0.11252691136478871</v>
      </c>
      <c r="AA57" s="27">
        <f>YEAR(DD[[#This Row],[Date]])</f>
        <v>2022</v>
      </c>
    </row>
    <row r="58" spans="1:27" x14ac:dyDescent="0.25">
      <c r="A58" s="1">
        <v>44637</v>
      </c>
      <c r="B58">
        <f>IF($A57="Date",Indices!B322,IF(Indices!B322&gt;=B57,Indices!B322,B57))</f>
        <v>2879.4960000000001</v>
      </c>
      <c r="C58">
        <f>IF($A57="Date",Indices!C322,IF(Indices!C322&gt;=C57,Indices!C322,C57))</f>
        <v>293.27100000000002</v>
      </c>
      <c r="D58">
        <f>IF($A57="Date",Indices!D322,IF(Indices!D322&gt;=D57,Indices!D322,D57))</f>
        <v>4363.4859999999999</v>
      </c>
      <c r="E58">
        <f>IF($A57="Date",Indices!E322,IF(Indices!E322&gt;=E57,Indices!E322,E57))</f>
        <v>435.85</v>
      </c>
      <c r="F58">
        <f>IF($A57="Date",Indices!F322,IF(Indices!F322&gt;=F57,Indices!F322,F57))</f>
        <v>182.988</v>
      </c>
      <c r="G58">
        <f>IF($A57="Date",Indices!G322,IF(Indices!G322&gt;=G57,Indices!G322,G57))</f>
        <v>288.13099999999997</v>
      </c>
      <c r="H58">
        <f>IF($A57="Date",Indices!H322,IF(Indices!H322&gt;=H57,Indices!H322,H57))</f>
        <v>105.084</v>
      </c>
      <c r="I58">
        <f>IF($A57="Date",Indices!I322,IF(Indices!I322&gt;=I57,Indices!I322,I57))</f>
        <v>5355.2011460000003</v>
      </c>
      <c r="J58">
        <f>IF($A57="Date",Indices!J322,IF(Indices!J322&gt;=J57,Indices!J322,J57))</f>
        <v>7376.3701170000004</v>
      </c>
      <c r="K58">
        <f>IF($A57="Date",Indices!K322,IF(Indices!K322&gt;=K57,Indices!K322,K57))</f>
        <v>494.35000600000001</v>
      </c>
      <c r="L58">
        <f>IF($A57="Date",Indices!L322,IF(Indices!L322&gt;=L57,Indices!L322,L57))</f>
        <v>16271.75</v>
      </c>
      <c r="O58" s="20">
        <v>44637</v>
      </c>
      <c r="P58" s="17">
        <f>(PrevPeak[[#This Row],[Chine]]-Indices!B322)/PrevPeak[[#This Row],[Chine]]</f>
        <v>0.13162095033297491</v>
      </c>
      <c r="Q58" s="17">
        <f>(PrevPeak[[#This Row],[DM]]-Indices!C322)/PrevPeak[[#This Row],[DM]]</f>
        <v>6.5618489383539549E-2</v>
      </c>
      <c r="R58" s="17">
        <f>(PrevPeak[[#This Row],[EM ex China]]-Indices!D322)/PrevPeak[[#This Row],[EM ex China]]</f>
        <v>6.2522487754057152E-2</v>
      </c>
      <c r="S58" s="17">
        <f>(PrevPeak[[#This Row],[EM]]-Indices!E322)/PrevPeak[[#This Row],[EM]]</f>
        <v>9.076287713662963E-2</v>
      </c>
      <c r="T58" s="17">
        <f>(PrevPeak[[#This Row],[Japon]]-Indices!F322)/PrevPeak[[#This Row],[Japon]]</f>
        <v>8.0426038865936633E-2</v>
      </c>
      <c r="U58" s="17">
        <f>(PrevPeak[[#This Row],[Monde]]-Indices!G322)/PrevPeak[[#This Row],[Monde]]</f>
        <v>6.680294727051235E-2</v>
      </c>
      <c r="V58" s="17">
        <f>(PrevPeak[[#This Row],[RU]]-Indices!H322)/PrevPeak[[#This Row],[RU]]</f>
        <v>3.7807848958928088E-2</v>
      </c>
      <c r="W58" s="17">
        <f>(PrevPeak[[#This Row],[US]]-Indices!I322)/PrevPeak[[#This Row],[US]]</f>
        <v>8.5363729118084555E-2</v>
      </c>
      <c r="X58" s="17">
        <f>(PrevPeak[[#This Row],[France]]-Indices!J322)/PrevPeak[[#This Row],[France]]</f>
        <v>0.10355365645761026</v>
      </c>
      <c r="Y58" s="17">
        <f>(PrevPeak[[#This Row],[Europe]]-Indices!K322)/PrevPeak[[#This Row],[Europe]]</f>
        <v>8.8722596273216242E-2</v>
      </c>
      <c r="Z58" s="17">
        <f>(PrevPeak[[#This Row],[Allemagne]]-Indices!L322)/PrevPeak[[#This Row],[Allemagne]]</f>
        <v>0.11576446479327672</v>
      </c>
      <c r="AA58" s="27">
        <f>YEAR(DD[[#This Row],[Date]])</f>
        <v>2022</v>
      </c>
    </row>
    <row r="59" spans="1:27" x14ac:dyDescent="0.25">
      <c r="A59" s="1">
        <v>44638</v>
      </c>
      <c r="B59">
        <f>IF($A58="Date",Indices!B323,IF(Indices!B323&gt;=B58,Indices!B323,B58))</f>
        <v>2879.4960000000001</v>
      </c>
      <c r="C59">
        <f>IF($A58="Date",Indices!C323,IF(Indices!C323&gt;=C58,Indices!C323,C58))</f>
        <v>293.27100000000002</v>
      </c>
      <c r="D59">
        <f>IF($A58="Date",Indices!D323,IF(Indices!D323&gt;=D58,Indices!D323,D58))</f>
        <v>4363.4859999999999</v>
      </c>
      <c r="E59">
        <f>IF($A58="Date",Indices!E323,IF(Indices!E323&gt;=E58,Indices!E323,E58))</f>
        <v>435.85</v>
      </c>
      <c r="F59">
        <f>IF($A58="Date",Indices!F323,IF(Indices!F323&gt;=F58,Indices!F323,F58))</f>
        <v>182.988</v>
      </c>
      <c r="G59">
        <f>IF($A58="Date",Indices!G323,IF(Indices!G323&gt;=G58,Indices!G323,G58))</f>
        <v>288.13099999999997</v>
      </c>
      <c r="H59">
        <f>IF($A58="Date",Indices!H323,IF(Indices!H323&gt;=H58,Indices!H323,H58))</f>
        <v>105.084</v>
      </c>
      <c r="I59">
        <f>IF($A58="Date",Indices!I323,IF(Indices!I323&gt;=I58,Indices!I323,I58))</f>
        <v>5355.2011460000003</v>
      </c>
      <c r="J59">
        <f>IF($A58="Date",Indices!J323,IF(Indices!J323&gt;=J58,Indices!J323,J58))</f>
        <v>7376.3701170000004</v>
      </c>
      <c r="K59">
        <f>IF($A58="Date",Indices!K323,IF(Indices!K323&gt;=K58,Indices!K323,K58))</f>
        <v>494.35000600000001</v>
      </c>
      <c r="L59">
        <f>IF($A58="Date",Indices!L323,IF(Indices!L323&gt;=L58,Indices!L323,L58))</f>
        <v>16271.75</v>
      </c>
      <c r="O59" s="19">
        <v>44638</v>
      </c>
      <c r="P59" s="18">
        <f>(PrevPeak[[#This Row],[Chine]]-Indices!B323)/PrevPeak[[#This Row],[Chine]]</f>
        <v>0.12656381533435018</v>
      </c>
      <c r="Q59" s="18">
        <f>(PrevPeak[[#This Row],[DM]]-Indices!C323)/PrevPeak[[#This Row],[DM]]</f>
        <v>5.123247781062578E-2</v>
      </c>
      <c r="R59" s="18">
        <f>(PrevPeak[[#This Row],[EM ex China]]-Indices!D323)/PrevPeak[[#This Row],[EM ex China]]</f>
        <v>5.3998339859461016E-2</v>
      </c>
      <c r="S59" s="18">
        <f>(PrevPeak[[#This Row],[EM]]-Indices!E323)/PrevPeak[[#This Row],[EM]]</f>
        <v>8.4072502007571479E-2</v>
      </c>
      <c r="T59" s="18">
        <f>(PrevPeak[[#This Row],[Japon]]-Indices!F323)/PrevPeak[[#This Row],[Japon]]</f>
        <v>7.5343738387216683E-2</v>
      </c>
      <c r="U59" s="18">
        <f>(PrevPeak[[#This Row],[Monde]]-Indices!G323)/PrevPeak[[#This Row],[Monde]]</f>
        <v>5.3270908024474949E-2</v>
      </c>
      <c r="V59" s="18">
        <f>(PrevPeak[[#This Row],[RU]]-Indices!H323)/PrevPeak[[#This Row],[RU]]</f>
        <v>2.9129077690228836E-2</v>
      </c>
      <c r="W59" s="18">
        <f>(PrevPeak[[#This Row],[US]]-Indices!I323)/PrevPeak[[#This Row],[US]]</f>
        <v>7.3936333147027702E-2</v>
      </c>
      <c r="X59" s="18">
        <f>(PrevPeak[[#This Row],[France]]-Indices!J323)/PrevPeak[[#This Row],[France]]</f>
        <v>0.10250704221814748</v>
      </c>
      <c r="Y59" s="18">
        <f>(PrevPeak[[#This Row],[Europe]]-Indices!K323)/PrevPeak[[#This Row],[Europe]]</f>
        <v>8.0408616400421365E-2</v>
      </c>
      <c r="Z59" s="18">
        <f>(PrevPeak[[#This Row],[Allemagne]]-Indices!L323)/PrevPeak[[#This Row],[Allemagne]]</f>
        <v>0.11422619939465635</v>
      </c>
      <c r="AA59" s="27">
        <f>YEAR(DD[[#This Row],[Date]])</f>
        <v>2022</v>
      </c>
    </row>
    <row r="60" spans="1:27" x14ac:dyDescent="0.25">
      <c r="A60" s="1">
        <v>44641</v>
      </c>
      <c r="B60">
        <f>IF($A59="Date",Indices!B324,IF(Indices!B324&gt;=B59,Indices!B324,B59))</f>
        <v>2879.4960000000001</v>
      </c>
      <c r="C60">
        <f>IF($A59="Date",Indices!C324,IF(Indices!C324&gt;=C59,Indices!C324,C59))</f>
        <v>293.27100000000002</v>
      </c>
      <c r="D60">
        <f>IF($A59="Date",Indices!D324,IF(Indices!D324&gt;=D59,Indices!D324,D59))</f>
        <v>4363.4859999999999</v>
      </c>
      <c r="E60">
        <f>IF($A59="Date",Indices!E324,IF(Indices!E324&gt;=E59,Indices!E324,E59))</f>
        <v>435.85</v>
      </c>
      <c r="F60">
        <f>IF($A59="Date",Indices!F324,IF(Indices!F324&gt;=F59,Indices!F324,F59))</f>
        <v>182.988</v>
      </c>
      <c r="G60">
        <f>IF($A59="Date",Indices!G324,IF(Indices!G324&gt;=G59,Indices!G324,G59))</f>
        <v>288.13099999999997</v>
      </c>
      <c r="H60">
        <f>IF($A59="Date",Indices!H324,IF(Indices!H324&gt;=H59,Indices!H324,H59))</f>
        <v>105.084</v>
      </c>
      <c r="I60">
        <f>IF($A59="Date",Indices!I324,IF(Indices!I324&gt;=I59,Indices!I324,I59))</f>
        <v>5355.2011460000003</v>
      </c>
      <c r="J60">
        <f>IF($A59="Date",Indices!J324,IF(Indices!J324&gt;=J59,Indices!J324,J59))</f>
        <v>7376.3701170000004</v>
      </c>
      <c r="K60">
        <f>IF($A59="Date",Indices!K324,IF(Indices!K324&gt;=K59,Indices!K324,K59))</f>
        <v>494.35000600000001</v>
      </c>
      <c r="L60">
        <f>IF($A59="Date",Indices!L324,IF(Indices!L324&gt;=L59,Indices!L324,L59))</f>
        <v>16271.75</v>
      </c>
      <c r="O60" s="20">
        <v>44641</v>
      </c>
      <c r="P60" s="17">
        <f>(PrevPeak[[#This Row],[Chine]]-Indices!B324)/PrevPeak[[#This Row],[Chine]]</f>
        <v>0.13383974139918933</v>
      </c>
      <c r="Q60" s="17">
        <f>(PrevPeak[[#This Row],[DM]]-Indices!C324)/PrevPeak[[#This Row],[DM]]</f>
        <v>5.147798452625741E-2</v>
      </c>
      <c r="R60" s="17">
        <f>(PrevPeak[[#This Row],[EM ex China]]-Indices!D324)/PrevPeak[[#This Row],[EM ex China]]</f>
        <v>5.7223971842696397E-2</v>
      </c>
      <c r="S60" s="17">
        <f>(PrevPeak[[#This Row],[EM]]-Indices!E324)/PrevPeak[[#This Row],[EM]]</f>
        <v>9.0448548812664967E-2</v>
      </c>
      <c r="T60" s="17">
        <f>(PrevPeak[[#This Row],[Japon]]-Indices!F324)/PrevPeak[[#This Row],[Japon]]</f>
        <v>7.5234441602728019E-2</v>
      </c>
      <c r="U60" s="17">
        <f>(PrevPeak[[#This Row],[Monde]]-Indices!G324)/PrevPeak[[#This Row],[Monde]]</f>
        <v>5.42149230731854E-2</v>
      </c>
      <c r="V60" s="17">
        <f>(PrevPeak[[#This Row],[RU]]-Indices!H324)/PrevPeak[[#This Row],[RU]]</f>
        <v>2.062159795972747E-2</v>
      </c>
      <c r="W60" s="17">
        <f>(PrevPeak[[#This Row],[US]]-Indices!I324)/PrevPeak[[#This Row],[US]]</f>
        <v>7.5525282986261141E-2</v>
      </c>
      <c r="X60" s="17">
        <f>(PrevPeak[[#This Row],[France]]-Indices!J324)/PrevPeak[[#This Row],[France]]</f>
        <v>0.10764644756233296</v>
      </c>
      <c r="Y60" s="17">
        <f>(PrevPeak[[#This Row],[Europe]]-Indices!K324)/PrevPeak[[#This Row],[Europe]]</f>
        <v>8.0024267259743917E-2</v>
      </c>
      <c r="Z60" s="17">
        <f>(PrevPeak[[#This Row],[Allemagne]]-Indices!L324)/PrevPeak[[#This Row],[Allemagne]]</f>
        <v>0.1195188145098099</v>
      </c>
      <c r="AA60" s="27">
        <f>YEAR(DD[[#This Row],[Date]])</f>
        <v>2022</v>
      </c>
    </row>
    <row r="61" spans="1:27" x14ac:dyDescent="0.25">
      <c r="A61" s="1">
        <v>44642</v>
      </c>
      <c r="B61">
        <f>IF($A60="Date",Indices!B325,IF(Indices!B325&gt;=B60,Indices!B325,B60))</f>
        <v>2879.4960000000001</v>
      </c>
      <c r="C61">
        <f>IF($A60="Date",Indices!C325,IF(Indices!C325&gt;=C60,Indices!C325,C60))</f>
        <v>293.27100000000002</v>
      </c>
      <c r="D61">
        <f>IF($A60="Date",Indices!D325,IF(Indices!D325&gt;=D60,Indices!D325,D60))</f>
        <v>4363.4859999999999</v>
      </c>
      <c r="E61">
        <f>IF($A60="Date",Indices!E325,IF(Indices!E325&gt;=E60,Indices!E325,E60))</f>
        <v>435.85</v>
      </c>
      <c r="F61">
        <f>IF($A60="Date",Indices!F325,IF(Indices!F325&gt;=F60,Indices!F325,F60))</f>
        <v>182.988</v>
      </c>
      <c r="G61">
        <f>IF($A60="Date",Indices!G325,IF(Indices!G325&gt;=G60,Indices!G325,G60))</f>
        <v>288.13099999999997</v>
      </c>
      <c r="H61">
        <f>IF($A60="Date",Indices!H325,IF(Indices!H325&gt;=H60,Indices!H325,H60))</f>
        <v>105.084</v>
      </c>
      <c r="I61">
        <f>IF($A60="Date",Indices!I325,IF(Indices!I325&gt;=I60,Indices!I325,I60))</f>
        <v>5355.2011460000003</v>
      </c>
      <c r="J61">
        <f>IF($A60="Date",Indices!J325,IF(Indices!J325&gt;=J60,Indices!J325,J60))</f>
        <v>7376.3701170000004</v>
      </c>
      <c r="K61">
        <f>IF($A60="Date",Indices!K325,IF(Indices!K325&gt;=K60,Indices!K325,K60))</f>
        <v>494.35000600000001</v>
      </c>
      <c r="L61">
        <f>IF($A60="Date",Indices!L325,IF(Indices!L325&gt;=L60,Indices!L325,L60))</f>
        <v>16271.75</v>
      </c>
      <c r="O61" s="19">
        <v>44642</v>
      </c>
      <c r="P61" s="18">
        <f>(PrevPeak[[#This Row],[Chine]]-Indices!B325)/PrevPeak[[#This Row],[Chine]]</f>
        <v>0.11290795333627827</v>
      </c>
      <c r="Q61" s="18">
        <f>(PrevPeak[[#This Row],[DM]]-Indices!C325)/PrevPeak[[#This Row],[DM]]</f>
        <v>3.9543630294164904E-2</v>
      </c>
      <c r="R61" s="18">
        <f>(PrevPeak[[#This Row],[EM ex China]]-Indices!D325)/PrevPeak[[#This Row],[EM ex China]]</f>
        <v>5.1121511562085963E-2</v>
      </c>
      <c r="S61" s="18">
        <f>(PrevPeak[[#This Row],[EM]]-Indices!E325)/PrevPeak[[#This Row],[EM]]</f>
        <v>7.4979924285878186E-2</v>
      </c>
      <c r="T61" s="18">
        <f>(PrevPeak[[#This Row],[Japon]]-Indices!F325)/PrevPeak[[#This Row],[Japon]]</f>
        <v>7.0868035062408408E-2</v>
      </c>
      <c r="U61" s="18">
        <f>(PrevPeak[[#This Row],[Monde]]-Indices!G325)/PrevPeak[[#This Row],[Monde]]</f>
        <v>4.1855961350913115E-2</v>
      </c>
      <c r="V61" s="18">
        <f>(PrevPeak[[#This Row],[RU]]-Indices!H325)/PrevPeak[[#This Row],[RU]]</f>
        <v>8.9071599862967435E-3</v>
      </c>
      <c r="W61" s="18">
        <f>(PrevPeak[[#This Row],[US]]-Indices!I325)/PrevPeak[[#This Row],[US]]</f>
        <v>6.4494000240864269E-2</v>
      </c>
      <c r="X61" s="18">
        <f>(PrevPeak[[#This Row],[France]]-Indices!J325)/PrevPeak[[#This Row],[France]]</f>
        <v>9.7196852873156936E-2</v>
      </c>
      <c r="Y61" s="18">
        <f>(PrevPeak[[#This Row],[Europe]]-Indices!K325)/PrevPeak[[#This Row],[Europe]]</f>
        <v>7.221606466411172E-2</v>
      </c>
      <c r="Z61" s="18">
        <f>(PrevPeak[[#This Row],[Allemagne]]-Indices!L325)/PrevPeak[[#This Row],[Allemagne]]</f>
        <v>0.11053204480157332</v>
      </c>
      <c r="AA61" s="27">
        <f>YEAR(DD[[#This Row],[Date]])</f>
        <v>2022</v>
      </c>
    </row>
    <row r="62" spans="1:27" x14ac:dyDescent="0.25">
      <c r="A62" s="1">
        <v>44643</v>
      </c>
      <c r="B62">
        <f>IF($A61="Date",Indices!B326,IF(Indices!B326&gt;=B61,Indices!B326,B61))</f>
        <v>2879.4960000000001</v>
      </c>
      <c r="C62">
        <f>IF($A61="Date",Indices!C326,IF(Indices!C326&gt;=C61,Indices!C326,C61))</f>
        <v>293.27100000000002</v>
      </c>
      <c r="D62">
        <f>IF($A61="Date",Indices!D326,IF(Indices!D326&gt;=D61,Indices!D326,D61))</f>
        <v>4363.4859999999999</v>
      </c>
      <c r="E62">
        <f>IF($A61="Date",Indices!E326,IF(Indices!E326&gt;=E61,Indices!E326,E61))</f>
        <v>435.85</v>
      </c>
      <c r="F62">
        <f>IF($A61="Date",Indices!F326,IF(Indices!F326&gt;=F61,Indices!F326,F61))</f>
        <v>182.988</v>
      </c>
      <c r="G62">
        <f>IF($A61="Date",Indices!G326,IF(Indices!G326&gt;=G61,Indices!G326,G61))</f>
        <v>288.13099999999997</v>
      </c>
      <c r="H62">
        <f>IF($A61="Date",Indices!H326,IF(Indices!H326&gt;=H61,Indices!H326,H61))</f>
        <v>105.084</v>
      </c>
      <c r="I62">
        <f>IF($A61="Date",Indices!I326,IF(Indices!I326&gt;=I61,Indices!I326,I61))</f>
        <v>5355.2011460000003</v>
      </c>
      <c r="J62">
        <f>IF($A61="Date",Indices!J326,IF(Indices!J326&gt;=J61,Indices!J326,J61))</f>
        <v>7376.3701170000004</v>
      </c>
      <c r="K62">
        <f>IF($A61="Date",Indices!K326,IF(Indices!K326&gt;=K61,Indices!K326,K61))</f>
        <v>494.35000600000001</v>
      </c>
      <c r="L62">
        <f>IF($A61="Date",Indices!L326,IF(Indices!L326&gt;=L61,Indices!L326,L61))</f>
        <v>16271.75</v>
      </c>
      <c r="O62" s="20">
        <v>44643</v>
      </c>
      <c r="P62" s="17">
        <f>(PrevPeak[[#This Row],[Chine]]-Indices!B326)/PrevPeak[[#This Row],[Chine]]</f>
        <v>0.1036479995110256</v>
      </c>
      <c r="Q62" s="17">
        <f>(PrevPeak[[#This Row],[DM]]-Indices!C326)/PrevPeak[[#This Row],[DM]]</f>
        <v>4.6479195010758062E-2</v>
      </c>
      <c r="R62" s="17">
        <f>(PrevPeak[[#This Row],[EM ex China]]-Indices!D326)/PrevPeak[[#This Row],[EM ex China]]</f>
        <v>4.3361431662665914E-2</v>
      </c>
      <c r="S62" s="17">
        <f>(PrevPeak[[#This Row],[EM]]-Indices!E326)/PrevPeak[[#This Row],[EM]]</f>
        <v>6.562808305609738E-2</v>
      </c>
      <c r="T62" s="17">
        <f>(PrevPeak[[#This Row],[Japon]]-Indices!F326)/PrevPeak[[#This Row],[Japon]]</f>
        <v>4.9287384965134358E-2</v>
      </c>
      <c r="U62" s="17">
        <f>(PrevPeak[[#This Row],[Monde]]-Indices!G326)/PrevPeak[[#This Row],[Monde]]</f>
        <v>4.6950866099100631E-2</v>
      </c>
      <c r="V62" s="17">
        <f>(PrevPeak[[#This Row],[RU]]-Indices!H326)/PrevPeak[[#This Row],[RU]]</f>
        <v>1.2180731605192048E-2</v>
      </c>
      <c r="W62" s="17">
        <f>(PrevPeak[[#This Row],[US]]-Indices!I326)/PrevPeak[[#This Row],[US]]</f>
        <v>7.6444172093475315E-2</v>
      </c>
      <c r="X62" s="17">
        <f>(PrevPeak[[#This Row],[France]]-Indices!J326)/PrevPeak[[#This Row],[France]]</f>
        <v>0.10776844550789784</v>
      </c>
      <c r="Y62" s="17">
        <f>(PrevPeak[[#This Row],[Europe]]-Indices!K326)/PrevPeak[[#This Row],[Europe]]</f>
        <v>8.156165977673728E-2</v>
      </c>
      <c r="Z62" s="17">
        <f>(PrevPeak[[#This Row],[Allemagne]]-Indices!L326)/PrevPeak[[#This Row],[Allemagne]]</f>
        <v>0.12218105673944102</v>
      </c>
      <c r="AA62" s="27">
        <f>YEAR(DD[[#This Row],[Date]])</f>
        <v>2022</v>
      </c>
    </row>
    <row r="63" spans="1:27" x14ac:dyDescent="0.25">
      <c r="A63" s="1">
        <v>44644</v>
      </c>
      <c r="B63">
        <f>IF($A62="Date",Indices!B327,IF(Indices!B327&gt;=B62,Indices!B327,B62))</f>
        <v>2879.4960000000001</v>
      </c>
      <c r="C63">
        <f>IF($A62="Date",Indices!C327,IF(Indices!C327&gt;=C62,Indices!C327,C62))</f>
        <v>293.27100000000002</v>
      </c>
      <c r="D63">
        <f>IF($A62="Date",Indices!D327,IF(Indices!D327&gt;=D62,Indices!D327,D62))</f>
        <v>4363.4859999999999</v>
      </c>
      <c r="E63">
        <f>IF($A62="Date",Indices!E327,IF(Indices!E327&gt;=E62,Indices!E327,E62))</f>
        <v>435.85</v>
      </c>
      <c r="F63">
        <f>IF($A62="Date",Indices!F327,IF(Indices!F327&gt;=F62,Indices!F327,F62))</f>
        <v>182.988</v>
      </c>
      <c r="G63">
        <f>IF($A62="Date",Indices!G327,IF(Indices!G327&gt;=G62,Indices!G327,G62))</f>
        <v>288.13099999999997</v>
      </c>
      <c r="H63">
        <f>IF($A62="Date",Indices!H327,IF(Indices!H327&gt;=H62,Indices!H327,H62))</f>
        <v>105.084</v>
      </c>
      <c r="I63">
        <f>IF($A62="Date",Indices!I327,IF(Indices!I327&gt;=I62,Indices!I327,I62))</f>
        <v>5355.2011460000003</v>
      </c>
      <c r="J63">
        <f>IF($A62="Date",Indices!J327,IF(Indices!J327&gt;=J62,Indices!J327,J62))</f>
        <v>7376.3701170000004</v>
      </c>
      <c r="K63">
        <f>IF($A62="Date",Indices!K327,IF(Indices!K327&gt;=K62,Indices!K327,K62))</f>
        <v>494.35000600000001</v>
      </c>
      <c r="L63">
        <f>IF($A62="Date",Indices!L327,IF(Indices!L327&gt;=L62,Indices!L327,L62))</f>
        <v>16271.75</v>
      </c>
      <c r="O63" s="19">
        <v>44644</v>
      </c>
      <c r="P63" s="18">
        <f>(PrevPeak[[#This Row],[Chine]]-Indices!B327)/PrevPeak[[#This Row],[Chine]]</f>
        <v>0.11388590225511694</v>
      </c>
      <c r="Q63" s="18">
        <f>(PrevPeak[[#This Row],[DM]]-Indices!C327)/PrevPeak[[#This Row],[DM]]</f>
        <v>3.7927377749589937E-2</v>
      </c>
      <c r="R63" s="18">
        <f>(PrevPeak[[#This Row],[EM ex China]]-Indices!D327)/PrevPeak[[#This Row],[EM ex China]]</f>
        <v>4.218691202401003E-2</v>
      </c>
      <c r="S63" s="18">
        <f>(PrevPeak[[#This Row],[EM]]-Indices!E327)/PrevPeak[[#This Row],[EM]]</f>
        <v>6.9225651026729437E-2</v>
      </c>
      <c r="T63" s="18">
        <f>(PrevPeak[[#This Row],[Japon]]-Indices!F327)/PrevPeak[[#This Row],[Japon]]</f>
        <v>5.5571950073228904E-2</v>
      </c>
      <c r="U63" s="18">
        <f>(PrevPeak[[#This Row],[Monde]]-Indices!G327)/PrevPeak[[#This Row],[Monde]]</f>
        <v>3.9766633926928967E-2</v>
      </c>
      <c r="V63" s="18">
        <f>(PrevPeak[[#This Row],[RU]]-Indices!H327)/PrevPeak[[#This Row],[RU]]</f>
        <v>1.3237029424079835E-2</v>
      </c>
      <c r="W63" s="18">
        <f>(PrevPeak[[#This Row],[US]]-Indices!I327)/PrevPeak[[#This Row],[US]]</f>
        <v>6.3426407288866379E-2</v>
      </c>
      <c r="X63" s="18">
        <f>(PrevPeak[[#This Row],[France]]-Indices!J327)/PrevPeak[[#This Row],[France]]</f>
        <v>0.1112471424269776</v>
      </c>
      <c r="Y63" s="18">
        <f>(PrevPeak[[#This Row],[Europe]]-Indices!K327)/PrevPeak[[#This Row],[Europe]]</f>
        <v>8.3503587537126542E-2</v>
      </c>
      <c r="Z63" s="18">
        <f>(PrevPeak[[#This Row],[Allemagne]]-Indices!L327)/PrevPeak[[#This Row],[Allemagne]]</f>
        <v>0.12278703642816538</v>
      </c>
      <c r="AA63" s="27">
        <f>YEAR(DD[[#This Row],[Date]])</f>
        <v>2022</v>
      </c>
    </row>
    <row r="64" spans="1:27" x14ac:dyDescent="0.25">
      <c r="A64" s="1">
        <v>44645</v>
      </c>
      <c r="B64">
        <f>IF($A63="Date",Indices!B328,IF(Indices!B328&gt;=B63,Indices!B328,B63))</f>
        <v>2879.4960000000001</v>
      </c>
      <c r="C64">
        <f>IF($A63="Date",Indices!C328,IF(Indices!C328&gt;=C63,Indices!C328,C63))</f>
        <v>293.27100000000002</v>
      </c>
      <c r="D64">
        <f>IF($A63="Date",Indices!D328,IF(Indices!D328&gt;=D63,Indices!D328,D63))</f>
        <v>4363.4859999999999</v>
      </c>
      <c r="E64">
        <f>IF($A63="Date",Indices!E328,IF(Indices!E328&gt;=E63,Indices!E328,E63))</f>
        <v>435.85</v>
      </c>
      <c r="F64">
        <f>IF($A63="Date",Indices!F328,IF(Indices!F328&gt;=F63,Indices!F328,F63))</f>
        <v>182.988</v>
      </c>
      <c r="G64">
        <f>IF($A63="Date",Indices!G328,IF(Indices!G328&gt;=G63,Indices!G328,G63))</f>
        <v>288.13099999999997</v>
      </c>
      <c r="H64">
        <f>IF($A63="Date",Indices!H328,IF(Indices!H328&gt;=H63,Indices!H328,H63))</f>
        <v>105.084</v>
      </c>
      <c r="I64">
        <f>IF($A63="Date",Indices!I328,IF(Indices!I328&gt;=I63,Indices!I328,I63))</f>
        <v>5355.2011460000003</v>
      </c>
      <c r="J64">
        <f>IF($A63="Date",Indices!J328,IF(Indices!J328&gt;=J63,Indices!J328,J63))</f>
        <v>7376.3701170000004</v>
      </c>
      <c r="K64">
        <f>IF($A63="Date",Indices!K328,IF(Indices!K328&gt;=K63,Indices!K328,K63))</f>
        <v>494.35000600000001</v>
      </c>
      <c r="L64">
        <f>IF($A63="Date",Indices!L328,IF(Indices!L328&gt;=L63,Indices!L328,L63))</f>
        <v>16271.75</v>
      </c>
      <c r="O64" s="20">
        <v>44645</v>
      </c>
      <c r="P64" s="17">
        <f>(PrevPeak[[#This Row],[Chine]]-Indices!B328)/PrevPeak[[#This Row],[Chine]]</f>
        <v>0.13603213895765098</v>
      </c>
      <c r="Q64" s="17">
        <f>(PrevPeak[[#This Row],[DM]]-Indices!C328)/PrevPeak[[#This Row],[DM]]</f>
        <v>3.349461760624145E-2</v>
      </c>
      <c r="R64" s="17">
        <f>(PrevPeak[[#This Row],[EM ex China]]-Indices!D328)/PrevPeak[[#This Row],[EM ex China]]</f>
        <v>4.0349390372743335E-2</v>
      </c>
      <c r="S64" s="17">
        <f>(PrevPeak[[#This Row],[EM]]-Indices!E328)/PrevPeak[[#This Row],[EM]]</f>
        <v>7.7072387289205097E-2</v>
      </c>
      <c r="T64" s="17">
        <f>(PrevPeak[[#This Row],[Japon]]-Indices!F328)/PrevPeak[[#This Row],[Japon]]</f>
        <v>5.3730299254595895E-2</v>
      </c>
      <c r="U64" s="17">
        <f>(PrevPeak[[#This Row],[Monde]]-Indices!G328)/PrevPeak[[#This Row],[Monde]]</f>
        <v>3.6722879523549919E-2</v>
      </c>
      <c r="V64" s="17">
        <f>(PrevPeak[[#This Row],[RU]]-Indices!H328)/PrevPeak[[#This Row],[RU]]</f>
        <v>7.6700544326443352E-3</v>
      </c>
      <c r="W64" s="17">
        <f>(PrevPeak[[#This Row],[US]]-Indices!I328)/PrevPeak[[#This Row],[US]]</f>
        <v>5.9770356383173649E-2</v>
      </c>
      <c r="X64" s="17">
        <f>(PrevPeak[[#This Row],[France]]-Indices!J328)/PrevPeak[[#This Row],[France]]</f>
        <v>0.11153045847089244</v>
      </c>
      <c r="Y64" s="17">
        <f>(PrevPeak[[#This Row],[Europe]]-Indices!K328)/PrevPeak[[#This Row],[Europe]]</f>
        <v>8.2532653999805999E-2</v>
      </c>
      <c r="Z64" s="17">
        <f>(PrevPeak[[#This Row],[Allemagne]]-Indices!L328)/PrevPeak[[#This Row],[Allemagne]]</f>
        <v>0.12082229815477742</v>
      </c>
      <c r="AA64" s="27">
        <f>YEAR(DD[[#This Row],[Date]])</f>
        <v>2022</v>
      </c>
    </row>
    <row r="65" spans="1:27" x14ac:dyDescent="0.25">
      <c r="A65" s="1">
        <v>44648</v>
      </c>
      <c r="B65">
        <f>IF($A64="Date",Indices!B329,IF(Indices!B329&gt;=B64,Indices!B329,B64))</f>
        <v>2879.4960000000001</v>
      </c>
      <c r="C65">
        <f>IF($A64="Date",Indices!C329,IF(Indices!C329&gt;=C64,Indices!C329,C64))</f>
        <v>293.27100000000002</v>
      </c>
      <c r="D65">
        <f>IF($A64="Date",Indices!D329,IF(Indices!D329&gt;=D64,Indices!D329,D64))</f>
        <v>4363.4859999999999</v>
      </c>
      <c r="E65">
        <f>IF($A64="Date",Indices!E329,IF(Indices!E329&gt;=E64,Indices!E329,E64))</f>
        <v>435.85</v>
      </c>
      <c r="F65">
        <f>IF($A64="Date",Indices!F329,IF(Indices!F329&gt;=F64,Indices!F329,F64))</f>
        <v>182.988</v>
      </c>
      <c r="G65">
        <f>IF($A64="Date",Indices!G329,IF(Indices!G329&gt;=G64,Indices!G329,G64))</f>
        <v>288.13099999999997</v>
      </c>
      <c r="H65">
        <f>IF($A64="Date",Indices!H329,IF(Indices!H329&gt;=H64,Indices!H329,H64))</f>
        <v>105.084</v>
      </c>
      <c r="I65">
        <f>IF($A64="Date",Indices!I329,IF(Indices!I329&gt;=I64,Indices!I329,I64))</f>
        <v>5355.2011460000003</v>
      </c>
      <c r="J65">
        <f>IF($A64="Date",Indices!J329,IF(Indices!J329&gt;=J64,Indices!J329,J64))</f>
        <v>7376.3701170000004</v>
      </c>
      <c r="K65">
        <f>IF($A64="Date",Indices!K329,IF(Indices!K329&gt;=K64,Indices!K329,K64))</f>
        <v>494.35000600000001</v>
      </c>
      <c r="L65">
        <f>IF($A64="Date",Indices!L329,IF(Indices!L329&gt;=L64,Indices!L329,L64))</f>
        <v>16271.75</v>
      </c>
      <c r="O65" s="19">
        <v>44648</v>
      </c>
      <c r="P65" s="18">
        <f>(PrevPeak[[#This Row],[Chine]]-Indices!B329)/PrevPeak[[#This Row],[Chine]]</f>
        <v>0.13076663416097814</v>
      </c>
      <c r="Q65" s="18">
        <f>(PrevPeak[[#This Row],[DM]]-Indices!C329)/PrevPeak[[#This Row],[DM]]</f>
        <v>2.8199174142687269E-2</v>
      </c>
      <c r="R65" s="18">
        <f>(PrevPeak[[#This Row],[EM ex China]]-Indices!D329)/PrevPeak[[#This Row],[EM ex China]]</f>
        <v>4.4526325969649033E-2</v>
      </c>
      <c r="S65" s="18">
        <f>(PrevPeak[[#This Row],[EM]]-Indices!E329)/PrevPeak[[#This Row],[EM]]</f>
        <v>7.5968796604336461E-2</v>
      </c>
      <c r="T65" s="18">
        <f>(PrevPeak[[#This Row],[Japon]]-Indices!F329)/PrevPeak[[#This Row],[Japon]]</f>
        <v>6.8015388987255981E-2</v>
      </c>
      <c r="U65" s="18">
        <f>(PrevPeak[[#This Row],[Monde]]-Indices!G329)/PrevPeak[[#This Row],[Monde]]</f>
        <v>3.1898684973154484E-2</v>
      </c>
      <c r="V65" s="18">
        <f>(PrevPeak[[#This Row],[RU]]-Indices!H329)/PrevPeak[[#This Row],[RU]]</f>
        <v>1.599672642838108E-2</v>
      </c>
      <c r="W65" s="18">
        <f>(PrevPeak[[#This Row],[US]]-Indices!I329)/PrevPeak[[#This Row],[US]]</f>
        <v>5.3276686387981324E-2</v>
      </c>
      <c r="X65" s="18">
        <f>(PrevPeak[[#This Row],[France]]-Indices!J329)/PrevPeak[[#This Row],[France]]</f>
        <v>0.10672732543417746</v>
      </c>
      <c r="Y65" s="18">
        <f>(PrevPeak[[#This Row],[Europe]]-Indices!K329)/PrevPeak[[#This Row],[Europe]]</f>
        <v>8.1278431298329998E-2</v>
      </c>
      <c r="Z65" s="18">
        <f>(PrevPeak[[#This Row],[Allemagne]]-Indices!L329)/PrevPeak[[#This Row],[Allemagne]]</f>
        <v>0.1139631496304946</v>
      </c>
      <c r="AA65" s="27">
        <f>YEAR(DD[[#This Row],[Date]])</f>
        <v>2022</v>
      </c>
    </row>
    <row r="66" spans="1:27" x14ac:dyDescent="0.25">
      <c r="A66" s="1">
        <v>44649</v>
      </c>
      <c r="B66">
        <f>IF($A65="Date",Indices!B330,IF(Indices!B330&gt;=B65,Indices!B330,B65))</f>
        <v>2879.4960000000001</v>
      </c>
      <c r="C66">
        <f>IF($A65="Date",Indices!C330,IF(Indices!C330&gt;=C65,Indices!C330,C65))</f>
        <v>293.27100000000002</v>
      </c>
      <c r="D66">
        <f>IF($A65="Date",Indices!D330,IF(Indices!D330&gt;=D65,Indices!D330,D65))</f>
        <v>4363.4859999999999</v>
      </c>
      <c r="E66">
        <f>IF($A65="Date",Indices!E330,IF(Indices!E330&gt;=E65,Indices!E330,E65))</f>
        <v>435.85</v>
      </c>
      <c r="F66">
        <f>IF($A65="Date",Indices!F330,IF(Indices!F330&gt;=F65,Indices!F330,F65))</f>
        <v>182.988</v>
      </c>
      <c r="G66">
        <f>IF($A65="Date",Indices!G330,IF(Indices!G330&gt;=G65,Indices!G330,G65))</f>
        <v>288.13099999999997</v>
      </c>
      <c r="H66">
        <f>IF($A65="Date",Indices!H330,IF(Indices!H330&gt;=H65,Indices!H330,H65))</f>
        <v>105.084</v>
      </c>
      <c r="I66">
        <f>IF($A65="Date",Indices!I330,IF(Indices!I330&gt;=I65,Indices!I330,I65))</f>
        <v>5355.2011460000003</v>
      </c>
      <c r="J66">
        <f>IF($A65="Date",Indices!J330,IF(Indices!J330&gt;=J65,Indices!J330,J65))</f>
        <v>7376.3701170000004</v>
      </c>
      <c r="K66">
        <f>IF($A65="Date",Indices!K330,IF(Indices!K330&gt;=K65,Indices!K330,K65))</f>
        <v>494.35000600000001</v>
      </c>
      <c r="L66">
        <f>IF($A65="Date",Indices!L330,IF(Indices!L330&gt;=L65,Indices!L330,L65))</f>
        <v>16271.75</v>
      </c>
      <c r="O66" s="20">
        <v>44649</v>
      </c>
      <c r="P66" s="17">
        <f>(PrevPeak[[#This Row],[Chine]]-Indices!B330)/PrevPeak[[#This Row],[Chine]]</f>
        <v>0.13533028002122593</v>
      </c>
      <c r="Q66" s="17">
        <f>(PrevPeak[[#This Row],[DM]]-Indices!C330)/PrevPeak[[#This Row],[DM]]</f>
        <v>2.4417688758861262E-2</v>
      </c>
      <c r="R66" s="17">
        <f>(PrevPeak[[#This Row],[EM ex China]]-Indices!D330)/PrevPeak[[#This Row],[EM ex China]]</f>
        <v>4.7980674167397416E-2</v>
      </c>
      <c r="S66" s="17">
        <f>(PrevPeak[[#This Row],[EM]]-Indices!E330)/PrevPeak[[#This Row],[EM]]</f>
        <v>7.7595503040036817E-2</v>
      </c>
      <c r="T66" s="17">
        <f>(PrevPeak[[#This Row],[Japon]]-Indices!F330)/PrevPeak[[#This Row],[Japon]]</f>
        <v>6.3370275646490504E-2</v>
      </c>
      <c r="U66" s="17">
        <f>(PrevPeak[[#This Row],[Monde]]-Indices!G330)/PrevPeak[[#This Row],[Monde]]</f>
        <v>2.8726516758002394E-2</v>
      </c>
      <c r="V66" s="17">
        <f>(PrevPeak[[#This Row],[RU]]-Indices!H330)/PrevPeak[[#This Row],[RU]]</f>
        <v>1.6824635529671506E-2</v>
      </c>
      <c r="W66" s="17">
        <f>(PrevPeak[[#This Row],[US]]-Indices!I330)/PrevPeak[[#This Row],[US]]</f>
        <v>3.942955161594975E-2</v>
      </c>
      <c r="X66" s="17">
        <f>(PrevPeak[[#This Row],[France]]-Indices!J330)/PrevPeak[[#This Row],[France]]</f>
        <v>7.9200196266398987E-2</v>
      </c>
      <c r="Y66" s="17">
        <f>(PrevPeak[[#This Row],[Europe]]-Indices!K330)/PrevPeak[[#This Row],[Europe]]</f>
        <v>6.5257428155063121E-2</v>
      </c>
      <c r="Z66" s="17">
        <f>(PrevPeak[[#This Row],[Allemagne]]-Indices!L330)/PrevPeak[[#This Row],[Allemagne]]</f>
        <v>8.919875981378772E-2</v>
      </c>
      <c r="AA66" s="27">
        <f>YEAR(DD[[#This Row],[Date]])</f>
        <v>2022</v>
      </c>
    </row>
    <row r="67" spans="1:27" x14ac:dyDescent="0.25">
      <c r="A67" s="1">
        <v>44650</v>
      </c>
      <c r="B67">
        <f>IF($A66="Date",Indices!B331,IF(Indices!B331&gt;=B66,Indices!B331,B66))</f>
        <v>2879.4960000000001</v>
      </c>
      <c r="C67">
        <f>IF($A66="Date",Indices!C331,IF(Indices!C331&gt;=C66,Indices!C331,C66))</f>
        <v>293.27100000000002</v>
      </c>
      <c r="D67">
        <f>IF($A66="Date",Indices!D331,IF(Indices!D331&gt;=D66,Indices!D331,D66))</f>
        <v>4363.4859999999999</v>
      </c>
      <c r="E67">
        <f>IF($A66="Date",Indices!E331,IF(Indices!E331&gt;=E66,Indices!E331,E66))</f>
        <v>435.85</v>
      </c>
      <c r="F67">
        <f>IF($A66="Date",Indices!F331,IF(Indices!F331&gt;=F66,Indices!F331,F66))</f>
        <v>182.988</v>
      </c>
      <c r="G67">
        <f>IF($A66="Date",Indices!G331,IF(Indices!G331&gt;=G66,Indices!G331,G66))</f>
        <v>288.13099999999997</v>
      </c>
      <c r="H67">
        <f>IF($A66="Date",Indices!H331,IF(Indices!H331&gt;=H66,Indices!H331,H66))</f>
        <v>105.084</v>
      </c>
      <c r="I67">
        <f>IF($A66="Date",Indices!I331,IF(Indices!I331&gt;=I66,Indices!I331,I66))</f>
        <v>5355.2011460000003</v>
      </c>
      <c r="J67">
        <f>IF($A66="Date",Indices!J331,IF(Indices!J331&gt;=J66,Indices!J331,J66))</f>
        <v>7376.3701170000004</v>
      </c>
      <c r="K67">
        <f>IF($A66="Date",Indices!K331,IF(Indices!K331&gt;=K66,Indices!K331,K66))</f>
        <v>494.35000600000001</v>
      </c>
      <c r="L67">
        <f>IF($A66="Date",Indices!L331,IF(Indices!L331&gt;=L66,Indices!L331,L66))</f>
        <v>16271.75</v>
      </c>
      <c r="O67" s="19">
        <v>44650</v>
      </c>
      <c r="P67" s="18">
        <f>(PrevPeak[[#This Row],[Chine]]-Indices!B331)/PrevPeak[[#This Row],[Chine]]</f>
        <v>0.12186924378432892</v>
      </c>
      <c r="Q67" s="18">
        <f>(PrevPeak[[#This Row],[DM]]-Indices!C331)/PrevPeak[[#This Row],[DM]]</f>
        <v>3.4244777015115732E-2</v>
      </c>
      <c r="R67" s="18">
        <f>(PrevPeak[[#This Row],[EM ex China]]-Indices!D331)/PrevPeak[[#This Row],[EM ex China]]</f>
        <v>4.4045517735131962E-2</v>
      </c>
      <c r="S67" s="18">
        <f>(PrevPeak[[#This Row],[EM]]-Indices!E331)/PrevPeak[[#This Row],[EM]]</f>
        <v>7.2343696225765752E-2</v>
      </c>
      <c r="T67" s="18">
        <f>(PrevPeak[[#This Row],[Japon]]-Indices!F331)/PrevPeak[[#This Row],[Japon]]</f>
        <v>7.4944805123833252E-2</v>
      </c>
      <c r="U67" s="18">
        <f>(PrevPeak[[#This Row],[Monde]]-Indices!G331)/PrevPeak[[#This Row],[Monde]]</f>
        <v>3.6851293335323158E-2</v>
      </c>
      <c r="V67" s="18">
        <f>(PrevPeak[[#This Row],[RU]]-Indices!H331)/PrevPeak[[#This Row],[RU]]</f>
        <v>1.2456701305622144E-2</v>
      </c>
      <c r="W67" s="18">
        <f>(PrevPeak[[#This Row],[US]]-Indices!I331)/PrevPeak[[#This Row],[US]]</f>
        <v>4.7244300279734155E-2</v>
      </c>
      <c r="X67" s="18">
        <f>(PrevPeak[[#This Row],[France]]-Indices!J331)/PrevPeak[[#This Row],[France]]</f>
        <v>8.6055914078531623E-2</v>
      </c>
      <c r="Y67" s="18">
        <f>(PrevPeak[[#This Row],[Europe]]-Indices!K331)/PrevPeak[[#This Row],[Europe]]</f>
        <v>6.9100846738939889E-2</v>
      </c>
      <c r="Z67" s="18">
        <f>(PrevPeak[[#This Row],[Allemagne]]-Indices!L331)/PrevPeak[[#This Row],[Allemagne]]</f>
        <v>0.10236761196552305</v>
      </c>
      <c r="AA67" s="27">
        <f>YEAR(DD[[#This Row],[Date]])</f>
        <v>2022</v>
      </c>
    </row>
    <row r="68" spans="1:27" x14ac:dyDescent="0.25">
      <c r="A68" s="1">
        <v>44651</v>
      </c>
      <c r="B68">
        <f>IF($A67="Date",Indices!B332,IF(Indices!B332&gt;=B67,Indices!B332,B67))</f>
        <v>2879.4960000000001</v>
      </c>
      <c r="C68">
        <f>IF($A67="Date",Indices!C332,IF(Indices!C332&gt;=C67,Indices!C332,C67))</f>
        <v>293.27100000000002</v>
      </c>
      <c r="D68">
        <f>IF($A67="Date",Indices!D332,IF(Indices!D332&gt;=D67,Indices!D332,D67))</f>
        <v>4363.4859999999999</v>
      </c>
      <c r="E68">
        <f>IF($A67="Date",Indices!E332,IF(Indices!E332&gt;=E67,Indices!E332,E67))</f>
        <v>435.85</v>
      </c>
      <c r="F68">
        <f>IF($A67="Date",Indices!F332,IF(Indices!F332&gt;=F67,Indices!F332,F67))</f>
        <v>182.988</v>
      </c>
      <c r="G68">
        <f>IF($A67="Date",Indices!G332,IF(Indices!G332&gt;=G67,Indices!G332,G67))</f>
        <v>288.13099999999997</v>
      </c>
      <c r="H68">
        <f>IF($A67="Date",Indices!H332,IF(Indices!H332&gt;=H67,Indices!H332,H67))</f>
        <v>105.084</v>
      </c>
      <c r="I68">
        <f>IF($A67="Date",Indices!I332,IF(Indices!I332&gt;=I67,Indices!I332,I67))</f>
        <v>5355.2011460000003</v>
      </c>
      <c r="J68">
        <f>IF($A67="Date",Indices!J332,IF(Indices!J332&gt;=J67,Indices!J332,J67))</f>
        <v>7376.3701170000004</v>
      </c>
      <c r="K68">
        <f>IF($A67="Date",Indices!K332,IF(Indices!K332&gt;=K67,Indices!K332,K67))</f>
        <v>494.35000600000001</v>
      </c>
      <c r="L68">
        <f>IF($A67="Date",Indices!L332,IF(Indices!L332&gt;=L67,Indices!L332,L67))</f>
        <v>16271.75</v>
      </c>
      <c r="O68" s="20">
        <v>44651</v>
      </c>
      <c r="P68" s="17">
        <f>(PrevPeak[[#This Row],[Chine]]-Indices!B332)/PrevPeak[[#This Row],[Chine]]</f>
        <v>0.13079059668775364</v>
      </c>
      <c r="Q68" s="17">
        <f>(PrevPeak[[#This Row],[DM]]-Indices!C332)/PrevPeak[[#This Row],[DM]]</f>
        <v>4.4590157226592458E-2</v>
      </c>
      <c r="R68" s="17">
        <f>(PrevPeak[[#This Row],[EM ex China]]-Indices!D332)/PrevPeak[[#This Row],[EM ex China]]</f>
        <v>4.2355584502849375E-2</v>
      </c>
      <c r="S68" s="17">
        <f>(PrevPeak[[#This Row],[EM]]-Indices!E332)/PrevPeak[[#This Row],[EM]]</f>
        <v>7.5262131467247903E-2</v>
      </c>
      <c r="T68" s="17">
        <f>(PrevPeak[[#This Row],[Japon]]-Indices!F332)/PrevPeak[[#This Row],[Japon]]</f>
        <v>7.6125210396310178E-2</v>
      </c>
      <c r="U68" s="17">
        <f>(PrevPeak[[#This Row],[Monde]]-Indices!G332)/PrevPeak[[#This Row],[Monde]]</f>
        <v>4.6367797980779432E-2</v>
      </c>
      <c r="V68" s="17">
        <f>(PrevPeak[[#This Row],[RU]]-Indices!H332)/PrevPeak[[#This Row],[RU]]</f>
        <v>1.7776255186327215E-2</v>
      </c>
      <c r="W68" s="17">
        <f>(PrevPeak[[#This Row],[US]]-Indices!I332)/PrevPeak[[#This Row],[US]]</f>
        <v>6.1761417168624107E-2</v>
      </c>
      <c r="X68" s="17">
        <f>(PrevPeak[[#This Row],[France]]-Indices!J332)/PrevPeak[[#This Row],[France]]</f>
        <v>9.7134496864347081E-2</v>
      </c>
      <c r="Y68" s="17">
        <f>(PrevPeak[[#This Row],[Europe]]-Indices!K332)/PrevPeak[[#This Row],[Europe]]</f>
        <v>7.7859857454922354E-2</v>
      </c>
      <c r="Z68" s="17">
        <f>(PrevPeak[[#This Row],[Allemagne]]-Indices!L332)/PrevPeak[[#This Row],[Allemagne]]</f>
        <v>0.11412417226174197</v>
      </c>
      <c r="AA68" s="27">
        <f>YEAR(DD[[#This Row],[Date]])</f>
        <v>2022</v>
      </c>
    </row>
    <row r="69" spans="1:27" x14ac:dyDescent="0.25">
      <c r="A69" s="1">
        <v>44652</v>
      </c>
      <c r="B69">
        <f>IF($A68="Date",Indices!B333,IF(Indices!B333&gt;=B68,Indices!B333,B68))</f>
        <v>2879.4960000000001</v>
      </c>
      <c r="C69">
        <f>IF($A68="Date",Indices!C333,IF(Indices!C333&gt;=C68,Indices!C333,C68))</f>
        <v>293.27100000000002</v>
      </c>
      <c r="D69">
        <f>IF($A68="Date",Indices!D333,IF(Indices!D333&gt;=D68,Indices!D333,D68))</f>
        <v>4363.4859999999999</v>
      </c>
      <c r="E69">
        <f>IF($A68="Date",Indices!E333,IF(Indices!E333&gt;=E68,Indices!E333,E68))</f>
        <v>435.85</v>
      </c>
      <c r="F69">
        <f>IF($A68="Date",Indices!F333,IF(Indices!F333&gt;=F68,Indices!F333,F68))</f>
        <v>182.988</v>
      </c>
      <c r="G69">
        <f>IF($A68="Date",Indices!G333,IF(Indices!G333&gt;=G68,Indices!G333,G68))</f>
        <v>288.13099999999997</v>
      </c>
      <c r="H69">
        <f>IF($A68="Date",Indices!H333,IF(Indices!H333&gt;=H68,Indices!H333,H68))</f>
        <v>105.084</v>
      </c>
      <c r="I69">
        <f>IF($A68="Date",Indices!I333,IF(Indices!I333&gt;=I68,Indices!I333,I68))</f>
        <v>5355.2011460000003</v>
      </c>
      <c r="J69">
        <f>IF($A68="Date",Indices!J333,IF(Indices!J333&gt;=J68,Indices!J333,J68))</f>
        <v>7376.3701170000004</v>
      </c>
      <c r="K69">
        <f>IF($A68="Date",Indices!K333,IF(Indices!K333&gt;=K68,Indices!K333,K68))</f>
        <v>494.35000600000001</v>
      </c>
      <c r="L69">
        <f>IF($A68="Date",Indices!L333,IF(Indices!L333&gt;=L68,Indices!L333,L68))</f>
        <v>16271.75</v>
      </c>
      <c r="O69" s="19">
        <v>44652</v>
      </c>
      <c r="P69" s="18">
        <f>(PrevPeak[[#This Row],[Chine]]-Indices!B333)/PrevPeak[[#This Row],[Chine]]</f>
        <v>0.11551188124588468</v>
      </c>
      <c r="Q69" s="18">
        <f>(PrevPeak[[#This Row],[DM]]-Indices!C333)/PrevPeak[[#This Row],[DM]]</f>
        <v>3.5537097087676668E-2</v>
      </c>
      <c r="R69" s="18">
        <f>(PrevPeak[[#This Row],[EM ex China]]-Indices!D333)/PrevPeak[[#This Row],[EM ex China]]</f>
        <v>3.345673619670151E-2</v>
      </c>
      <c r="S69" s="18">
        <f>(PrevPeak[[#This Row],[EM]]-Indices!E333)/PrevPeak[[#This Row],[EM]]</f>
        <v>6.4405185270161813E-2</v>
      </c>
      <c r="T69" s="18">
        <f>(PrevPeak[[#This Row],[Japon]]-Indices!F333)/PrevPeak[[#This Row],[Japon]]</f>
        <v>8.1300413141845426E-2</v>
      </c>
      <c r="U69" s="18">
        <f>(PrevPeak[[#This Row],[Monde]]-Indices!G333)/PrevPeak[[#This Row],[Monde]]</f>
        <v>3.7094238384623626E-2</v>
      </c>
      <c r="V69" s="18">
        <f>(PrevPeak[[#This Row],[RU]]-Indices!H333)/PrevPeak[[#This Row],[RU]]</f>
        <v>1.0810399299608026E-2</v>
      </c>
      <c r="W69" s="18">
        <f>(PrevPeak[[#This Row],[US]]-Indices!I333)/PrevPeak[[#This Row],[US]]</f>
        <v>5.7719387483862794E-2</v>
      </c>
      <c r="X69" s="18">
        <f>(PrevPeak[[#This Row],[France]]-Indices!J333)/PrevPeak[[#This Row],[France]]</f>
        <v>9.3821221959163786E-2</v>
      </c>
      <c r="Y69" s="18">
        <f>(PrevPeak[[#This Row],[Europe]]-Indices!K333)/PrevPeak[[#This Row],[Europe]]</f>
        <v>7.2843146683404761E-2</v>
      </c>
      <c r="Z69" s="18">
        <f>(PrevPeak[[#This Row],[Allemagne]]-Indices!L333)/PrevPeak[[#This Row],[Allemagne]]</f>
        <v>0.11217413799990779</v>
      </c>
      <c r="AA69" s="27">
        <f>YEAR(DD[[#This Row],[Date]])</f>
        <v>2022</v>
      </c>
    </row>
    <row r="70" spans="1:27" x14ac:dyDescent="0.25">
      <c r="A70" s="1">
        <v>44655</v>
      </c>
      <c r="B70">
        <f>IF($A69="Date",Indices!B334,IF(Indices!B334&gt;=B69,Indices!B334,B69))</f>
        <v>2879.4960000000001</v>
      </c>
      <c r="C70">
        <f>IF($A69="Date",Indices!C334,IF(Indices!C334&gt;=C69,Indices!C334,C69))</f>
        <v>293.27100000000002</v>
      </c>
      <c r="D70">
        <f>IF($A69="Date",Indices!D334,IF(Indices!D334&gt;=D69,Indices!D334,D69))</f>
        <v>4363.4859999999999</v>
      </c>
      <c r="E70">
        <f>IF($A69="Date",Indices!E334,IF(Indices!E334&gt;=E69,Indices!E334,E69))</f>
        <v>435.85</v>
      </c>
      <c r="F70">
        <f>IF($A69="Date",Indices!F334,IF(Indices!F334&gt;=F69,Indices!F334,F69))</f>
        <v>182.988</v>
      </c>
      <c r="G70">
        <f>IF($A69="Date",Indices!G334,IF(Indices!G334&gt;=G69,Indices!G334,G69))</f>
        <v>288.13099999999997</v>
      </c>
      <c r="H70">
        <f>IF($A69="Date",Indices!H334,IF(Indices!H334&gt;=H69,Indices!H334,H69))</f>
        <v>105.084</v>
      </c>
      <c r="I70">
        <f>IF($A69="Date",Indices!I334,IF(Indices!I334&gt;=I69,Indices!I334,I69))</f>
        <v>5355.2011460000003</v>
      </c>
      <c r="J70">
        <f>IF($A69="Date",Indices!J334,IF(Indices!J334&gt;=J69,Indices!J334,J69))</f>
        <v>7376.3701170000004</v>
      </c>
      <c r="K70">
        <f>IF($A69="Date",Indices!K334,IF(Indices!K334&gt;=K69,Indices!K334,K69))</f>
        <v>494.35000600000001</v>
      </c>
      <c r="L70">
        <f>IF($A69="Date",Indices!L334,IF(Indices!L334&gt;=L69,Indices!L334,L69))</f>
        <v>16271.75</v>
      </c>
      <c r="O70" s="20">
        <v>44655</v>
      </c>
      <c r="P70" s="17">
        <f>(PrevPeak[[#This Row],[Chine]]-Indices!B334)/PrevPeak[[#This Row],[Chine]]</f>
        <v>9.6202252060777343E-2</v>
      </c>
      <c r="Q70" s="17">
        <f>(PrevPeak[[#This Row],[DM]]-Indices!C334)/PrevPeak[[#This Row],[DM]]</f>
        <v>2.4329033555994254E-2</v>
      </c>
      <c r="R70" s="17">
        <f>(PrevPeak[[#This Row],[EM ex China]]-Indices!D334)/PrevPeak[[#This Row],[EM ex China]]</f>
        <v>2.3788548880413384E-2</v>
      </c>
      <c r="S70" s="17">
        <f>(PrevPeak[[#This Row],[EM]]-Indices!E334)/PrevPeak[[#This Row],[EM]]</f>
        <v>4.8055523689342773E-2</v>
      </c>
      <c r="T70" s="17">
        <f>(PrevPeak[[#This Row],[Japon]]-Indices!F334)/PrevPeak[[#This Row],[Japon]]</f>
        <v>7.3053970752180439E-2</v>
      </c>
      <c r="U70" s="17">
        <f>(PrevPeak[[#This Row],[Monde]]-Indices!G334)/PrevPeak[[#This Row],[Monde]]</f>
        <v>2.5280167701496863E-2</v>
      </c>
      <c r="V70" s="17">
        <f>(PrevPeak[[#This Row],[RU]]-Indices!H334)/PrevPeak[[#This Row],[RU]]</f>
        <v>4.5772905485136533E-3</v>
      </c>
      <c r="W70" s="17">
        <f>(PrevPeak[[#This Row],[US]]-Indices!I334)/PrevPeak[[#This Row],[US]]</f>
        <v>5.0126643179501718E-2</v>
      </c>
      <c r="X70" s="17">
        <f>(PrevPeak[[#This Row],[France]]-Indices!J334)/PrevPeak[[#This Row],[France]]</f>
        <v>8.7441382383117744E-2</v>
      </c>
      <c r="Y70" s="17">
        <f>(PrevPeak[[#This Row],[Europe]]-Indices!K334)/PrevPeak[[#This Row],[Europe]]</f>
        <v>6.5055130190491015E-2</v>
      </c>
      <c r="Z70" s="17">
        <f>(PrevPeak[[#This Row],[Allemagne]]-Indices!L334)/PrevPeak[[#This Row],[Allemagne]]</f>
        <v>0.10776897629326904</v>
      </c>
      <c r="AA70" s="27">
        <f>YEAR(DD[[#This Row],[Date]])</f>
        <v>2022</v>
      </c>
    </row>
    <row r="71" spans="1:27" x14ac:dyDescent="0.25">
      <c r="A71" s="1">
        <v>44656</v>
      </c>
      <c r="B71">
        <f>IF($A70="Date",Indices!B335,IF(Indices!B335&gt;=B70,Indices!B335,B70))</f>
        <v>2879.4960000000001</v>
      </c>
      <c r="C71">
        <f>IF($A70="Date",Indices!C335,IF(Indices!C335&gt;=C70,Indices!C335,C70))</f>
        <v>293.27100000000002</v>
      </c>
      <c r="D71">
        <f>IF($A70="Date",Indices!D335,IF(Indices!D335&gt;=D70,Indices!D335,D70))</f>
        <v>4363.4859999999999</v>
      </c>
      <c r="E71">
        <f>IF($A70="Date",Indices!E335,IF(Indices!E335&gt;=E70,Indices!E335,E70))</f>
        <v>435.85</v>
      </c>
      <c r="F71">
        <f>IF($A70="Date",Indices!F335,IF(Indices!F335&gt;=F70,Indices!F335,F70))</f>
        <v>182.988</v>
      </c>
      <c r="G71">
        <f>IF($A70="Date",Indices!G335,IF(Indices!G335&gt;=G70,Indices!G335,G70))</f>
        <v>288.13099999999997</v>
      </c>
      <c r="H71">
        <f>IF($A70="Date",Indices!H335,IF(Indices!H335&gt;=H70,Indices!H335,H70))</f>
        <v>106.16</v>
      </c>
      <c r="I71">
        <f>IF($A70="Date",Indices!I335,IF(Indices!I335&gt;=I70,Indices!I335,I70))</f>
        <v>5355.2011460000003</v>
      </c>
      <c r="J71">
        <f>IF($A70="Date",Indices!J335,IF(Indices!J335&gt;=J70,Indices!J335,J70))</f>
        <v>7376.3701170000004</v>
      </c>
      <c r="K71">
        <f>IF($A70="Date",Indices!K335,IF(Indices!K335&gt;=K70,Indices!K335,K70))</f>
        <v>494.35000600000001</v>
      </c>
      <c r="L71">
        <f>IF($A70="Date",Indices!L335,IF(Indices!L335&gt;=L70,Indices!L335,L70))</f>
        <v>16271.75</v>
      </c>
      <c r="O71" s="19">
        <v>44656</v>
      </c>
      <c r="P71" s="18">
        <f>(PrevPeak[[#This Row],[Chine]]-Indices!B335)/PrevPeak[[#This Row],[Chine]]</f>
        <v>9.4136265513131478E-2</v>
      </c>
      <c r="Q71" s="18">
        <f>(PrevPeak[[#This Row],[DM]]-Indices!C335)/PrevPeak[[#This Row],[DM]]</f>
        <v>2.9338052517978393E-2</v>
      </c>
      <c r="R71" s="18">
        <f>(PrevPeak[[#This Row],[EM ex China]]-Indices!D335)/PrevPeak[[#This Row],[EM ex China]]</f>
        <v>2.2398375977372147E-2</v>
      </c>
      <c r="S71" s="18">
        <f>(PrevPeak[[#This Row],[EM]]-Indices!E335)/PrevPeak[[#This Row],[EM]]</f>
        <v>4.7039118962945985E-2</v>
      </c>
      <c r="T71" s="18">
        <f>(PrevPeak[[#This Row],[Japon]]-Indices!F335)/PrevPeak[[#This Row],[Japon]]</f>
        <v>7.5015848033750873E-2</v>
      </c>
      <c r="U71" s="18">
        <f>(PrevPeak[[#This Row],[Monde]]-Indices!G335)/PrevPeak[[#This Row],[Monde]]</f>
        <v>2.9615001509729809E-2</v>
      </c>
      <c r="V71" s="18">
        <f>(PrevPeak[[#This Row],[RU]]-Indices!H335)/PrevPeak[[#This Row],[RU]]</f>
        <v>0</v>
      </c>
      <c r="W71" s="18">
        <f>(PrevPeak[[#This Row],[US]]-Indices!I335)/PrevPeak[[#This Row],[US]]</f>
        <v>6.38143587295983E-2</v>
      </c>
      <c r="X71" s="18">
        <f>(PrevPeak[[#This Row],[France]]-Indices!J335)/PrevPeak[[#This Row],[France]]</f>
        <v>9.9081301427055304E-2</v>
      </c>
      <c r="Y71" s="18">
        <f>(PrevPeak[[#This Row],[Europe]]-Indices!K335)/PrevPeak[[#This Row],[Europe]]</f>
        <v>6.327500479488217E-2</v>
      </c>
      <c r="Z71" s="18">
        <f>(PrevPeak[[#This Row],[Allemagne]]-Indices!L335)/PrevPeak[[#This Row],[Allemagne]]</f>
        <v>0.11353355662421062</v>
      </c>
      <c r="AA71" s="27">
        <f>YEAR(DD[[#This Row],[Date]])</f>
        <v>2022</v>
      </c>
    </row>
    <row r="72" spans="1:27" x14ac:dyDescent="0.25">
      <c r="A72" s="1">
        <v>44657</v>
      </c>
      <c r="B72">
        <f>IF($A71="Date",Indices!B336,IF(Indices!B336&gt;=B71,Indices!B336,B71))</f>
        <v>2879.4960000000001</v>
      </c>
      <c r="C72">
        <f>IF($A71="Date",Indices!C336,IF(Indices!C336&gt;=C71,Indices!C336,C71))</f>
        <v>293.27100000000002</v>
      </c>
      <c r="D72">
        <f>IF($A71="Date",Indices!D336,IF(Indices!D336&gt;=D71,Indices!D336,D71))</f>
        <v>4363.4859999999999</v>
      </c>
      <c r="E72">
        <f>IF($A71="Date",Indices!E336,IF(Indices!E336&gt;=E71,Indices!E336,E71))</f>
        <v>435.85</v>
      </c>
      <c r="F72">
        <f>IF($A71="Date",Indices!F336,IF(Indices!F336&gt;=F71,Indices!F336,F71))</f>
        <v>182.988</v>
      </c>
      <c r="G72">
        <f>IF($A71="Date",Indices!G336,IF(Indices!G336&gt;=G71,Indices!G336,G71))</f>
        <v>288.13099999999997</v>
      </c>
      <c r="H72">
        <f>IF($A71="Date",Indices!H336,IF(Indices!H336&gt;=H71,Indices!H336,H71))</f>
        <v>106.16</v>
      </c>
      <c r="I72">
        <f>IF($A71="Date",Indices!I336,IF(Indices!I336&gt;=I71,Indices!I336,I71))</f>
        <v>5355.2011460000003</v>
      </c>
      <c r="J72">
        <f>IF($A71="Date",Indices!J336,IF(Indices!J336&gt;=J71,Indices!J336,J71))</f>
        <v>7376.3701170000004</v>
      </c>
      <c r="K72">
        <f>IF($A71="Date",Indices!K336,IF(Indices!K336&gt;=K71,Indices!K336,K71))</f>
        <v>494.35000600000001</v>
      </c>
      <c r="L72">
        <f>IF($A71="Date",Indices!L336,IF(Indices!L336&gt;=L71,Indices!L336,L71))</f>
        <v>16271.75</v>
      </c>
      <c r="O72" s="20">
        <v>44657</v>
      </c>
      <c r="P72" s="17">
        <f>(PrevPeak[[#This Row],[Chine]]-Indices!B336)/PrevPeak[[#This Row],[Chine]]</f>
        <v>0.10574489424538189</v>
      </c>
      <c r="Q72" s="17">
        <f>(PrevPeak[[#This Row],[DM]]-Indices!C336)/PrevPeak[[#This Row],[DM]]</f>
        <v>3.9499302692731303E-2</v>
      </c>
      <c r="R72" s="17">
        <f>(PrevPeak[[#This Row],[EM ex China]]-Indices!D336)/PrevPeak[[#This Row],[EM ex China]]</f>
        <v>2.9283696567377445E-2</v>
      </c>
      <c r="S72" s="17">
        <f>(PrevPeak[[#This Row],[EM]]-Indices!E336)/PrevPeak[[#This Row],[EM]]</f>
        <v>5.7141218309051341E-2</v>
      </c>
      <c r="T72" s="17">
        <f>(PrevPeak[[#This Row],[Japon]]-Indices!F336)/PrevPeak[[#This Row],[Japon]]</f>
        <v>8.8809102236212231E-2</v>
      </c>
      <c r="U72" s="17">
        <f>(PrevPeak[[#This Row],[Monde]]-Indices!G336)/PrevPeak[[#This Row],[Monde]]</f>
        <v>3.9783987144736133E-2</v>
      </c>
      <c r="V72" s="17">
        <f>(PrevPeak[[#This Row],[RU]]-Indices!H336)/PrevPeak[[#This Row],[RU]]</f>
        <v>3.1556141672945907E-3</v>
      </c>
      <c r="W72" s="17">
        <f>(PrevPeak[[#This Row],[US]]-Indices!I336)/PrevPeak[[#This Row],[US]]</f>
        <v>7.4086629835808632E-2</v>
      </c>
      <c r="X72" s="17">
        <f>(PrevPeak[[#This Row],[France]]-Indices!J336)/PrevPeak[[#This Row],[France]]</f>
        <v>0.11896637845999239</v>
      </c>
      <c r="Y72" s="17">
        <f>(PrevPeak[[#This Row],[Europe]]-Indices!K336)/PrevPeak[[#This Row],[Europe]]</f>
        <v>7.7637310679025226E-2</v>
      </c>
      <c r="Z72" s="17">
        <f>(PrevPeak[[#This Row],[Allemagne]]-Indices!L336)/PrevPeak[[#This Row],[Allemagne]]</f>
        <v>0.13029081506291576</v>
      </c>
      <c r="AA72" s="27">
        <f>YEAR(DD[[#This Row],[Date]])</f>
        <v>2022</v>
      </c>
    </row>
    <row r="73" spans="1:27" x14ac:dyDescent="0.25">
      <c r="A73" s="1">
        <v>44658</v>
      </c>
      <c r="B73">
        <f>IF($A72="Date",Indices!B337,IF(Indices!B337&gt;=B72,Indices!B337,B72))</f>
        <v>2879.4960000000001</v>
      </c>
      <c r="C73">
        <f>IF($A72="Date",Indices!C337,IF(Indices!C337&gt;=C72,Indices!C337,C72))</f>
        <v>293.27100000000002</v>
      </c>
      <c r="D73">
        <f>IF($A72="Date",Indices!D337,IF(Indices!D337&gt;=D72,Indices!D337,D72))</f>
        <v>4363.4859999999999</v>
      </c>
      <c r="E73">
        <f>IF($A72="Date",Indices!E337,IF(Indices!E337&gt;=E72,Indices!E337,E72))</f>
        <v>435.85</v>
      </c>
      <c r="F73">
        <f>IF($A72="Date",Indices!F337,IF(Indices!F337&gt;=F72,Indices!F337,F72))</f>
        <v>182.988</v>
      </c>
      <c r="G73">
        <f>IF($A72="Date",Indices!G337,IF(Indices!G337&gt;=G72,Indices!G337,G72))</f>
        <v>288.13099999999997</v>
      </c>
      <c r="H73">
        <f>IF($A72="Date",Indices!H337,IF(Indices!H337&gt;=H72,Indices!H337,H72))</f>
        <v>106.16</v>
      </c>
      <c r="I73">
        <f>IF($A72="Date",Indices!I337,IF(Indices!I337&gt;=I72,Indices!I337,I72))</f>
        <v>5355.2011460000003</v>
      </c>
      <c r="J73">
        <f>IF($A72="Date",Indices!J337,IF(Indices!J337&gt;=J72,Indices!J337,J72))</f>
        <v>7376.3701170000004</v>
      </c>
      <c r="K73">
        <f>IF($A72="Date",Indices!K337,IF(Indices!K337&gt;=K72,Indices!K337,K72))</f>
        <v>494.35000600000001</v>
      </c>
      <c r="L73">
        <f>IF($A72="Date",Indices!L337,IF(Indices!L337&gt;=L72,Indices!L337,L72))</f>
        <v>16271.75</v>
      </c>
      <c r="O73" s="19">
        <v>44658</v>
      </c>
      <c r="P73" s="18">
        <f>(PrevPeak[[#This Row],[Chine]]-Indices!B337)/PrevPeak[[#This Row],[Chine]]</f>
        <v>0.12059922986522637</v>
      </c>
      <c r="Q73" s="18">
        <f>(PrevPeak[[#This Row],[DM]]-Indices!C337)/PrevPeak[[#This Row],[DM]]</f>
        <v>3.8206982620170561E-2</v>
      </c>
      <c r="R73" s="18">
        <f>(PrevPeak[[#This Row],[EM ex China]]-Indices!D337)/PrevPeak[[#This Row],[EM ex China]]</f>
        <v>4.0091568988648137E-2</v>
      </c>
      <c r="S73" s="18">
        <f>(PrevPeak[[#This Row],[EM]]-Indices!E337)/PrevPeak[[#This Row],[EM]]</f>
        <v>7.0028679591602722E-2</v>
      </c>
      <c r="T73" s="18">
        <f>(PrevPeak[[#This Row],[Japon]]-Indices!F337)/PrevPeak[[#This Row],[Japon]]</f>
        <v>0.10318162939646315</v>
      </c>
      <c r="U73" s="18">
        <f>(PrevPeak[[#This Row],[Monde]]-Indices!G337)/PrevPeak[[#This Row],[Monde]]</f>
        <v>4.0106756995949705E-2</v>
      </c>
      <c r="V73" s="18">
        <f>(PrevPeak[[#This Row],[RU]]-Indices!H337)/PrevPeak[[#This Row],[RU]]</f>
        <v>8.6002260738507613E-3</v>
      </c>
      <c r="W73" s="18">
        <f>(PrevPeak[[#This Row],[US]]-Indices!I337)/PrevPeak[[#This Row],[US]]</f>
        <v>7.1131757447528823E-2</v>
      </c>
      <c r="X73" s="18">
        <f>(PrevPeak[[#This Row],[France]]-Indices!J337)/PrevPeak[[#This Row],[France]]</f>
        <v>0.12400271766352319</v>
      </c>
      <c r="Y73" s="18">
        <f>(PrevPeak[[#This Row],[Europe]]-Indices!K337)/PrevPeak[[#This Row],[Europe]]</f>
        <v>7.9559050313837754E-2</v>
      </c>
      <c r="Z73" s="18">
        <f>(PrevPeak[[#This Row],[Allemagne]]-Indices!L337)/PrevPeak[[#This Row],[Allemagne]]</f>
        <v>0.13481030682010228</v>
      </c>
      <c r="AA73" s="27">
        <f>YEAR(DD[[#This Row],[Date]])</f>
        <v>2022</v>
      </c>
    </row>
    <row r="74" spans="1:27" x14ac:dyDescent="0.25">
      <c r="A74" s="1">
        <v>44659</v>
      </c>
      <c r="B74">
        <f>IF($A73="Date",Indices!B338,IF(Indices!B338&gt;=B73,Indices!B338,B73))</f>
        <v>2879.4960000000001</v>
      </c>
      <c r="C74">
        <f>IF($A73="Date",Indices!C338,IF(Indices!C338&gt;=C73,Indices!C338,C73))</f>
        <v>293.27100000000002</v>
      </c>
      <c r="D74">
        <f>IF($A73="Date",Indices!D338,IF(Indices!D338&gt;=D73,Indices!D338,D73))</f>
        <v>4363.4859999999999</v>
      </c>
      <c r="E74">
        <f>IF($A73="Date",Indices!E338,IF(Indices!E338&gt;=E73,Indices!E338,E73))</f>
        <v>435.85</v>
      </c>
      <c r="F74">
        <f>IF($A73="Date",Indices!F338,IF(Indices!F338&gt;=F73,Indices!F338,F73))</f>
        <v>182.988</v>
      </c>
      <c r="G74">
        <f>IF($A73="Date",Indices!G338,IF(Indices!G338&gt;=G73,Indices!G338,G73))</f>
        <v>288.13099999999997</v>
      </c>
      <c r="H74">
        <f>IF($A73="Date",Indices!H338,IF(Indices!H338&gt;=H73,Indices!H338,H73))</f>
        <v>106.812</v>
      </c>
      <c r="I74">
        <f>IF($A73="Date",Indices!I338,IF(Indices!I338&gt;=I73,Indices!I338,I73))</f>
        <v>5355.2011460000003</v>
      </c>
      <c r="J74">
        <f>IF($A73="Date",Indices!J338,IF(Indices!J338&gt;=J73,Indices!J338,J73))</f>
        <v>7376.3701170000004</v>
      </c>
      <c r="K74">
        <f>IF($A73="Date",Indices!K338,IF(Indices!K338&gt;=K73,Indices!K338,K73))</f>
        <v>494.35000600000001</v>
      </c>
      <c r="L74">
        <f>IF($A73="Date",Indices!L338,IF(Indices!L338&gt;=L73,Indices!L338,L73))</f>
        <v>16271.75</v>
      </c>
      <c r="O74" s="20">
        <v>44659</v>
      </c>
      <c r="P74" s="17">
        <f>(PrevPeak[[#This Row],[Chine]]-Indices!B338)/PrevPeak[[#This Row],[Chine]]</f>
        <v>0.11647177144889248</v>
      </c>
      <c r="Q74" s="17">
        <f>(PrevPeak[[#This Row],[DM]]-Indices!C338)/PrevPeak[[#This Row],[DM]]</f>
        <v>3.544844188480966E-2</v>
      </c>
      <c r="R74" s="17">
        <f>(PrevPeak[[#This Row],[EM ex China]]-Indices!D338)/PrevPeak[[#This Row],[EM ex China]]</f>
        <v>3.3922648084581855E-2</v>
      </c>
      <c r="S74" s="17">
        <f>(PrevPeak[[#This Row],[EM]]-Indices!E338)/PrevPeak[[#This Row],[EM]]</f>
        <v>6.5231157508317164E-2</v>
      </c>
      <c r="T74" s="17">
        <f>(PrevPeak[[#This Row],[Japon]]-Indices!F338)/PrevPeak[[#This Row],[Japon]]</f>
        <v>0.10199575928476177</v>
      </c>
      <c r="U74" s="17">
        <f>(PrevPeak[[#This Row],[Monde]]-Indices!G338)/PrevPeak[[#This Row],[Monde]]</f>
        <v>3.7111591602430785E-2</v>
      </c>
      <c r="V74" s="17">
        <f>(PrevPeak[[#This Row],[RU]]-Indices!H338)/PrevPeak[[#This Row],[RU]]</f>
        <v>0</v>
      </c>
      <c r="W74" s="17">
        <f>(PrevPeak[[#This Row],[US]]-Indices!I338)/PrevPeak[[#This Row],[US]]</f>
        <v>7.4252510252954804E-2</v>
      </c>
      <c r="X74" s="17">
        <f>(PrevPeak[[#This Row],[France]]-Indices!J338)/PrevPeak[[#This Row],[France]]</f>
        <v>0.11227065465321472</v>
      </c>
      <c r="Y74" s="17">
        <f>(PrevPeak[[#This Row],[Europe]]-Indices!K338)/PrevPeak[[#This Row],[Europe]]</f>
        <v>6.752301930790304E-2</v>
      </c>
      <c r="Z74" s="17">
        <f>(PrevPeak[[#This Row],[Allemagne]]-Indices!L338)/PrevPeak[[#This Row],[Allemagne]]</f>
        <v>0.12217985649976185</v>
      </c>
      <c r="AA74" s="27">
        <f>YEAR(DD[[#This Row],[Date]])</f>
        <v>2022</v>
      </c>
    </row>
    <row r="75" spans="1:27" x14ac:dyDescent="0.25">
      <c r="A75" s="1">
        <v>44662</v>
      </c>
      <c r="B75">
        <f>IF($A74="Date",Indices!B339,IF(Indices!B339&gt;=B74,Indices!B339,B74))</f>
        <v>2879.4960000000001</v>
      </c>
      <c r="C75">
        <f>IF($A74="Date",Indices!C339,IF(Indices!C339&gt;=C74,Indices!C339,C74))</f>
        <v>293.27100000000002</v>
      </c>
      <c r="D75">
        <f>IF($A74="Date",Indices!D339,IF(Indices!D339&gt;=D74,Indices!D339,D74))</f>
        <v>4363.4859999999999</v>
      </c>
      <c r="E75">
        <f>IF($A74="Date",Indices!E339,IF(Indices!E339&gt;=E74,Indices!E339,E74))</f>
        <v>435.85</v>
      </c>
      <c r="F75">
        <f>IF($A74="Date",Indices!F339,IF(Indices!F339&gt;=F74,Indices!F339,F74))</f>
        <v>182.988</v>
      </c>
      <c r="G75">
        <f>IF($A74="Date",Indices!G339,IF(Indices!G339&gt;=G74,Indices!G339,G74))</f>
        <v>288.13099999999997</v>
      </c>
      <c r="H75">
        <f>IF($A74="Date",Indices!H339,IF(Indices!H339&gt;=H74,Indices!H339,H74))</f>
        <v>106.812</v>
      </c>
      <c r="I75">
        <f>IF($A74="Date",Indices!I339,IF(Indices!I339&gt;=I74,Indices!I339,I74))</f>
        <v>5355.2011460000003</v>
      </c>
      <c r="J75">
        <f>IF($A74="Date",Indices!J339,IF(Indices!J339&gt;=J74,Indices!J339,J74))</f>
        <v>7376.3701170000004</v>
      </c>
      <c r="K75">
        <f>IF($A74="Date",Indices!K339,IF(Indices!K339&gt;=K74,Indices!K339,K74))</f>
        <v>494.35000600000001</v>
      </c>
      <c r="L75">
        <f>IF($A74="Date",Indices!L339,IF(Indices!L339&gt;=L74,Indices!L339,L74))</f>
        <v>16271.75</v>
      </c>
      <c r="O75" s="19">
        <v>44662</v>
      </c>
      <c r="P75" s="18">
        <f>(PrevPeak[[#This Row],[Chine]]-Indices!B339)/PrevPeak[[#This Row],[Chine]]</f>
        <v>0.14872706890372481</v>
      </c>
      <c r="Q75" s="18">
        <f>(PrevPeak[[#This Row],[DM]]-Indices!C339)/PrevPeak[[#This Row],[DM]]</f>
        <v>5.0243631317109474E-2</v>
      </c>
      <c r="R75" s="18">
        <f>(PrevPeak[[#This Row],[EM ex China]]-Indices!D339)/PrevPeak[[#This Row],[EM ex China]]</f>
        <v>4.0743341447640594E-2</v>
      </c>
      <c r="S75" s="18">
        <f>(PrevPeak[[#This Row],[EM]]-Indices!E339)/PrevPeak[[#This Row],[EM]]</f>
        <v>8.0614890443960127E-2</v>
      </c>
      <c r="T75" s="18">
        <f>(PrevPeak[[#This Row],[Japon]]-Indices!F339)/PrevPeak[[#This Row],[Japon]]</f>
        <v>0.11500207663890534</v>
      </c>
      <c r="U75" s="18">
        <f>(PrevPeak[[#This Row],[Monde]]-Indices!G339)/PrevPeak[[#This Row],[Monde]]</f>
        <v>5.2000652480989375E-2</v>
      </c>
      <c r="V75" s="18">
        <f>(PrevPeak[[#This Row],[RU]]-Indices!H339)/PrevPeak[[#This Row],[RU]]</f>
        <v>6.6097442234955162E-3</v>
      </c>
      <c r="W75" s="18">
        <f>(PrevPeak[[#This Row],[US]]-Indices!I339)/PrevPeak[[#This Row],[US]]</f>
        <v>8.8442234770914091E-2</v>
      </c>
      <c r="X75" s="18">
        <f>(PrevPeak[[#This Row],[France]]-Indices!J339)/PrevPeak[[#This Row],[France]]</f>
        <v>0.11124171441843608</v>
      </c>
      <c r="Y75" s="18">
        <f>(PrevPeak[[#This Row],[Europe]]-Indices!K339)/PrevPeak[[#This Row],[Europe]]</f>
        <v>7.3004947025326797E-2</v>
      </c>
      <c r="Z75" s="18">
        <f>(PrevPeak[[#This Row],[Allemagne]]-Indices!L339)/PrevPeak[[#This Row],[Allemagne]]</f>
        <v>0.12776558944182406</v>
      </c>
      <c r="AA75" s="27">
        <f>YEAR(DD[[#This Row],[Date]])</f>
        <v>2022</v>
      </c>
    </row>
    <row r="76" spans="1:27" x14ac:dyDescent="0.25">
      <c r="A76" s="1">
        <v>44663</v>
      </c>
      <c r="B76">
        <f>IF($A75="Date",Indices!B340,IF(Indices!B340&gt;=B75,Indices!B340,B75))</f>
        <v>2879.4960000000001</v>
      </c>
      <c r="C76">
        <f>IF($A75="Date",Indices!C340,IF(Indices!C340&gt;=C75,Indices!C340,C75))</f>
        <v>293.27100000000002</v>
      </c>
      <c r="D76">
        <f>IF($A75="Date",Indices!D340,IF(Indices!D340&gt;=D75,Indices!D340,D75))</f>
        <v>4363.4859999999999</v>
      </c>
      <c r="E76">
        <f>IF($A75="Date",Indices!E340,IF(Indices!E340&gt;=E75,Indices!E340,E75))</f>
        <v>435.85</v>
      </c>
      <c r="F76">
        <f>IF($A75="Date",Indices!F340,IF(Indices!F340&gt;=F75,Indices!F340,F75))</f>
        <v>182.988</v>
      </c>
      <c r="G76">
        <f>IF($A75="Date",Indices!G340,IF(Indices!G340&gt;=G75,Indices!G340,G75))</f>
        <v>288.13099999999997</v>
      </c>
      <c r="H76">
        <f>IF($A75="Date",Indices!H340,IF(Indices!H340&gt;=H75,Indices!H340,H75))</f>
        <v>106.812</v>
      </c>
      <c r="I76">
        <f>IF($A75="Date",Indices!I340,IF(Indices!I340&gt;=I75,Indices!I340,I75))</f>
        <v>5355.2011460000003</v>
      </c>
      <c r="J76">
        <f>IF($A75="Date",Indices!J340,IF(Indices!J340&gt;=J75,Indices!J340,J75))</f>
        <v>7376.3701170000004</v>
      </c>
      <c r="K76">
        <f>IF($A75="Date",Indices!K340,IF(Indices!K340&gt;=K75,Indices!K340,K75))</f>
        <v>494.35000600000001</v>
      </c>
      <c r="L76">
        <f>IF($A75="Date",Indices!L340,IF(Indices!L340&gt;=L75,Indices!L340,L75))</f>
        <v>16271.75</v>
      </c>
      <c r="O76" s="20">
        <v>44663</v>
      </c>
      <c r="P76" s="17">
        <f>(PrevPeak[[#This Row],[Chine]]-Indices!B340)/PrevPeak[[#This Row],[Chine]]</f>
        <v>0.1345235416197835</v>
      </c>
      <c r="Q76" s="17">
        <f>(PrevPeak[[#This Row],[DM]]-Indices!C340)/PrevPeak[[#This Row],[DM]]</f>
        <v>5.2234963566121492E-2</v>
      </c>
      <c r="R76" s="17">
        <f>(PrevPeak[[#This Row],[EM ex China]]-Indices!D340)/PrevPeak[[#This Row],[EM ex China]]</f>
        <v>4.519528652091466E-2</v>
      </c>
      <c r="S76" s="17">
        <f>(PrevPeak[[#This Row],[EM]]-Indices!E340)/PrevPeak[[#This Row],[EM]]</f>
        <v>7.9754502695881663E-2</v>
      </c>
      <c r="T76" s="17">
        <f>(PrevPeak[[#This Row],[Japon]]-Indices!F340)/PrevPeak[[#This Row],[Japon]]</f>
        <v>0.1235928038997092</v>
      </c>
      <c r="U76" s="17">
        <f>(PrevPeak[[#This Row],[Monde]]-Indices!G340)/PrevPeak[[#This Row],[Monde]]</f>
        <v>5.3666561390478519E-2</v>
      </c>
      <c r="V76" s="17">
        <f>(PrevPeak[[#This Row],[RU]]-Indices!H340)/PrevPeak[[#This Row],[RU]]</f>
        <v>1.0616784630940347E-2</v>
      </c>
      <c r="W76" s="17">
        <f>(PrevPeak[[#This Row],[US]]-Indices!I340)/PrevPeak[[#This Row],[US]]</f>
        <v>9.1081077386668138E-2</v>
      </c>
      <c r="X76" s="17">
        <f>(PrevPeak[[#This Row],[France]]-Indices!J340)/PrevPeak[[#This Row],[France]]</f>
        <v>0.11373615310686293</v>
      </c>
      <c r="Y76" s="17">
        <f>(PrevPeak[[#This Row],[Europe]]-Indices!K340)/PrevPeak[[#This Row],[Europe]]</f>
        <v>7.6261781212560595E-2</v>
      </c>
      <c r="Z76" s="17">
        <f>(PrevPeak[[#This Row],[Allemagne]]-Indices!L340)/PrevPeak[[#This Row],[Allemagne]]</f>
        <v>0.13193416811344819</v>
      </c>
      <c r="AA76" s="27">
        <f>YEAR(DD[[#This Row],[Date]])</f>
        <v>2022</v>
      </c>
    </row>
    <row r="77" spans="1:27" x14ac:dyDescent="0.25">
      <c r="A77" s="1">
        <v>44664</v>
      </c>
      <c r="B77">
        <f>IF($A76="Date",Indices!B341,IF(Indices!B341&gt;=B76,Indices!B341,B76))</f>
        <v>2879.4960000000001</v>
      </c>
      <c r="C77">
        <f>IF($A76="Date",Indices!C341,IF(Indices!C341&gt;=C76,Indices!C341,C76))</f>
        <v>293.27100000000002</v>
      </c>
      <c r="D77">
        <f>IF($A76="Date",Indices!D341,IF(Indices!D341&gt;=D76,Indices!D341,D76))</f>
        <v>4363.4859999999999</v>
      </c>
      <c r="E77">
        <f>IF($A76="Date",Indices!E341,IF(Indices!E341&gt;=E76,Indices!E341,E76))</f>
        <v>435.85</v>
      </c>
      <c r="F77">
        <f>IF($A76="Date",Indices!F341,IF(Indices!F341&gt;=F76,Indices!F341,F76))</f>
        <v>182.988</v>
      </c>
      <c r="G77">
        <f>IF($A76="Date",Indices!G341,IF(Indices!G341&gt;=G76,Indices!G341,G76))</f>
        <v>288.13099999999997</v>
      </c>
      <c r="H77">
        <f>IF($A76="Date",Indices!H341,IF(Indices!H341&gt;=H76,Indices!H341,H76))</f>
        <v>106.812</v>
      </c>
      <c r="I77">
        <f>IF($A76="Date",Indices!I341,IF(Indices!I341&gt;=I76,Indices!I341,I76))</f>
        <v>5355.2011460000003</v>
      </c>
      <c r="J77">
        <f>IF($A76="Date",Indices!J341,IF(Indices!J341&gt;=J76,Indices!J341,J76))</f>
        <v>7376.3701170000004</v>
      </c>
      <c r="K77">
        <f>IF($A76="Date",Indices!K341,IF(Indices!K341&gt;=K76,Indices!K341,K76))</f>
        <v>494.35000600000001</v>
      </c>
      <c r="L77">
        <f>IF($A76="Date",Indices!L341,IF(Indices!L341&gt;=L76,Indices!L341,L76))</f>
        <v>16271.75</v>
      </c>
      <c r="O77" s="19">
        <v>44664</v>
      </c>
      <c r="P77" s="18">
        <f>(PrevPeak[[#This Row],[Chine]]-Indices!B341)/PrevPeak[[#This Row],[Chine]]</f>
        <v>0.13255722529220401</v>
      </c>
      <c r="Q77" s="18">
        <f>(PrevPeak[[#This Row],[DM]]-Indices!C341)/PrevPeak[[#This Row],[DM]]</f>
        <v>4.1845255753211165E-2</v>
      </c>
      <c r="R77" s="18">
        <f>(PrevPeak[[#This Row],[EM ex China]]-Indices!D341)/PrevPeak[[#This Row],[EM ex China]]</f>
        <v>3.4538210962519286E-2</v>
      </c>
      <c r="S77" s="18">
        <f>(PrevPeak[[#This Row],[EM]]-Indices!E341)/PrevPeak[[#This Row],[EM]]</f>
        <v>7.0145692325341361E-2</v>
      </c>
      <c r="T77" s="18">
        <f>(PrevPeak[[#This Row],[Japon]]-Indices!F341)/PrevPeak[[#This Row],[Japon]]</f>
        <v>0.11270684416464465</v>
      </c>
      <c r="U77" s="18">
        <f>(PrevPeak[[#This Row],[Monde]]-Indices!G341)/PrevPeak[[#This Row],[Monde]]</f>
        <v>4.3348338082330448E-2</v>
      </c>
      <c r="V77" s="18">
        <f>(PrevPeak[[#This Row],[RU]]-Indices!H341)/PrevPeak[[#This Row],[RU]]</f>
        <v>7.9110961315207919E-3</v>
      </c>
      <c r="W77" s="18">
        <f>(PrevPeak[[#This Row],[US]]-Indices!I341)/PrevPeak[[#This Row],[US]]</f>
        <v>7.9360287020673631E-2</v>
      </c>
      <c r="X77" s="18">
        <f>(PrevPeak[[#This Row],[France]]-Indices!J341)/PrevPeak[[#This Row],[France]]</f>
        <v>0.11309491887851267</v>
      </c>
      <c r="Y77" s="18">
        <f>(PrevPeak[[#This Row],[Europe]]-Indices!K341)/PrevPeak[[#This Row],[Europe]]</f>
        <v>7.5998799522620078E-2</v>
      </c>
      <c r="Z77" s="18">
        <f>(PrevPeak[[#This Row],[Allemagne]]-Indices!L341)/PrevPeak[[#This Row],[Allemagne]]</f>
        <v>0.13491539447201434</v>
      </c>
      <c r="AA77" s="27">
        <f>YEAR(DD[[#This Row],[Date]])</f>
        <v>2022</v>
      </c>
    </row>
    <row r="78" spans="1:27" x14ac:dyDescent="0.25">
      <c r="A78" s="1">
        <v>44665</v>
      </c>
      <c r="B78">
        <f>IF($A77="Date",Indices!B342,IF(Indices!B342&gt;=B77,Indices!B342,B77))</f>
        <v>2879.4960000000001</v>
      </c>
      <c r="C78">
        <f>IF($A77="Date",Indices!C342,IF(Indices!C342&gt;=C77,Indices!C342,C77))</f>
        <v>293.27100000000002</v>
      </c>
      <c r="D78">
        <f>IF($A77="Date",Indices!D342,IF(Indices!D342&gt;=D77,Indices!D342,D77))</f>
        <v>4363.4859999999999</v>
      </c>
      <c r="E78">
        <f>IF($A77="Date",Indices!E342,IF(Indices!E342&gt;=E77,Indices!E342,E77))</f>
        <v>435.85</v>
      </c>
      <c r="F78">
        <f>IF($A77="Date",Indices!F342,IF(Indices!F342&gt;=F77,Indices!F342,F77))</f>
        <v>182.988</v>
      </c>
      <c r="G78">
        <f>IF($A77="Date",Indices!G342,IF(Indices!G342&gt;=G77,Indices!G342,G77))</f>
        <v>288.13099999999997</v>
      </c>
      <c r="H78">
        <f>IF($A77="Date",Indices!H342,IF(Indices!H342&gt;=H77,Indices!H342,H77))</f>
        <v>107.258</v>
      </c>
      <c r="I78">
        <f>IF($A77="Date",Indices!I342,IF(Indices!I342&gt;=I77,Indices!I342,I77))</f>
        <v>5355.2011460000003</v>
      </c>
      <c r="J78">
        <f>IF($A77="Date",Indices!J342,IF(Indices!J342&gt;=J77,Indices!J342,J77))</f>
        <v>7376.3701170000004</v>
      </c>
      <c r="K78">
        <f>IF($A77="Date",Indices!K342,IF(Indices!K342&gt;=K77,Indices!K342,K77))</f>
        <v>494.35000600000001</v>
      </c>
      <c r="L78">
        <f>IF($A77="Date",Indices!L342,IF(Indices!L342&gt;=L77,Indices!L342,L77))</f>
        <v>16271.75</v>
      </c>
      <c r="O78" s="20">
        <v>44665</v>
      </c>
      <c r="P78" s="17">
        <f>(PrevPeak[[#This Row],[Chine]]-Indices!B342)/PrevPeak[[#This Row],[Chine]]</f>
        <v>0.11961502985244642</v>
      </c>
      <c r="Q78" s="17">
        <f>(PrevPeak[[#This Row],[DM]]-Indices!C342)/PrevPeak[[#This Row],[DM]]</f>
        <v>4.3424000327342331E-2</v>
      </c>
      <c r="R78" s="17">
        <f>(PrevPeak[[#This Row],[EM ex China]]-Indices!D342)/PrevPeak[[#This Row],[EM ex China]]</f>
        <v>3.2818714211527142E-2</v>
      </c>
      <c r="S78" s="17">
        <f>(PrevPeak[[#This Row],[EM]]-Indices!E342)/PrevPeak[[#This Row],[EM]]</f>
        <v>6.5651026729379447E-2</v>
      </c>
      <c r="T78" s="17">
        <f>(PrevPeak[[#This Row],[Japon]]-Indices!F342)/PrevPeak[[#This Row],[Japon]]</f>
        <v>9.9525651955319414E-2</v>
      </c>
      <c r="U78" s="17">
        <f>(PrevPeak[[#This Row],[Monde]]-Indices!G342)/PrevPeak[[#This Row],[Monde]]</f>
        <v>4.4240293477619409E-2</v>
      </c>
      <c r="V78" s="17">
        <f>(PrevPeak[[#This Row],[RU]]-Indices!H342)/PrevPeak[[#This Row],[RU]]</f>
        <v>0</v>
      </c>
      <c r="W78" s="17">
        <f>(PrevPeak[[#This Row],[US]]-Indices!I342)/PrevPeak[[#This Row],[US]]</f>
        <v>9.0610563967787203E-2</v>
      </c>
      <c r="X78" s="17">
        <f>(PrevPeak[[#This Row],[France]]-Indices!J342)/PrevPeak[[#This Row],[France]]</f>
        <v>0.10669475724736067</v>
      </c>
      <c r="Y78" s="17">
        <f>(PrevPeak[[#This Row],[Europe]]-Indices!K342)/PrevPeak[[#This Row],[Europe]]</f>
        <v>6.9849294186111591E-2</v>
      </c>
      <c r="Z78" s="17">
        <f>(PrevPeak[[#This Row],[Allemagne]]-Indices!L342)/PrevPeak[[#This Row],[Allemagne]]</f>
        <v>0.12954355800697531</v>
      </c>
      <c r="AA78" s="27">
        <f>YEAR(DD[[#This Row],[Date]])</f>
        <v>2022</v>
      </c>
    </row>
    <row r="79" spans="1:27" x14ac:dyDescent="0.25">
      <c r="A79" s="1">
        <v>44666</v>
      </c>
      <c r="B79">
        <f>IF($A78="Date",Indices!B343,IF(Indices!B343&gt;=B78,Indices!B343,B78))</f>
        <v>2879.4960000000001</v>
      </c>
      <c r="C79">
        <f>IF($A78="Date",Indices!C343,IF(Indices!C343&gt;=C78,Indices!C343,C78))</f>
        <v>293.27100000000002</v>
      </c>
      <c r="D79">
        <f>IF($A78="Date",Indices!D343,IF(Indices!D343&gt;=D78,Indices!D343,D78))</f>
        <v>4363.4859999999999</v>
      </c>
      <c r="E79">
        <f>IF($A78="Date",Indices!E343,IF(Indices!E343&gt;=E78,Indices!E343,E78))</f>
        <v>435.85</v>
      </c>
      <c r="F79">
        <f>IF($A78="Date",Indices!F343,IF(Indices!F343&gt;=F78,Indices!F343,F78))</f>
        <v>182.988</v>
      </c>
      <c r="G79">
        <f>IF($A78="Date",Indices!G343,IF(Indices!G343&gt;=G78,Indices!G343,G78))</f>
        <v>288.13099999999997</v>
      </c>
      <c r="H79">
        <f>IF($A78="Date",Indices!H343,IF(Indices!H343&gt;=H78,Indices!H343,H78))</f>
        <v>107.258</v>
      </c>
      <c r="I79">
        <f>IF($A78="Date",Indices!I343,IF(Indices!I343&gt;=I78,Indices!I343,I78))</f>
        <v>5355.2011460000003</v>
      </c>
      <c r="J79">
        <f>IF($A78="Date",Indices!J343,IF(Indices!J343&gt;=J78,Indices!J343,J78))</f>
        <v>7376.3701170000004</v>
      </c>
      <c r="K79">
        <f>IF($A78="Date",Indices!K343,IF(Indices!K343&gt;=K78,Indices!K343,K78))</f>
        <v>494.35000600000001</v>
      </c>
      <c r="L79">
        <f>IF($A78="Date",Indices!L343,IF(Indices!L343&gt;=L78,Indices!L343,L78))</f>
        <v>16271.75</v>
      </c>
      <c r="O79" s="19">
        <v>44666</v>
      </c>
      <c r="P79" s="18">
        <f>(PrevPeak[[#This Row],[Chine]]-Indices!B343)/PrevPeak[[#This Row],[Chine]]</f>
        <v>0.12079301377741115</v>
      </c>
      <c r="Q79" s="18">
        <f>(PrevPeak[[#This Row],[DM]]-Indices!C343)/PrevPeak[[#This Row],[DM]]</f>
        <v>4.3737703352871568E-2</v>
      </c>
      <c r="R79" s="18">
        <f>(PrevPeak[[#This Row],[EM ex China]]-Indices!D343)/PrevPeak[[#This Row],[EM ex China]]</f>
        <v>3.8179336429634531E-2</v>
      </c>
      <c r="S79" s="18">
        <f>(PrevPeak[[#This Row],[EM]]-Indices!E343)/PrevPeak[[#This Row],[EM]]</f>
        <v>6.9383962372375915E-2</v>
      </c>
      <c r="T79" s="18">
        <f>(PrevPeak[[#This Row],[Japon]]-Indices!F343)/PrevPeak[[#This Row],[Japon]]</f>
        <v>0.10447133145342859</v>
      </c>
      <c r="U79" s="18">
        <f>(PrevPeak[[#This Row],[Monde]]-Indices!G343)/PrevPeak[[#This Row],[Monde]]</f>
        <v>4.4941363477029393E-2</v>
      </c>
      <c r="V79" s="18">
        <f>(PrevPeak[[#This Row],[RU]]-Indices!H343)/PrevPeak[[#This Row],[RU]]</f>
        <v>0</v>
      </c>
      <c r="W79" s="18">
        <f>(PrevPeak[[#This Row],[US]]-Indices!I343)/PrevPeak[[#This Row],[US]]</f>
        <v>9.0610563967787203E-2</v>
      </c>
      <c r="X79" s="18">
        <f>(PrevPeak[[#This Row],[France]]-Indices!J343)/PrevPeak[[#This Row],[France]]</f>
        <v>0.10669475724736067</v>
      </c>
      <c r="Y79" s="18">
        <f>(PrevPeak[[#This Row],[Europe]]-Indices!K343)/PrevPeak[[#This Row],[Europe]]</f>
        <v>6.9849294186111591E-2</v>
      </c>
      <c r="Z79" s="18">
        <f>(PrevPeak[[#This Row],[Allemagne]]-Indices!L343)/PrevPeak[[#This Row],[Allemagne]]</f>
        <v>0.12954355800697531</v>
      </c>
      <c r="AA79" s="27">
        <f>YEAR(DD[[#This Row],[Date]])</f>
        <v>2022</v>
      </c>
    </row>
    <row r="80" spans="1:27" x14ac:dyDescent="0.25">
      <c r="A80" s="1">
        <v>44669</v>
      </c>
      <c r="B80">
        <f>IF($A79="Date",Indices!B344,IF(Indices!B344&gt;=B79,Indices!B344,B79))</f>
        <v>2879.4960000000001</v>
      </c>
      <c r="C80">
        <f>IF($A79="Date",Indices!C344,IF(Indices!C344&gt;=C79,Indices!C344,C79))</f>
        <v>293.27100000000002</v>
      </c>
      <c r="D80">
        <f>IF($A79="Date",Indices!D344,IF(Indices!D344&gt;=D79,Indices!D344,D79))</f>
        <v>4363.4859999999999</v>
      </c>
      <c r="E80">
        <f>IF($A79="Date",Indices!E344,IF(Indices!E344&gt;=E79,Indices!E344,E79))</f>
        <v>435.85</v>
      </c>
      <c r="F80">
        <f>IF($A79="Date",Indices!F344,IF(Indices!F344&gt;=F79,Indices!F344,F79))</f>
        <v>182.988</v>
      </c>
      <c r="G80">
        <f>IF($A79="Date",Indices!G344,IF(Indices!G344&gt;=G79,Indices!G344,G79))</f>
        <v>288.13099999999997</v>
      </c>
      <c r="H80">
        <f>IF($A79="Date",Indices!H344,IF(Indices!H344&gt;=H79,Indices!H344,H79))</f>
        <v>107.258</v>
      </c>
      <c r="I80">
        <f>IF($A79="Date",Indices!I344,IF(Indices!I344&gt;=I79,Indices!I344,I79))</f>
        <v>5355.2011460000003</v>
      </c>
      <c r="J80">
        <f>IF($A79="Date",Indices!J344,IF(Indices!J344&gt;=J79,Indices!J344,J79))</f>
        <v>7376.3701170000004</v>
      </c>
      <c r="K80">
        <f>IF($A79="Date",Indices!K344,IF(Indices!K344&gt;=K79,Indices!K344,K79))</f>
        <v>494.35000600000001</v>
      </c>
      <c r="L80">
        <f>IF($A79="Date",Indices!L344,IF(Indices!L344&gt;=L79,Indices!L344,L79))</f>
        <v>16271.75</v>
      </c>
      <c r="O80" s="20">
        <v>44669</v>
      </c>
      <c r="P80" s="17">
        <f>(PrevPeak[[#This Row],[Chine]]-Indices!B344)/PrevPeak[[#This Row],[Chine]]</f>
        <v>0.1246363947024062</v>
      </c>
      <c r="Q80" s="17">
        <f>(PrevPeak[[#This Row],[DM]]-Indices!C344)/PrevPeak[[#This Row],[DM]]</f>
        <v>4.7021355674444522E-2</v>
      </c>
      <c r="R80" s="17">
        <f>(PrevPeak[[#This Row],[EM ex China]]-Indices!D344)/PrevPeak[[#This Row],[EM ex China]]</f>
        <v>4.6386306728152665E-2</v>
      </c>
      <c r="S80" s="17">
        <f>(PrevPeak[[#This Row],[EM]]-Indices!E344)/PrevPeak[[#This Row],[EM]]</f>
        <v>7.6044510726167275E-2</v>
      </c>
      <c r="T80" s="17">
        <f>(PrevPeak[[#This Row],[Japon]]-Indices!F344)/PrevPeak[[#This Row],[Japon]]</f>
        <v>0.11898594443351475</v>
      </c>
      <c r="U80" s="17">
        <f>(PrevPeak[[#This Row],[Monde]]-Indices!G344)/PrevPeak[[#This Row],[Monde]]</f>
        <v>4.8620245652151138E-2</v>
      </c>
      <c r="V80" s="17">
        <f>(PrevPeak[[#This Row],[RU]]-Indices!H344)/PrevPeak[[#This Row],[RU]]</f>
        <v>3.645415726565768E-3</v>
      </c>
      <c r="W80" s="17">
        <f>(PrevPeak[[#This Row],[US]]-Indices!I344)/PrevPeak[[#This Row],[US]]</f>
        <v>9.2062413634686688E-2</v>
      </c>
      <c r="X80" s="17">
        <f>(PrevPeak[[#This Row],[France]]-Indices!J344)/PrevPeak[[#This Row],[France]]</f>
        <v>0.10669475724736067</v>
      </c>
      <c r="Y80" s="17">
        <f>(PrevPeak[[#This Row],[Europe]]-Indices!K344)/PrevPeak[[#This Row],[Europe]]</f>
        <v>6.9849294186111591E-2</v>
      </c>
      <c r="Z80" s="17">
        <f>(PrevPeak[[#This Row],[Allemagne]]-Indices!L344)/PrevPeak[[#This Row],[Allemagne]]</f>
        <v>0.12954355800697531</v>
      </c>
      <c r="AA80" s="27">
        <f>YEAR(DD[[#This Row],[Date]])</f>
        <v>2022</v>
      </c>
    </row>
    <row r="81" spans="1:27" x14ac:dyDescent="0.25">
      <c r="A81" s="1">
        <v>44670</v>
      </c>
      <c r="B81">
        <f>IF($A80="Date",Indices!B345,IF(Indices!B345&gt;=B80,Indices!B345,B80))</f>
        <v>2879.4960000000001</v>
      </c>
      <c r="C81">
        <f>IF($A80="Date",Indices!C345,IF(Indices!C345&gt;=C80,Indices!C345,C80))</f>
        <v>293.27100000000002</v>
      </c>
      <c r="D81">
        <f>IF($A80="Date",Indices!D345,IF(Indices!D345&gt;=D80,Indices!D345,D80))</f>
        <v>4363.4859999999999</v>
      </c>
      <c r="E81">
        <f>IF($A80="Date",Indices!E345,IF(Indices!E345&gt;=E80,Indices!E345,E80))</f>
        <v>435.85</v>
      </c>
      <c r="F81">
        <f>IF($A80="Date",Indices!F345,IF(Indices!F345&gt;=F80,Indices!F345,F80))</f>
        <v>182.988</v>
      </c>
      <c r="G81">
        <f>IF($A80="Date",Indices!G345,IF(Indices!G345&gt;=G80,Indices!G345,G80))</f>
        <v>288.13099999999997</v>
      </c>
      <c r="H81">
        <f>IF($A80="Date",Indices!H345,IF(Indices!H345&gt;=H80,Indices!H345,H80))</f>
        <v>107.258</v>
      </c>
      <c r="I81">
        <f>IF($A80="Date",Indices!I345,IF(Indices!I345&gt;=I80,Indices!I345,I80))</f>
        <v>5355.2011460000003</v>
      </c>
      <c r="J81">
        <f>IF($A80="Date",Indices!J345,IF(Indices!J345&gt;=J80,Indices!J345,J80))</f>
        <v>7376.3701170000004</v>
      </c>
      <c r="K81">
        <f>IF($A80="Date",Indices!K345,IF(Indices!K345&gt;=K80,Indices!K345,K80))</f>
        <v>494.35000600000001</v>
      </c>
      <c r="L81">
        <f>IF($A80="Date",Indices!L345,IF(Indices!L345&gt;=L80,Indices!L345,L80))</f>
        <v>16271.75</v>
      </c>
      <c r="O81" s="19">
        <v>44670</v>
      </c>
      <c r="P81" s="18">
        <f>(PrevPeak[[#This Row],[Chine]]-Indices!B345)/PrevPeak[[#This Row],[Chine]]</f>
        <v>0.1378425252196912</v>
      </c>
      <c r="Q81" s="18">
        <f>(PrevPeak[[#This Row],[DM]]-Indices!C345)/PrevPeak[[#This Row],[DM]]</f>
        <v>3.6542992658667381E-2</v>
      </c>
      <c r="R81" s="18">
        <f>(PrevPeak[[#This Row],[EM ex China]]-Indices!D345)/PrevPeak[[#This Row],[EM ex China]]</f>
        <v>4.9513622823586394E-2</v>
      </c>
      <c r="S81" s="18">
        <f>(PrevPeak[[#This Row],[EM]]-Indices!E345)/PrevPeak[[#This Row],[EM]]</f>
        <v>8.4363886658254075E-2</v>
      </c>
      <c r="T81" s="18">
        <f>(PrevPeak[[#This Row],[Japon]]-Indices!F345)/PrevPeak[[#This Row],[Japon]]</f>
        <v>0.12659300063392132</v>
      </c>
      <c r="U81" s="18">
        <f>(PrevPeak[[#This Row],[Monde]]-Indices!G345)/PrevPeak[[#This Row],[Monde]]</f>
        <v>4.0262935956214364E-2</v>
      </c>
      <c r="V81" s="18">
        <f>(PrevPeak[[#This Row],[RU]]-Indices!H345)/PrevPeak[[#This Row],[RU]]</f>
        <v>7.141658431072658E-3</v>
      </c>
      <c r="W81" s="18">
        <f>(PrevPeak[[#This Row],[US]]-Indices!I345)/PrevPeak[[#This Row],[US]]</f>
        <v>7.6225794115110518E-2</v>
      </c>
      <c r="X81" s="18">
        <f>(PrevPeak[[#This Row],[France]]-Indices!J345)/PrevPeak[[#This Row],[France]]</f>
        <v>0.11409135721924349</v>
      </c>
      <c r="Y81" s="18">
        <f>(PrevPeak[[#This Row],[Europe]]-Indices!K345)/PrevPeak[[#This Row],[Europe]]</f>
        <v>7.7010228659732297E-2</v>
      </c>
      <c r="Z81" s="18">
        <f>(PrevPeak[[#This Row],[Allemagne]]-Indices!L345)/PrevPeak[[#This Row],[Allemagne]]</f>
        <v>0.13018206646488545</v>
      </c>
      <c r="AA81" s="27">
        <f>YEAR(DD[[#This Row],[Date]])</f>
        <v>2022</v>
      </c>
    </row>
    <row r="82" spans="1:27" x14ac:dyDescent="0.25">
      <c r="A82" s="1">
        <v>44671</v>
      </c>
      <c r="B82">
        <f>IF($A81="Date",Indices!B346,IF(Indices!B346&gt;=B81,Indices!B346,B81))</f>
        <v>2879.4960000000001</v>
      </c>
      <c r="C82">
        <f>IF($A81="Date",Indices!C346,IF(Indices!C346&gt;=C81,Indices!C346,C81))</f>
        <v>293.27100000000002</v>
      </c>
      <c r="D82">
        <f>IF($A81="Date",Indices!D346,IF(Indices!D346&gt;=D81,Indices!D346,D81))</f>
        <v>4363.4859999999999</v>
      </c>
      <c r="E82">
        <f>IF($A81="Date",Indices!E346,IF(Indices!E346&gt;=E81,Indices!E346,E81))</f>
        <v>435.85</v>
      </c>
      <c r="F82">
        <f>IF($A81="Date",Indices!F346,IF(Indices!F346&gt;=F81,Indices!F346,F81))</f>
        <v>182.988</v>
      </c>
      <c r="G82">
        <f>IF($A81="Date",Indices!G346,IF(Indices!G346&gt;=G81,Indices!G346,G81))</f>
        <v>288.13099999999997</v>
      </c>
      <c r="H82">
        <f>IF($A81="Date",Indices!H346,IF(Indices!H346&gt;=H81,Indices!H346,H81))</f>
        <v>107.258</v>
      </c>
      <c r="I82">
        <f>IF($A81="Date",Indices!I346,IF(Indices!I346&gt;=I81,Indices!I346,I81))</f>
        <v>5355.2011460000003</v>
      </c>
      <c r="J82">
        <f>IF($A81="Date",Indices!J346,IF(Indices!J346&gt;=J81,Indices!J346,J81))</f>
        <v>7376.3701170000004</v>
      </c>
      <c r="K82">
        <f>IF($A81="Date",Indices!K346,IF(Indices!K346&gt;=K81,Indices!K346,K81))</f>
        <v>494.35000600000001</v>
      </c>
      <c r="L82">
        <f>IF($A81="Date",Indices!L346,IF(Indices!L346&gt;=L81,Indices!L346,L81))</f>
        <v>16271.75</v>
      </c>
      <c r="O82" s="20">
        <v>44671</v>
      </c>
      <c r="P82" s="17">
        <f>(PrevPeak[[#This Row],[Chine]]-Indices!B346)/PrevPeak[[#This Row],[Chine]]</f>
        <v>0.16014399742177104</v>
      </c>
      <c r="Q82" s="17">
        <f>(PrevPeak[[#This Row],[DM]]-Indices!C346)/PrevPeak[[#This Row],[DM]]</f>
        <v>4.0365395828431801E-2</v>
      </c>
      <c r="R82" s="17">
        <f>(PrevPeak[[#This Row],[EM ex China]]-Indices!D346)/PrevPeak[[#This Row],[EM ex China]]</f>
        <v>5.0532762108094265E-2</v>
      </c>
      <c r="S82" s="17">
        <f>(PrevPeak[[#This Row],[EM]]-Indices!E346)/PrevPeak[[#This Row],[EM]]</f>
        <v>9.1329585866697344E-2</v>
      </c>
      <c r="T82" s="17">
        <f>(PrevPeak[[#This Row],[Japon]]-Indices!F346)/PrevPeak[[#This Row],[Japon]]</f>
        <v>0.11570704089885676</v>
      </c>
      <c r="U82" s="17">
        <f>(PrevPeak[[#This Row],[Monde]]-Indices!G346)/PrevPeak[[#This Row],[Monde]]</f>
        <v>4.4448532091305552E-2</v>
      </c>
      <c r="V82" s="17">
        <f>(PrevPeak[[#This Row],[RU]]-Indices!H346)/PrevPeak[[#This Row],[RU]]</f>
        <v>6.9458688396202648E-3</v>
      </c>
      <c r="W82" s="17">
        <f>(PrevPeak[[#This Row],[US]]-Indices!I346)/PrevPeak[[#This Row],[US]]</f>
        <v>7.7152636424984905E-2</v>
      </c>
      <c r="X82" s="17">
        <f>(PrevPeak[[#This Row],[France]]-Indices!J346)/PrevPeak[[#This Row],[France]]</f>
        <v>0.10187395007039347</v>
      </c>
      <c r="Y82" s="17">
        <f>(PrevPeak[[#This Row],[Europe]]-Indices!K346)/PrevPeak[[#This Row],[Europe]]</f>
        <v>6.928289589218696E-2</v>
      </c>
      <c r="Z82" s="17">
        <f>(PrevPeak[[#This Row],[Allemagne]]-Indices!L346)/PrevPeak[[#This Row],[Allemagne]]</f>
        <v>0.11736412678415049</v>
      </c>
      <c r="AA82" s="27">
        <f>YEAR(DD[[#This Row],[Date]])</f>
        <v>2022</v>
      </c>
    </row>
    <row r="83" spans="1:27" x14ac:dyDescent="0.25">
      <c r="A83" s="1">
        <v>44672</v>
      </c>
      <c r="B83">
        <f>IF($A82="Date",Indices!B347,IF(Indices!B347&gt;=B82,Indices!B347,B82))</f>
        <v>2879.4960000000001</v>
      </c>
      <c r="C83">
        <f>IF($A82="Date",Indices!C347,IF(Indices!C347&gt;=C82,Indices!C347,C82))</f>
        <v>293.27100000000002</v>
      </c>
      <c r="D83">
        <f>IF($A82="Date",Indices!D347,IF(Indices!D347&gt;=D82,Indices!D347,D82))</f>
        <v>4363.4859999999999</v>
      </c>
      <c r="E83">
        <f>IF($A82="Date",Indices!E347,IF(Indices!E347&gt;=E82,Indices!E347,E82))</f>
        <v>435.85</v>
      </c>
      <c r="F83">
        <f>IF($A82="Date",Indices!F347,IF(Indices!F347&gt;=F82,Indices!F347,F82))</f>
        <v>182.988</v>
      </c>
      <c r="G83">
        <f>IF($A82="Date",Indices!G347,IF(Indices!G347&gt;=G82,Indices!G347,G82))</f>
        <v>288.13099999999997</v>
      </c>
      <c r="H83">
        <f>IF($A82="Date",Indices!H347,IF(Indices!H347&gt;=H82,Indices!H347,H82))</f>
        <v>107.258</v>
      </c>
      <c r="I83">
        <f>IF($A82="Date",Indices!I347,IF(Indices!I347&gt;=I82,Indices!I347,I82))</f>
        <v>5355.2011460000003</v>
      </c>
      <c r="J83">
        <f>IF($A82="Date",Indices!J347,IF(Indices!J347&gt;=J82,Indices!J347,J82))</f>
        <v>7376.3701170000004</v>
      </c>
      <c r="K83">
        <f>IF($A82="Date",Indices!K347,IF(Indices!K347&gt;=K82,Indices!K347,K82))</f>
        <v>494.35000600000001</v>
      </c>
      <c r="L83">
        <f>IF($A82="Date",Indices!L347,IF(Indices!L347&gt;=L82,Indices!L347,L82))</f>
        <v>16271.75</v>
      </c>
      <c r="O83" s="19">
        <v>44672</v>
      </c>
      <c r="P83" s="18">
        <f>(PrevPeak[[#This Row],[Chine]]-Indices!B347)/PrevPeak[[#This Row],[Chine]]</f>
        <v>0.18154045013432901</v>
      </c>
      <c r="Q83" s="18">
        <f>(PrevPeak[[#This Row],[DM]]-Indices!C347)/PrevPeak[[#This Row],[DM]]</f>
        <v>4.9653733236494614E-2</v>
      </c>
      <c r="R83" s="18">
        <f>(PrevPeak[[#This Row],[EM ex China]]-Indices!D347)/PrevPeak[[#This Row],[EM ex China]]</f>
        <v>4.8408543077713452E-2</v>
      </c>
      <c r="S83" s="18">
        <f>(PrevPeak[[#This Row],[EM]]-Indices!E347)/PrevPeak[[#This Row],[EM]]</f>
        <v>9.6801651944476375E-2</v>
      </c>
      <c r="T83" s="18">
        <f>(PrevPeak[[#This Row],[Japon]]-Indices!F347)/PrevPeak[[#This Row],[Japon]]</f>
        <v>0.11321507421251674</v>
      </c>
      <c r="U83" s="18">
        <f>(PrevPeak[[#This Row],[Monde]]-Indices!G347)/PrevPeak[[#This Row],[Monde]]</f>
        <v>5.3319497034335084E-2</v>
      </c>
      <c r="V83" s="18">
        <f>(PrevPeak[[#This Row],[RU]]-Indices!H347)/PrevPeak[[#This Row],[RU]]</f>
        <v>6.5356430289581517E-3</v>
      </c>
      <c r="W83" s="18">
        <f>(PrevPeak[[#This Row],[US]]-Indices!I347)/PrevPeak[[#This Row],[US]]</f>
        <v>9.2352239162745417E-2</v>
      </c>
      <c r="X83" s="18">
        <f>(PrevPeak[[#This Row],[France]]-Indices!J347)/PrevPeak[[#This Row],[France]]</f>
        <v>8.9647076883520277E-2</v>
      </c>
      <c r="Y83" s="18">
        <f>(PrevPeak[[#This Row],[Europe]]-Indices!K347)/PrevPeak[[#This Row],[Europe]]</f>
        <v>6.6309292206218826E-2</v>
      </c>
      <c r="Z83" s="18">
        <f>(PrevPeak[[#This Row],[Allemagne]]-Indices!L347)/PrevPeak[[#This Row],[Allemagne]]</f>
        <v>0.10873691151842921</v>
      </c>
      <c r="AA83" s="27">
        <f>YEAR(DD[[#This Row],[Date]])</f>
        <v>2022</v>
      </c>
    </row>
    <row r="84" spans="1:27" x14ac:dyDescent="0.25">
      <c r="A84" s="1">
        <v>44673</v>
      </c>
      <c r="B84">
        <f>IF($A83="Date",Indices!B348,IF(Indices!B348&gt;=B83,Indices!B348,B83))</f>
        <v>2879.4960000000001</v>
      </c>
      <c r="C84">
        <f>IF($A83="Date",Indices!C348,IF(Indices!C348&gt;=C83,Indices!C348,C83))</f>
        <v>293.27100000000002</v>
      </c>
      <c r="D84">
        <f>IF($A83="Date",Indices!D348,IF(Indices!D348&gt;=D83,Indices!D348,D83))</f>
        <v>4363.4859999999999</v>
      </c>
      <c r="E84">
        <f>IF($A83="Date",Indices!E348,IF(Indices!E348&gt;=E83,Indices!E348,E83))</f>
        <v>435.85</v>
      </c>
      <c r="F84">
        <f>IF($A83="Date",Indices!F348,IF(Indices!F348&gt;=F83,Indices!F348,F83))</f>
        <v>182.988</v>
      </c>
      <c r="G84">
        <f>IF($A83="Date",Indices!G348,IF(Indices!G348&gt;=G83,Indices!G348,G83))</f>
        <v>288.13099999999997</v>
      </c>
      <c r="H84">
        <f>IF($A83="Date",Indices!H348,IF(Indices!H348&gt;=H83,Indices!H348,H83))</f>
        <v>107.258</v>
      </c>
      <c r="I84">
        <f>IF($A83="Date",Indices!I348,IF(Indices!I348&gt;=I83,Indices!I348,I83))</f>
        <v>5355.2011460000003</v>
      </c>
      <c r="J84">
        <f>IF($A83="Date",Indices!J348,IF(Indices!J348&gt;=J83,Indices!J348,J83))</f>
        <v>7376.3701170000004</v>
      </c>
      <c r="K84">
        <f>IF($A83="Date",Indices!K348,IF(Indices!K348&gt;=K83,Indices!K348,K83))</f>
        <v>494.35000600000001</v>
      </c>
      <c r="L84">
        <f>IF($A83="Date",Indices!L348,IF(Indices!L348&gt;=L83,Indices!L348,L83))</f>
        <v>16271.75</v>
      </c>
      <c r="O84" s="20">
        <v>44673</v>
      </c>
      <c r="P84" s="17">
        <f>(PrevPeak[[#This Row],[Chine]]-Indices!B348)/PrevPeak[[#This Row],[Chine]]</f>
        <v>0.17803740654614553</v>
      </c>
      <c r="Q84" s="17">
        <f>(PrevPeak[[#This Row],[DM]]-Indices!C348)/PrevPeak[[#This Row],[DM]]</f>
        <v>6.8598668126067672E-2</v>
      </c>
      <c r="R84" s="17">
        <f>(PrevPeak[[#This Row],[EM ex China]]-Indices!D348)/PrevPeak[[#This Row],[EM ex China]]</f>
        <v>5.5876425408492157E-2</v>
      </c>
      <c r="S84" s="17">
        <f>(PrevPeak[[#This Row],[EM]]-Indices!E348)/PrevPeak[[#This Row],[EM]]</f>
        <v>0.100493288975565</v>
      </c>
      <c r="T84" s="17">
        <f>(PrevPeak[[#This Row],[Japon]]-Indices!F348)/PrevPeak[[#This Row],[Japon]]</f>
        <v>0.11807331628303493</v>
      </c>
      <c r="U84" s="17">
        <f>(PrevPeak[[#This Row],[Monde]]-Indices!G348)/PrevPeak[[#This Row],[Monde]]</f>
        <v>7.0561654247546998E-2</v>
      </c>
      <c r="V84" s="17">
        <f>(PrevPeak[[#This Row],[RU]]-Indices!H348)/PrevPeak[[#This Row],[RU]]</f>
        <v>2.8277610994051738E-2</v>
      </c>
      <c r="W84" s="17">
        <f>(PrevPeak[[#This Row],[US]]-Indices!I348)/PrevPeak[[#This Row],[US]]</f>
        <v>0.11718560178990524</v>
      </c>
      <c r="X84" s="17">
        <f>(PrevPeak[[#This Row],[France]]-Indices!J348)/PrevPeak[[#This Row],[France]]</f>
        <v>0.10776983562252565</v>
      </c>
      <c r="Y84" s="17">
        <f>(PrevPeak[[#This Row],[Europe]]-Indices!K348)/PrevPeak[[#This Row],[Europe]]</f>
        <v>8.3018119757037087E-2</v>
      </c>
      <c r="Z84" s="17">
        <f>(PrevPeak[[#This Row],[Allemagne]]-Indices!L348)/PrevPeak[[#This Row],[Allemagne]]</f>
        <v>0.13088083088788849</v>
      </c>
      <c r="AA84" s="27">
        <f>YEAR(DD[[#This Row],[Date]])</f>
        <v>2022</v>
      </c>
    </row>
    <row r="85" spans="1:27" x14ac:dyDescent="0.25">
      <c r="A85" s="1">
        <v>44676</v>
      </c>
      <c r="B85">
        <f>IF($A84="Date",Indices!B349,IF(Indices!B349&gt;=B84,Indices!B349,B84))</f>
        <v>2879.4960000000001</v>
      </c>
      <c r="C85">
        <f>IF($A84="Date",Indices!C349,IF(Indices!C349&gt;=C84,Indices!C349,C84))</f>
        <v>293.27100000000002</v>
      </c>
      <c r="D85">
        <f>IF($A84="Date",Indices!D349,IF(Indices!D349&gt;=D84,Indices!D349,D84))</f>
        <v>4363.4859999999999</v>
      </c>
      <c r="E85">
        <f>IF($A84="Date",Indices!E349,IF(Indices!E349&gt;=E84,Indices!E349,E84))</f>
        <v>435.85</v>
      </c>
      <c r="F85">
        <f>IF($A84="Date",Indices!F349,IF(Indices!F349&gt;=F84,Indices!F349,F84))</f>
        <v>182.988</v>
      </c>
      <c r="G85">
        <f>IF($A84="Date",Indices!G349,IF(Indices!G349&gt;=G84,Indices!G349,G84))</f>
        <v>288.13099999999997</v>
      </c>
      <c r="H85">
        <f>IF($A84="Date",Indices!H349,IF(Indices!H349&gt;=H84,Indices!H349,H84))</f>
        <v>107.258</v>
      </c>
      <c r="I85">
        <f>IF($A84="Date",Indices!I349,IF(Indices!I349&gt;=I84,Indices!I349,I84))</f>
        <v>5355.2011460000003</v>
      </c>
      <c r="J85">
        <f>IF($A84="Date",Indices!J349,IF(Indices!J349&gt;=J84,Indices!J349,J84))</f>
        <v>7376.3701170000004</v>
      </c>
      <c r="K85">
        <f>IF($A84="Date",Indices!K349,IF(Indices!K349&gt;=K84,Indices!K349,K84))</f>
        <v>494.35000600000001</v>
      </c>
      <c r="L85">
        <f>IF($A84="Date",Indices!L349,IF(Indices!L349&gt;=L84,Indices!L349,L84))</f>
        <v>16271.75</v>
      </c>
      <c r="O85" s="19">
        <v>44676</v>
      </c>
      <c r="P85" s="18">
        <f>(PrevPeak[[#This Row],[Chine]]-Indices!B349)/PrevPeak[[#This Row],[Chine]]</f>
        <v>0.21439758902252337</v>
      </c>
      <c r="Q85" s="18">
        <f>(PrevPeak[[#This Row],[DM]]-Indices!C349)/PrevPeak[[#This Row],[DM]]</f>
        <v>6.4227284661626999E-2</v>
      </c>
      <c r="R85" s="18">
        <f>(PrevPeak[[#This Row],[EM ex China]]-Indices!D349)/PrevPeak[[#This Row],[EM ex China]]</f>
        <v>7.0543139132335897E-2</v>
      </c>
      <c r="S85" s="18">
        <f>(PrevPeak[[#This Row],[EM]]-Indices!E349)/PrevPeak[[#This Row],[EM]]</f>
        <v>0.11965355053344043</v>
      </c>
      <c r="T85" s="18">
        <f>(PrevPeak[[#This Row],[Japon]]-Indices!F349)/PrevPeak[[#This Row],[Japon]]</f>
        <v>0.12219380505825526</v>
      </c>
      <c r="U85" s="18">
        <f>(PrevPeak[[#This Row],[Monde]]-Indices!G349)/PrevPeak[[#This Row],[Monde]]</f>
        <v>6.8864509546005065E-2</v>
      </c>
      <c r="V85" s="18">
        <f>(PrevPeak[[#This Row],[RU]]-Indices!H349)/PrevPeak[[#This Row],[RU]]</f>
        <v>5.0206045236718858E-2</v>
      </c>
      <c r="W85" s="18">
        <f>(PrevPeak[[#This Row],[US]]-Indices!I349)/PrevPeak[[#This Row],[US]]</f>
        <v>0.11154999125405399</v>
      </c>
      <c r="X85" s="18">
        <f>(PrevPeak[[#This Row],[France]]-Indices!J349)/PrevPeak[[#This Row],[France]]</f>
        <v>0.12567024421179823</v>
      </c>
      <c r="Y85" s="18">
        <f>(PrevPeak[[#This Row],[Europe]]-Indices!K349)/PrevPeak[[#This Row],[Europe]]</f>
        <v>9.9605583902835054E-2</v>
      </c>
      <c r="Z85" s="18">
        <f>(PrevPeak[[#This Row],[Allemagne]]-Indices!L349)/PrevPeak[[#This Row],[Allemagne]]</f>
        <v>0.14427336211532255</v>
      </c>
      <c r="AA85" s="27">
        <f>YEAR(DD[[#This Row],[Date]])</f>
        <v>2022</v>
      </c>
    </row>
    <row r="86" spans="1:27" x14ac:dyDescent="0.25">
      <c r="A86" s="1">
        <v>44677</v>
      </c>
      <c r="B86">
        <f>IF($A85="Date",Indices!B350,IF(Indices!B350&gt;=B85,Indices!B350,B85))</f>
        <v>2879.4960000000001</v>
      </c>
      <c r="C86">
        <f>IF($A85="Date",Indices!C350,IF(Indices!C350&gt;=C85,Indices!C350,C85))</f>
        <v>293.27100000000002</v>
      </c>
      <c r="D86">
        <f>IF($A85="Date",Indices!D350,IF(Indices!D350&gt;=D85,Indices!D350,D85))</f>
        <v>4363.4859999999999</v>
      </c>
      <c r="E86">
        <f>IF($A85="Date",Indices!E350,IF(Indices!E350&gt;=E85,Indices!E350,E85))</f>
        <v>435.85</v>
      </c>
      <c r="F86">
        <f>IF($A85="Date",Indices!F350,IF(Indices!F350&gt;=F85,Indices!F350,F85))</f>
        <v>182.988</v>
      </c>
      <c r="G86">
        <f>IF($A85="Date",Indices!G350,IF(Indices!G350&gt;=G85,Indices!G350,G85))</f>
        <v>288.13099999999997</v>
      </c>
      <c r="H86">
        <f>IF($A85="Date",Indices!H350,IF(Indices!H350&gt;=H85,Indices!H350,H85))</f>
        <v>107.258</v>
      </c>
      <c r="I86">
        <f>IF($A85="Date",Indices!I350,IF(Indices!I350&gt;=I85,Indices!I350,I85))</f>
        <v>5355.2011460000003</v>
      </c>
      <c r="J86">
        <f>IF($A85="Date",Indices!J350,IF(Indices!J350&gt;=J85,Indices!J350,J85))</f>
        <v>7376.3701170000004</v>
      </c>
      <c r="K86">
        <f>IF($A85="Date",Indices!K350,IF(Indices!K350&gt;=K85,Indices!K350,K85))</f>
        <v>494.35000600000001</v>
      </c>
      <c r="L86">
        <f>IF($A85="Date",Indices!L350,IF(Indices!L350&gt;=L85,Indices!L350,L85))</f>
        <v>16271.75</v>
      </c>
      <c r="O86" s="20">
        <v>44677</v>
      </c>
      <c r="P86" s="17">
        <f>(PrevPeak[[#This Row],[Chine]]-Indices!B350)/PrevPeak[[#This Row],[Chine]]</f>
        <v>0.21074243548176483</v>
      </c>
      <c r="Q86" s="17">
        <f>(PrevPeak[[#This Row],[DM]]-Indices!C350)/PrevPeak[[#This Row],[DM]]</f>
        <v>8.1027445604918424E-2</v>
      </c>
      <c r="R86" s="17">
        <f>(PrevPeak[[#This Row],[EM ex China]]-Indices!D350)/PrevPeak[[#This Row],[EM ex China]]</f>
        <v>6.3325286250488708E-2</v>
      </c>
      <c r="S86" s="17">
        <f>(PrevPeak[[#This Row],[EM]]-Indices!E350)/PrevPeak[[#This Row],[EM]]</f>
        <v>0.11210737639096024</v>
      </c>
      <c r="T86" s="17">
        <f>(PrevPeak[[#This Row],[Japon]]-Indices!F350)/PrevPeak[[#This Row],[Japon]]</f>
        <v>0.11220954379522148</v>
      </c>
      <c r="U86" s="17">
        <f>(PrevPeak[[#This Row],[Monde]]-Indices!G350)/PrevPeak[[#This Row],[Monde]]</f>
        <v>8.2920615969819284E-2</v>
      </c>
      <c r="V86" s="17">
        <f>(PrevPeak[[#This Row],[RU]]-Indices!H350)/PrevPeak[[#This Row],[RU]]</f>
        <v>5.0774767383318709E-2</v>
      </c>
      <c r="W86" s="17">
        <f>(PrevPeak[[#This Row],[US]]-Indices!I350)/PrevPeak[[#This Row],[US]]</f>
        <v>0.13728810196964358</v>
      </c>
      <c r="X86" s="17">
        <f>(PrevPeak[[#This Row],[France]]-Indices!J350)/PrevPeak[[#This Row],[France]]</f>
        <v>0.13038937549830651</v>
      </c>
      <c r="Y86" s="17">
        <f>(PrevPeak[[#This Row],[Europe]]-Indices!K350)/PrevPeak[[#This Row],[Europe]]</f>
        <v>0.10771720310245127</v>
      </c>
      <c r="Z86" s="17">
        <f>(PrevPeak[[#This Row],[Allemagne]]-Indices!L350)/PrevPeak[[#This Row],[Allemagne]]</f>
        <v>0.1545838407055172</v>
      </c>
      <c r="AA86" s="27">
        <f>YEAR(DD[[#This Row],[Date]])</f>
        <v>2022</v>
      </c>
    </row>
    <row r="87" spans="1:27" x14ac:dyDescent="0.25">
      <c r="A87" s="1">
        <v>44678</v>
      </c>
      <c r="B87">
        <f>IF($A86="Date",Indices!B351,IF(Indices!B351&gt;=B86,Indices!B351,B86))</f>
        <v>2879.4960000000001</v>
      </c>
      <c r="C87">
        <f>IF($A86="Date",Indices!C351,IF(Indices!C351&gt;=C86,Indices!C351,C86))</f>
        <v>293.27100000000002</v>
      </c>
      <c r="D87">
        <f>IF($A86="Date",Indices!D351,IF(Indices!D351&gt;=D86,Indices!D351,D86))</f>
        <v>4363.4859999999999</v>
      </c>
      <c r="E87">
        <f>IF($A86="Date",Indices!E351,IF(Indices!E351&gt;=E86,Indices!E351,E86))</f>
        <v>435.85</v>
      </c>
      <c r="F87">
        <f>IF($A86="Date",Indices!F351,IF(Indices!F351&gt;=F86,Indices!F351,F86))</f>
        <v>182.988</v>
      </c>
      <c r="G87">
        <f>IF($A86="Date",Indices!G351,IF(Indices!G351&gt;=G86,Indices!G351,G86))</f>
        <v>288.13099999999997</v>
      </c>
      <c r="H87">
        <f>IF($A86="Date",Indices!H351,IF(Indices!H351&gt;=H86,Indices!H351,H86))</f>
        <v>107.258</v>
      </c>
      <c r="I87">
        <f>IF($A86="Date",Indices!I351,IF(Indices!I351&gt;=I86,Indices!I351,I86))</f>
        <v>5355.2011460000003</v>
      </c>
      <c r="J87">
        <f>IF($A86="Date",Indices!J351,IF(Indices!J351&gt;=J86,Indices!J351,J86))</f>
        <v>7376.3701170000004</v>
      </c>
      <c r="K87">
        <f>IF($A86="Date",Indices!K351,IF(Indices!K351&gt;=K86,Indices!K351,K86))</f>
        <v>494.35000600000001</v>
      </c>
      <c r="L87">
        <f>IF($A86="Date",Indices!L351,IF(Indices!L351&gt;=L86,Indices!L351,L86))</f>
        <v>16271.75</v>
      </c>
      <c r="O87" s="19">
        <v>44678</v>
      </c>
      <c r="P87" s="18">
        <f>(PrevPeak[[#This Row],[Chine]]-Indices!B351)/PrevPeak[[#This Row],[Chine]]</f>
        <v>0.18391204571911196</v>
      </c>
      <c r="Q87" s="18">
        <f>(PrevPeak[[#This Row],[DM]]-Indices!C351)/PrevPeak[[#This Row],[DM]]</f>
        <v>7.0562721851120683E-2</v>
      </c>
      <c r="R87" s="18">
        <f>(PrevPeak[[#This Row],[EM ex China]]-Indices!D351)/PrevPeak[[#This Row],[EM ex China]]</f>
        <v>6.3927098654607745E-2</v>
      </c>
      <c r="S87" s="18">
        <f>(PrevPeak[[#This Row],[EM]]-Indices!E351)/PrevPeak[[#This Row],[EM]]</f>
        <v>0.10571985774922572</v>
      </c>
      <c r="T87" s="18">
        <f>(PrevPeak[[#This Row],[Japon]]-Indices!F351)/PrevPeak[[#This Row],[Japon]]</f>
        <v>0.11732463330928801</v>
      </c>
      <c r="U87" s="18">
        <f>(PrevPeak[[#This Row],[Monde]]-Indices!G351)/PrevPeak[[#This Row],[Monde]]</f>
        <v>7.2897397364393157E-2</v>
      </c>
      <c r="V87" s="18">
        <f>(PrevPeak[[#This Row],[RU]]-Indices!H351)/PrevPeak[[#This Row],[RU]]</f>
        <v>4.2169348673292403E-2</v>
      </c>
      <c r="W87" s="18">
        <f>(PrevPeak[[#This Row],[US]]-Indices!I351)/PrevPeak[[#This Row],[US]]</f>
        <v>0.13613627091197977</v>
      </c>
      <c r="X87" s="18">
        <f>(PrevPeak[[#This Row],[France]]-Indices!J351)/PrevPeak[[#This Row],[France]]</f>
        <v>0.12622880037623255</v>
      </c>
      <c r="Y87" s="18">
        <f>(PrevPeak[[#This Row],[Europe]]-Indices!K351)/PrevPeak[[#This Row],[Europe]]</f>
        <v>0.10122384422505701</v>
      </c>
      <c r="Z87" s="18">
        <f>(PrevPeak[[#This Row],[Allemagne]]-Indices!L351)/PrevPeak[[#This Row],[Allemagne]]</f>
        <v>0.15227677232012535</v>
      </c>
      <c r="AA87" s="27">
        <f>YEAR(DD[[#This Row],[Date]])</f>
        <v>2022</v>
      </c>
    </row>
    <row r="88" spans="1:27" x14ac:dyDescent="0.25">
      <c r="A88" s="1">
        <v>44679</v>
      </c>
      <c r="B88">
        <f>IF($A87="Date",Indices!B352,IF(Indices!B352&gt;=B87,Indices!B352,B87))</f>
        <v>2879.4960000000001</v>
      </c>
      <c r="C88">
        <f>IF($A87="Date",Indices!C352,IF(Indices!C352&gt;=C87,Indices!C352,C87))</f>
        <v>293.27100000000002</v>
      </c>
      <c r="D88">
        <f>IF($A87="Date",Indices!D352,IF(Indices!D352&gt;=D87,Indices!D352,D87))</f>
        <v>4363.4859999999999</v>
      </c>
      <c r="E88">
        <f>IF($A87="Date",Indices!E352,IF(Indices!E352&gt;=E87,Indices!E352,E87))</f>
        <v>435.85</v>
      </c>
      <c r="F88">
        <f>IF($A87="Date",Indices!F352,IF(Indices!F352&gt;=F87,Indices!F352,F87))</f>
        <v>182.988</v>
      </c>
      <c r="G88">
        <f>IF($A87="Date",Indices!G352,IF(Indices!G352&gt;=G87,Indices!G352,G87))</f>
        <v>288.13099999999997</v>
      </c>
      <c r="H88">
        <f>IF($A87="Date",Indices!H352,IF(Indices!H352&gt;=H87,Indices!H352,H87))</f>
        <v>107.258</v>
      </c>
      <c r="I88">
        <f>IF($A87="Date",Indices!I352,IF(Indices!I352&gt;=I87,Indices!I352,I87))</f>
        <v>5355.2011460000003</v>
      </c>
      <c r="J88">
        <f>IF($A87="Date",Indices!J352,IF(Indices!J352&gt;=J87,Indices!J352,J87))</f>
        <v>7376.3701170000004</v>
      </c>
      <c r="K88">
        <f>IF($A87="Date",Indices!K352,IF(Indices!K352&gt;=K87,Indices!K352,K87))</f>
        <v>494.35000600000001</v>
      </c>
      <c r="L88">
        <f>IF($A87="Date",Indices!L352,IF(Indices!L352&gt;=L87,Indices!L352,L87))</f>
        <v>16271.75</v>
      </c>
      <c r="O88" s="20">
        <v>44679</v>
      </c>
      <c r="P88" s="17">
        <f>(PrevPeak[[#This Row],[Chine]]-Indices!B352)/PrevPeak[[#This Row],[Chine]]</f>
        <v>0.17650241570052547</v>
      </c>
      <c r="Q88" s="17">
        <f>(PrevPeak[[#This Row],[DM]]-Indices!C352)/PrevPeak[[#This Row],[DM]]</f>
        <v>5.2582764746599529E-2</v>
      </c>
      <c r="R88" s="17">
        <f>(PrevPeak[[#This Row],[EM ex China]]-Indices!D352)/PrevPeak[[#This Row],[EM ex China]]</f>
        <v>5.7584921780429621E-2</v>
      </c>
      <c r="S88" s="17">
        <f>(PrevPeak[[#This Row],[EM]]-Indices!E352)/PrevPeak[[#This Row],[EM]]</f>
        <v>9.7003556269358707E-2</v>
      </c>
      <c r="T88" s="17">
        <f>(PrevPeak[[#This Row],[Japon]]-Indices!F352)/PrevPeak[[#This Row],[Japon]]</f>
        <v>0.11851596826021385</v>
      </c>
      <c r="U88" s="17">
        <f>(PrevPeak[[#This Row],[Monde]]-Indices!G352)/PrevPeak[[#This Row],[Monde]]</f>
        <v>5.5943303566780296E-2</v>
      </c>
      <c r="V88" s="17">
        <f>(PrevPeak[[#This Row],[RU]]-Indices!H352)/PrevPeak[[#This Row],[RU]]</f>
        <v>3.610919465214707E-2</v>
      </c>
      <c r="W88" s="17">
        <f>(PrevPeak[[#This Row],[US]]-Indices!I352)/PrevPeak[[#This Row],[US]]</f>
        <v>0.11517972662160769</v>
      </c>
      <c r="X88" s="17">
        <f>(PrevPeak[[#This Row],[France]]-Indices!J352)/PrevPeak[[#This Row],[France]]</f>
        <v>0.11770423205839795</v>
      </c>
      <c r="Y88" s="17">
        <f>(PrevPeak[[#This Row],[Europe]]-Indices!K352)/PrevPeak[[#This Row],[Europe]]</f>
        <v>9.5640737182473165E-2</v>
      </c>
      <c r="Z88" s="17">
        <f>(PrevPeak[[#This Row],[Allemagne]]-Indices!L352)/PrevPeak[[#This Row],[Allemagne]]</f>
        <v>0.14085210011215754</v>
      </c>
      <c r="AA88" s="27">
        <f>YEAR(DD[[#This Row],[Date]])</f>
        <v>2022</v>
      </c>
    </row>
    <row r="89" spans="1:27" x14ac:dyDescent="0.25">
      <c r="A89" s="1">
        <v>44680</v>
      </c>
      <c r="B89">
        <f>IF($A88="Date",Indices!B353,IF(Indices!B353&gt;=B88,Indices!B353,B88))</f>
        <v>2879.4960000000001</v>
      </c>
      <c r="C89">
        <f>IF($A88="Date",Indices!C353,IF(Indices!C353&gt;=C88,Indices!C353,C88))</f>
        <v>293.27100000000002</v>
      </c>
      <c r="D89">
        <f>IF($A88="Date",Indices!D353,IF(Indices!D353&gt;=D88,Indices!D353,D88))</f>
        <v>4363.4859999999999</v>
      </c>
      <c r="E89">
        <f>IF($A88="Date",Indices!E353,IF(Indices!E353&gt;=E88,Indices!E353,E88))</f>
        <v>435.85</v>
      </c>
      <c r="F89">
        <f>IF($A88="Date",Indices!F353,IF(Indices!F353&gt;=F88,Indices!F353,F88))</f>
        <v>182.988</v>
      </c>
      <c r="G89">
        <f>IF($A88="Date",Indices!G353,IF(Indices!G353&gt;=G88,Indices!G353,G88))</f>
        <v>288.13099999999997</v>
      </c>
      <c r="H89">
        <f>IF($A88="Date",Indices!H353,IF(Indices!H353&gt;=H88,Indices!H353,H88))</f>
        <v>107.258</v>
      </c>
      <c r="I89">
        <f>IF($A88="Date",Indices!I353,IF(Indices!I353&gt;=I88,Indices!I353,I88))</f>
        <v>5355.2011460000003</v>
      </c>
      <c r="J89">
        <f>IF($A88="Date",Indices!J353,IF(Indices!J353&gt;=J88,Indices!J353,J88))</f>
        <v>7376.3701170000004</v>
      </c>
      <c r="K89">
        <f>IF($A88="Date",Indices!K353,IF(Indices!K353&gt;=K88,Indices!K353,K88))</f>
        <v>494.35000600000001</v>
      </c>
      <c r="L89">
        <f>IF($A88="Date",Indices!L353,IF(Indices!L353&gt;=L88,Indices!L353,L88))</f>
        <v>16271.75</v>
      </c>
      <c r="O89" s="19">
        <v>44680</v>
      </c>
      <c r="P89" s="18">
        <f>(PrevPeak[[#This Row],[Chine]]-Indices!B353)/PrevPeak[[#This Row],[Chine]]</f>
        <v>0.14107434078741554</v>
      </c>
      <c r="Q89" s="18">
        <f>(PrevPeak[[#This Row],[DM]]-Indices!C353)/PrevPeak[[#This Row],[DM]]</f>
        <v>7.7307336900000426E-2</v>
      </c>
      <c r="R89" s="18">
        <f>(PrevPeak[[#This Row],[EM ex China]]-Indices!D353)/PrevPeak[[#This Row],[EM ex China]]</f>
        <v>5.5066293326024182E-2</v>
      </c>
      <c r="S89" s="18">
        <f>(PrevPeak[[#This Row],[EM]]-Indices!E353)/PrevPeak[[#This Row],[EM]]</f>
        <v>8.07158426064013E-2</v>
      </c>
      <c r="T89" s="18">
        <f>(PrevPeak[[#This Row],[Japon]]-Indices!F353)/PrevPeak[[#This Row],[Japon]]</f>
        <v>0.11140074759000586</v>
      </c>
      <c r="U89" s="18">
        <f>(PrevPeak[[#This Row],[Monde]]-Indices!G353)/PrevPeak[[#This Row],[Monde]]</f>
        <v>7.6038329787492476E-2</v>
      </c>
      <c r="V89" s="18">
        <f>(PrevPeak[[#This Row],[RU]]-Indices!H353)/PrevPeak[[#This Row],[RU]]</f>
        <v>2.5984075779895133E-2</v>
      </c>
      <c r="W89" s="18">
        <f>(PrevPeak[[#This Row],[US]]-Indices!I353)/PrevPeak[[#This Row],[US]]</f>
        <v>0.1467204832421434</v>
      </c>
      <c r="X89" s="18">
        <f>(PrevPeak[[#This Row],[France]]-Indices!J353)/PrevPeak[[#This Row],[France]]</f>
        <v>0.11422963919043277</v>
      </c>
      <c r="Y89" s="18">
        <f>(PrevPeak[[#This Row],[Europe]]-Indices!K353)/PrevPeak[[#This Row],[Europe]]</f>
        <v>8.8924831529181778E-2</v>
      </c>
      <c r="Z89" s="18">
        <f>(PrevPeak[[#This Row],[Allemagne]]-Indices!L353)/PrevPeak[[#This Row],[Allemagne]]</f>
        <v>0.13359780724261372</v>
      </c>
      <c r="AA89" s="27">
        <f>YEAR(DD[[#This Row],[Date]])</f>
        <v>2022</v>
      </c>
    </row>
    <row r="90" spans="1:27" x14ac:dyDescent="0.25">
      <c r="A90" s="1">
        <v>44683</v>
      </c>
      <c r="B90">
        <f>IF($A89="Date",Indices!B354,IF(Indices!B354&gt;=B89,Indices!B354,B89))</f>
        <v>2879.4960000000001</v>
      </c>
      <c r="C90">
        <f>IF($A89="Date",Indices!C354,IF(Indices!C354&gt;=C89,Indices!C354,C89))</f>
        <v>293.27100000000002</v>
      </c>
      <c r="D90">
        <f>IF($A89="Date",Indices!D354,IF(Indices!D354&gt;=D89,Indices!D354,D89))</f>
        <v>4363.4859999999999</v>
      </c>
      <c r="E90">
        <f>IF($A89="Date",Indices!E354,IF(Indices!E354&gt;=E89,Indices!E354,E89))</f>
        <v>435.85</v>
      </c>
      <c r="F90">
        <f>IF($A89="Date",Indices!F354,IF(Indices!F354&gt;=F89,Indices!F354,F89))</f>
        <v>182.988</v>
      </c>
      <c r="G90">
        <f>IF($A89="Date",Indices!G354,IF(Indices!G354&gt;=G89,Indices!G354,G89))</f>
        <v>288.13099999999997</v>
      </c>
      <c r="H90">
        <f>IF($A89="Date",Indices!H354,IF(Indices!H354&gt;=H89,Indices!H354,H89))</f>
        <v>107.258</v>
      </c>
      <c r="I90">
        <f>IF($A89="Date",Indices!I354,IF(Indices!I354&gt;=I89,Indices!I354,I89))</f>
        <v>5355.2011460000003</v>
      </c>
      <c r="J90">
        <f>IF($A89="Date",Indices!J354,IF(Indices!J354&gt;=J89,Indices!J354,J89))</f>
        <v>7376.3701170000004</v>
      </c>
      <c r="K90">
        <f>IF($A89="Date",Indices!K354,IF(Indices!K354&gt;=K89,Indices!K354,K89))</f>
        <v>494.35000600000001</v>
      </c>
      <c r="L90">
        <f>IF($A89="Date",Indices!L354,IF(Indices!L354&gt;=L89,Indices!L354,L89))</f>
        <v>16271.75</v>
      </c>
      <c r="O90" s="20">
        <v>44683</v>
      </c>
      <c r="P90" s="17">
        <f>(PrevPeak[[#This Row],[Chine]]-Indices!B354)/PrevPeak[[#This Row],[Chine]]</f>
        <v>0.13786752959545698</v>
      </c>
      <c r="Q90" s="17">
        <f>(PrevPeak[[#This Row],[DM]]-Indices!C354)/PrevPeak[[#This Row],[DM]]</f>
        <v>7.4790893064776348E-2</v>
      </c>
      <c r="R90" s="17">
        <f>(PrevPeak[[#This Row],[EM ex China]]-Indices!D354)/PrevPeak[[#This Row],[EM ex China]]</f>
        <v>5.7841138942579425E-2</v>
      </c>
      <c r="S90" s="17">
        <f>(PrevPeak[[#This Row],[EM]]-Indices!E354)/PrevPeak[[#This Row],[EM]]</f>
        <v>8.155099231386953E-2</v>
      </c>
      <c r="T90" s="17">
        <f>(PrevPeak[[#This Row],[Japon]]-Indices!F354)/PrevPeak[[#This Row],[Japon]]</f>
        <v>0.11441187400266688</v>
      </c>
      <c r="U90" s="17">
        <f>(PrevPeak[[#This Row],[Monde]]-Indices!G354)/PrevPeak[[#This Row],[Monde]]</f>
        <v>7.3900413353647998E-2</v>
      </c>
      <c r="V90" s="17">
        <f>(PrevPeak[[#This Row],[RU]]-Indices!H354)/PrevPeak[[#This Row],[RU]]</f>
        <v>2.6263775196255692E-2</v>
      </c>
      <c r="W90" s="17">
        <f>(PrevPeak[[#This Row],[US]]-Indices!I354)/PrevPeak[[#This Row],[US]]</f>
        <v>0.14110964637891121</v>
      </c>
      <c r="X90" s="17">
        <f>(PrevPeak[[#This Row],[France]]-Indices!J354)/PrevPeak[[#This Row],[France]]</f>
        <v>0.12889269910803755</v>
      </c>
      <c r="Y90" s="17">
        <f>(PrevPeak[[#This Row],[Europe]]-Indices!K354)/PrevPeak[[#This Row],[Europe]]</f>
        <v>0.10219483844812574</v>
      </c>
      <c r="Z90" s="17">
        <f>(PrevPeak[[#This Row],[Allemagne]]-Indices!L354)/PrevPeak[[#This Row],[Allemagne]]</f>
        <v>0.14335764069629886</v>
      </c>
      <c r="AA90" s="27">
        <f>YEAR(DD[[#This Row],[Date]])</f>
        <v>2022</v>
      </c>
    </row>
    <row r="91" spans="1:27" x14ac:dyDescent="0.25">
      <c r="A91" s="1">
        <v>44684</v>
      </c>
      <c r="B91">
        <f>IF($A90="Date",Indices!B355,IF(Indices!B355&gt;=B90,Indices!B355,B90))</f>
        <v>2879.4960000000001</v>
      </c>
      <c r="C91">
        <f>IF($A90="Date",Indices!C355,IF(Indices!C355&gt;=C90,Indices!C355,C90))</f>
        <v>293.27100000000002</v>
      </c>
      <c r="D91">
        <f>IF($A90="Date",Indices!D355,IF(Indices!D355&gt;=D90,Indices!D355,D90))</f>
        <v>4363.4859999999999</v>
      </c>
      <c r="E91">
        <f>IF($A90="Date",Indices!E355,IF(Indices!E355&gt;=E90,Indices!E355,E90))</f>
        <v>435.85</v>
      </c>
      <c r="F91">
        <f>IF($A90="Date",Indices!F355,IF(Indices!F355&gt;=F90,Indices!F355,F90))</f>
        <v>182.988</v>
      </c>
      <c r="G91">
        <f>IF($A90="Date",Indices!G355,IF(Indices!G355&gt;=G90,Indices!G355,G90))</f>
        <v>288.13099999999997</v>
      </c>
      <c r="H91">
        <f>IF($A90="Date",Indices!H355,IF(Indices!H355&gt;=H90,Indices!H355,H90))</f>
        <v>107.258</v>
      </c>
      <c r="I91">
        <f>IF($A90="Date",Indices!I355,IF(Indices!I355&gt;=I90,Indices!I355,I90))</f>
        <v>5355.2011460000003</v>
      </c>
      <c r="J91">
        <f>IF($A90="Date",Indices!J355,IF(Indices!J355&gt;=J90,Indices!J355,J90))</f>
        <v>7376.3701170000004</v>
      </c>
      <c r="K91">
        <f>IF($A90="Date",Indices!K355,IF(Indices!K355&gt;=K90,Indices!K355,K90))</f>
        <v>494.35000600000001</v>
      </c>
      <c r="L91">
        <f>IF($A90="Date",Indices!L355,IF(Indices!L355&gt;=L90,Indices!L355,L90))</f>
        <v>16271.75</v>
      </c>
      <c r="O91" s="19">
        <v>44684</v>
      </c>
      <c r="P91" s="18">
        <f>(PrevPeak[[#This Row],[Chine]]-Indices!B355)/PrevPeak[[#This Row],[Chine]]</f>
        <v>0.14103301411080282</v>
      </c>
      <c r="Q91" s="18">
        <f>(PrevPeak[[#This Row],[DM]]-Indices!C355)/PrevPeak[[#This Row],[DM]]</f>
        <v>7.1650452993988603E-2</v>
      </c>
      <c r="R91" s="18">
        <f>(PrevPeak[[#This Row],[EM ex China]]-Indices!D355)/PrevPeak[[#This Row],[EM ex China]]</f>
        <v>6.2115473729032242E-2</v>
      </c>
      <c r="S91" s="18">
        <f>(PrevPeak[[#This Row],[EM]]-Indices!E355)/PrevPeak[[#This Row],[EM]]</f>
        <v>8.5701502810599989E-2</v>
      </c>
      <c r="T91" s="18">
        <f>(PrevPeak[[#This Row],[Japon]]-Indices!F355)/PrevPeak[[#This Row],[Japon]]</f>
        <v>0.11349378101296261</v>
      </c>
      <c r="U91" s="18">
        <f>(PrevPeak[[#This Row],[Monde]]-Indices!G355)/PrevPeak[[#This Row],[Monde]]</f>
        <v>7.1585494098170555E-2</v>
      </c>
      <c r="V91" s="18">
        <f>(PrevPeak[[#This Row],[RU]]-Indices!H355)/PrevPeak[[#This Row],[RU]]</f>
        <v>2.5573849969233019E-2</v>
      </c>
      <c r="W91" s="18">
        <f>(PrevPeak[[#This Row],[US]]-Indices!I355)/PrevPeak[[#This Row],[US]]</f>
        <v>0.13702153905985143</v>
      </c>
      <c r="X91" s="18">
        <f>(PrevPeak[[#This Row],[France]]-Indices!J355)/PrevPeak[[#This Row],[France]]</f>
        <v>0.12203698116033682</v>
      </c>
      <c r="Y91" s="18">
        <f>(PrevPeak[[#This Row],[Europe]]-Indices!K355)/PrevPeak[[#This Row],[Europe]]</f>
        <v>9.7400613766756974E-2</v>
      </c>
      <c r="Z91" s="18">
        <f>(PrevPeak[[#This Row],[Allemagne]]-Indices!L355)/PrevPeak[[#This Row],[Allemagne]]</f>
        <v>0.13718747338178128</v>
      </c>
      <c r="AA91" s="27">
        <f>YEAR(DD[[#This Row],[Date]])</f>
        <v>2022</v>
      </c>
    </row>
    <row r="92" spans="1:27" x14ac:dyDescent="0.25">
      <c r="A92" s="1">
        <v>44685</v>
      </c>
      <c r="B92">
        <f>IF($A91="Date",Indices!B356,IF(Indices!B356&gt;=B91,Indices!B356,B91))</f>
        <v>2879.4960000000001</v>
      </c>
      <c r="C92">
        <f>IF($A91="Date",Indices!C356,IF(Indices!C356&gt;=C91,Indices!C356,C91))</f>
        <v>293.27100000000002</v>
      </c>
      <c r="D92">
        <f>IF($A91="Date",Indices!D356,IF(Indices!D356&gt;=D91,Indices!D356,D91))</f>
        <v>4363.4859999999999</v>
      </c>
      <c r="E92">
        <f>IF($A91="Date",Indices!E356,IF(Indices!E356&gt;=E91,Indices!E356,E91))</f>
        <v>435.85</v>
      </c>
      <c r="F92">
        <f>IF($A91="Date",Indices!F356,IF(Indices!F356&gt;=F91,Indices!F356,F91))</f>
        <v>182.988</v>
      </c>
      <c r="G92">
        <f>IF($A91="Date",Indices!G356,IF(Indices!G356&gt;=G91,Indices!G356,G91))</f>
        <v>288.13099999999997</v>
      </c>
      <c r="H92">
        <f>IF($A91="Date",Indices!H356,IF(Indices!H356&gt;=H91,Indices!H356,H91))</f>
        <v>107.258</v>
      </c>
      <c r="I92">
        <f>IF($A91="Date",Indices!I356,IF(Indices!I356&gt;=I91,Indices!I356,I91))</f>
        <v>5355.2011460000003</v>
      </c>
      <c r="J92">
        <f>IF($A91="Date",Indices!J356,IF(Indices!J356&gt;=J91,Indices!J356,J91))</f>
        <v>7376.3701170000004</v>
      </c>
      <c r="K92">
        <f>IF($A91="Date",Indices!K356,IF(Indices!K356&gt;=K91,Indices!K356,K91))</f>
        <v>494.35000600000001</v>
      </c>
      <c r="L92">
        <f>IF($A91="Date",Indices!L356,IF(Indices!L356&gt;=L91,Indices!L356,L91))</f>
        <v>16271.75</v>
      </c>
      <c r="O92" s="20">
        <v>44685</v>
      </c>
      <c r="P92" s="17">
        <f>(PrevPeak[[#This Row],[Chine]]-Indices!B356)/PrevPeak[[#This Row],[Chine]]</f>
        <v>0.14819016939075455</v>
      </c>
      <c r="Q92" s="17">
        <f>(PrevPeak[[#This Row],[DM]]-Indices!C356)/PrevPeak[[#This Row],[DM]]</f>
        <v>5.450590068571394E-2</v>
      </c>
      <c r="R92" s="17">
        <f>(PrevPeak[[#This Row],[EM ex China]]-Indices!D356)/PrevPeak[[#This Row],[EM ex China]]</f>
        <v>6.4590788190909729E-2</v>
      </c>
      <c r="S92" s="17">
        <f>(PrevPeak[[#This Row],[EM]]-Indices!E356)/PrevPeak[[#This Row],[EM]]</f>
        <v>9.1180451990363745E-2</v>
      </c>
      <c r="T92" s="17">
        <f>(PrevPeak[[#This Row],[Japon]]-Indices!F356)/PrevPeak[[#This Row],[Japon]]</f>
        <v>0.11477801823070358</v>
      </c>
      <c r="U92" s="17">
        <f>(PrevPeak[[#This Row],[Monde]]-Indices!G356)/PrevPeak[[#This Row],[Monde]]</f>
        <v>5.6984496635211011E-2</v>
      </c>
      <c r="V92" s="17">
        <f>(PrevPeak[[#This Row],[RU]]-Indices!H356)/PrevPeak[[#This Row],[RU]]</f>
        <v>3.5894758432937351E-2</v>
      </c>
      <c r="W92" s="17">
        <f>(PrevPeak[[#This Row],[US]]-Indices!I356)/PrevPeak[[#This Row],[US]]</f>
        <v>0.11167833302521481</v>
      </c>
      <c r="X92" s="17">
        <f>(PrevPeak[[#This Row],[France]]-Indices!J356)/PrevPeak[[#This Row],[France]]</f>
        <v>0.13295020795388873</v>
      </c>
      <c r="Y92" s="17">
        <f>(PrevPeak[[#This Row],[Europe]]-Indices!K356)/PrevPeak[[#This Row],[Europe]]</f>
        <v>0.10717105361985166</v>
      </c>
      <c r="Z92" s="17">
        <f>(PrevPeak[[#This Row],[Allemagne]]-Indices!L356)/PrevPeak[[#This Row],[Allemagne]]</f>
        <v>0.14140640619478551</v>
      </c>
      <c r="AA92" s="27">
        <f>YEAR(DD[[#This Row],[Date]])</f>
        <v>2022</v>
      </c>
    </row>
    <row r="93" spans="1:27" x14ac:dyDescent="0.25">
      <c r="A93" s="1">
        <v>44686</v>
      </c>
      <c r="B93">
        <f>IF($A92="Date",Indices!B357,IF(Indices!B357&gt;=B92,Indices!B357,B92))</f>
        <v>2879.4960000000001</v>
      </c>
      <c r="C93">
        <f>IF($A92="Date",Indices!C357,IF(Indices!C357&gt;=C92,Indices!C357,C92))</f>
        <v>293.27100000000002</v>
      </c>
      <c r="D93">
        <f>IF($A92="Date",Indices!D357,IF(Indices!D357&gt;=D92,Indices!D357,D92))</f>
        <v>4363.4859999999999</v>
      </c>
      <c r="E93">
        <f>IF($A92="Date",Indices!E357,IF(Indices!E357&gt;=E92,Indices!E357,E92))</f>
        <v>435.85</v>
      </c>
      <c r="F93">
        <f>IF($A92="Date",Indices!F357,IF(Indices!F357&gt;=F92,Indices!F357,F92))</f>
        <v>182.988</v>
      </c>
      <c r="G93">
        <f>IF($A92="Date",Indices!G357,IF(Indices!G357&gt;=G92,Indices!G357,G92))</f>
        <v>288.13099999999997</v>
      </c>
      <c r="H93">
        <f>IF($A92="Date",Indices!H357,IF(Indices!H357&gt;=H92,Indices!H357,H92))</f>
        <v>107.258</v>
      </c>
      <c r="I93">
        <f>IF($A92="Date",Indices!I357,IF(Indices!I357&gt;=I92,Indices!I357,I92))</f>
        <v>5355.2011460000003</v>
      </c>
      <c r="J93">
        <f>IF($A92="Date",Indices!J357,IF(Indices!J357&gt;=J92,Indices!J357,J92))</f>
        <v>7376.3701170000004</v>
      </c>
      <c r="K93">
        <f>IF($A92="Date",Indices!K357,IF(Indices!K357&gt;=K92,Indices!K357,K92))</f>
        <v>494.35000600000001</v>
      </c>
      <c r="L93">
        <f>IF($A92="Date",Indices!L357,IF(Indices!L357&gt;=L92,Indices!L357,L92))</f>
        <v>16271.75</v>
      </c>
      <c r="O93" s="19">
        <v>44686</v>
      </c>
      <c r="P93" s="18">
        <f>(PrevPeak[[#This Row],[Chine]]-Indices!B357)/PrevPeak[[#This Row],[Chine]]</f>
        <v>0.15483716594848546</v>
      </c>
      <c r="Q93" s="18">
        <f>(PrevPeak[[#This Row],[DM]]-Indices!C357)/PrevPeak[[#This Row],[DM]]</f>
        <v>7.9445291215292452E-2</v>
      </c>
      <c r="R93" s="18">
        <f>(PrevPeak[[#This Row],[EM ex China]]-Indices!D357)/PrevPeak[[#This Row],[EM ex China]]</f>
        <v>6.42862151958319E-2</v>
      </c>
      <c r="S93" s="18">
        <f>(PrevPeak[[#This Row],[EM]]-Indices!E357)/PrevPeak[[#This Row],[EM]]</f>
        <v>9.4007112538717477E-2</v>
      </c>
      <c r="T93" s="18">
        <f>(PrevPeak[[#This Row],[Japon]]-Indices!F357)/PrevPeak[[#This Row],[Japon]]</f>
        <v>0.11506765470959851</v>
      </c>
      <c r="U93" s="18">
        <f>(PrevPeak[[#This Row],[Monde]]-Indices!G357)/PrevPeak[[#This Row],[Monde]]</f>
        <v>7.9449972408383682E-2</v>
      </c>
      <c r="V93" s="18">
        <f>(PrevPeak[[#This Row],[RU]]-Indices!H357)/PrevPeak[[#This Row],[RU]]</f>
        <v>4.2449048089652962E-2</v>
      </c>
      <c r="W93" s="18">
        <f>(PrevPeak[[#This Row],[US]]-Indices!I357)/PrevPeak[[#This Row],[US]]</f>
        <v>0.14465697307721637</v>
      </c>
      <c r="X93" s="18">
        <f>(PrevPeak[[#This Row],[France]]-Indices!J357)/PrevPeak[[#This Row],[France]]</f>
        <v>0.13664854108621463</v>
      </c>
      <c r="Y93" s="18">
        <f>(PrevPeak[[#This Row],[Europe]]-Indices!K357)/PrevPeak[[#This Row],[Europe]]</f>
        <v>0.11346211250981553</v>
      </c>
      <c r="Z93" s="18">
        <f>(PrevPeak[[#This Row],[Allemagne]]-Indices!L357)/PrevPeak[[#This Row],[Allemagne]]</f>
        <v>0.14560391291655786</v>
      </c>
      <c r="AA93" s="27">
        <f>YEAR(DD[[#This Row],[Date]])</f>
        <v>2022</v>
      </c>
    </row>
    <row r="94" spans="1:27" x14ac:dyDescent="0.25">
      <c r="A94" s="1">
        <v>44687</v>
      </c>
      <c r="B94">
        <f>IF($A93="Date",Indices!B358,IF(Indices!B358&gt;=B93,Indices!B358,B93))</f>
        <v>2879.4960000000001</v>
      </c>
      <c r="C94">
        <f>IF($A93="Date",Indices!C358,IF(Indices!C358&gt;=C93,Indices!C358,C93))</f>
        <v>293.27100000000002</v>
      </c>
      <c r="D94">
        <f>IF($A93="Date",Indices!D358,IF(Indices!D358&gt;=D93,Indices!D358,D93))</f>
        <v>4363.4859999999999</v>
      </c>
      <c r="E94">
        <f>IF($A93="Date",Indices!E358,IF(Indices!E358&gt;=E93,Indices!E358,E93))</f>
        <v>435.85</v>
      </c>
      <c r="F94">
        <f>IF($A93="Date",Indices!F358,IF(Indices!F358&gt;=F93,Indices!F358,F93))</f>
        <v>182.988</v>
      </c>
      <c r="G94">
        <f>IF($A93="Date",Indices!G358,IF(Indices!G358&gt;=G93,Indices!G358,G93))</f>
        <v>288.13099999999997</v>
      </c>
      <c r="H94">
        <f>IF($A93="Date",Indices!H358,IF(Indices!H358&gt;=H93,Indices!H358,H93))</f>
        <v>107.258</v>
      </c>
      <c r="I94">
        <f>IF($A93="Date",Indices!I358,IF(Indices!I358&gt;=I93,Indices!I358,I93))</f>
        <v>5355.2011460000003</v>
      </c>
      <c r="J94">
        <f>IF($A93="Date",Indices!J358,IF(Indices!J358&gt;=J93,Indices!J358,J93))</f>
        <v>7376.3701170000004</v>
      </c>
      <c r="K94">
        <f>IF($A93="Date",Indices!K358,IF(Indices!K358&gt;=K93,Indices!K358,K93))</f>
        <v>494.35000600000001</v>
      </c>
      <c r="L94">
        <f>IF($A93="Date",Indices!L358,IF(Indices!L358&gt;=L93,Indices!L358,L93))</f>
        <v>16271.75</v>
      </c>
      <c r="O94" s="20">
        <v>44687</v>
      </c>
      <c r="P94" s="17">
        <f>(PrevPeak[[#This Row],[Chine]]-Indices!B358)/PrevPeak[[#This Row],[Chine]]</f>
        <v>0.19235414808702642</v>
      </c>
      <c r="Q94" s="17">
        <f>(PrevPeak[[#This Row],[DM]]-Indices!C358)/PrevPeak[[#This Row],[DM]]</f>
        <v>9.1215974303630543E-2</v>
      </c>
      <c r="R94" s="17">
        <f>(PrevPeak[[#This Row],[EM ex China]]-Indices!D358)/PrevPeak[[#This Row],[EM ex China]]</f>
        <v>8.5844666397462924E-2</v>
      </c>
      <c r="S94" s="17">
        <f>(PrevPeak[[#This Row],[EM]]-Indices!E358)/PrevPeak[[#This Row],[EM]]</f>
        <v>0.12167947688424928</v>
      </c>
      <c r="T94" s="17">
        <f>(PrevPeak[[#This Row],[Japon]]-Indices!F358)/PrevPeak[[#This Row],[Japon]]</f>
        <v>0.11210024701073297</v>
      </c>
      <c r="U94" s="17">
        <f>(PrevPeak[[#This Row],[Monde]]-Indices!G358)/PrevPeak[[#This Row],[Monde]]</f>
        <v>9.3054895169211074E-2</v>
      </c>
      <c r="V94" s="17">
        <f>(PrevPeak[[#This Row],[RU]]-Indices!H358)/PrevPeak[[#This Row],[RU]]</f>
        <v>6.3072218389304296E-2</v>
      </c>
      <c r="W94" s="17">
        <f>(PrevPeak[[#This Row],[US]]-Indices!I358)/PrevPeak[[#This Row],[US]]</f>
        <v>0.151481675269271</v>
      </c>
      <c r="X94" s="17">
        <f>(PrevPeak[[#This Row],[France]]-Indices!J358)/PrevPeak[[#This Row],[France]]</f>
        <v>0.15156645291203202</v>
      </c>
      <c r="Y94" s="17">
        <f>(PrevPeak[[#This Row],[Europe]]-Indices!K358)/PrevPeak[[#This Row],[Europe]]</f>
        <v>0.13035299123673924</v>
      </c>
      <c r="Z94" s="17">
        <f>(PrevPeak[[#This Row],[Allemagne]]-Indices!L358)/PrevPeak[[#This Row],[Allemagne]]</f>
        <v>0.15963003118902394</v>
      </c>
      <c r="AA94" s="27">
        <f>YEAR(DD[[#This Row],[Date]])</f>
        <v>2022</v>
      </c>
    </row>
    <row r="95" spans="1:27" x14ac:dyDescent="0.25">
      <c r="A95" s="1">
        <v>44690</v>
      </c>
      <c r="B95">
        <f>IF($A94="Date",Indices!B359,IF(Indices!B359&gt;=B94,Indices!B359,B94))</f>
        <v>2879.4960000000001</v>
      </c>
      <c r="C95">
        <f>IF($A94="Date",Indices!C359,IF(Indices!C359&gt;=C94,Indices!C359,C94))</f>
        <v>293.27100000000002</v>
      </c>
      <c r="D95">
        <f>IF($A94="Date",Indices!D359,IF(Indices!D359&gt;=D94,Indices!D359,D94))</f>
        <v>4363.4859999999999</v>
      </c>
      <c r="E95">
        <f>IF($A94="Date",Indices!E359,IF(Indices!E359&gt;=E94,Indices!E359,E94))</f>
        <v>435.85</v>
      </c>
      <c r="F95">
        <f>IF($A94="Date",Indices!F359,IF(Indices!F359&gt;=F94,Indices!F359,F94))</f>
        <v>182.988</v>
      </c>
      <c r="G95">
        <f>IF($A94="Date",Indices!G359,IF(Indices!G359&gt;=G94,Indices!G359,G94))</f>
        <v>288.13099999999997</v>
      </c>
      <c r="H95">
        <f>IF($A94="Date",Indices!H359,IF(Indices!H359&gt;=H94,Indices!H359,H94))</f>
        <v>107.258</v>
      </c>
      <c r="I95">
        <f>IF($A94="Date",Indices!I359,IF(Indices!I359&gt;=I94,Indices!I359,I94))</f>
        <v>5355.2011460000003</v>
      </c>
      <c r="J95">
        <f>IF($A94="Date",Indices!J359,IF(Indices!J359&gt;=J94,Indices!J359,J94))</f>
        <v>7376.3701170000004</v>
      </c>
      <c r="K95">
        <f>IF($A94="Date",Indices!K359,IF(Indices!K359&gt;=K94,Indices!K359,K94))</f>
        <v>494.35000600000001</v>
      </c>
      <c r="L95">
        <f>IF($A94="Date",Indices!L359,IF(Indices!L359&gt;=L94,Indices!L359,L94))</f>
        <v>16271.75</v>
      </c>
      <c r="O95" s="19">
        <v>44690</v>
      </c>
      <c r="P95" s="18">
        <f>(PrevPeak[[#This Row],[Chine]]-Indices!B359)/PrevPeak[[#This Row],[Chine]]</f>
        <v>0.19667573769854177</v>
      </c>
      <c r="Q95" s="18">
        <f>(PrevPeak[[#This Row],[DM]]-Indices!C359)/PrevPeak[[#This Row],[DM]]</f>
        <v>0.11653044453764611</v>
      </c>
      <c r="R95" s="18">
        <f>(PrevPeak[[#This Row],[EM ex China]]-Indices!D359)/PrevPeak[[#This Row],[EM ex China]]</f>
        <v>9.8666066534875974E-2</v>
      </c>
      <c r="S95" s="18">
        <f>(PrevPeak[[#This Row],[EM]]-Indices!E359)/PrevPeak[[#This Row],[EM]]</f>
        <v>0.13165079729264653</v>
      </c>
      <c r="T95" s="18">
        <f>(PrevPeak[[#This Row],[Japon]]-Indices!F359)/PrevPeak[[#This Row],[Japon]]</f>
        <v>0.12677880516755205</v>
      </c>
      <c r="U95" s="18">
        <f>(PrevPeak[[#This Row],[Monde]]-Indices!G359)/PrevPeak[[#This Row],[Monde]]</f>
        <v>0.11666568331765753</v>
      </c>
      <c r="V95" s="18">
        <f>(PrevPeak[[#This Row],[RU]]-Indices!H359)/PrevPeak[[#This Row],[RU]]</f>
        <v>8.2679147476178896E-2</v>
      </c>
      <c r="W95" s="18">
        <f>(PrevPeak[[#This Row],[US]]-Indices!I359)/PrevPeak[[#This Row],[US]]</f>
        <v>0.18101666353355697</v>
      </c>
      <c r="X95" s="18">
        <f>(PrevPeak[[#This Row],[France]]-Indices!J359)/PrevPeak[[#This Row],[France]]</f>
        <v>0.1749302267284808</v>
      </c>
      <c r="Y95" s="18">
        <f>(PrevPeak[[#This Row],[Europe]]-Indices!K359)/PrevPeak[[#This Row],[Europe]]</f>
        <v>0.15553760304799108</v>
      </c>
      <c r="Z95" s="18">
        <f>(PrevPeak[[#This Row],[Allemagne]]-Indices!L359)/PrevPeak[[#This Row],[Allemagne]]</f>
        <v>0.17767480940894492</v>
      </c>
      <c r="AA95" s="27">
        <f>YEAR(DD[[#This Row],[Date]])</f>
        <v>2022</v>
      </c>
    </row>
    <row r="96" spans="1:27" x14ac:dyDescent="0.25">
      <c r="A96" s="1">
        <v>44691</v>
      </c>
      <c r="B96">
        <f>IF($A95="Date",Indices!B360,IF(Indices!B360&gt;=B95,Indices!B360,B95))</f>
        <v>2879.4960000000001</v>
      </c>
      <c r="C96">
        <f>IF($A95="Date",Indices!C360,IF(Indices!C360&gt;=C95,Indices!C360,C95))</f>
        <v>293.27100000000002</v>
      </c>
      <c r="D96">
        <f>IF($A95="Date",Indices!D360,IF(Indices!D360&gt;=D95,Indices!D360,D95))</f>
        <v>4363.4859999999999</v>
      </c>
      <c r="E96">
        <f>IF($A95="Date",Indices!E360,IF(Indices!E360&gt;=E95,Indices!E360,E95))</f>
        <v>435.85</v>
      </c>
      <c r="F96">
        <f>IF($A95="Date",Indices!F360,IF(Indices!F360&gt;=F95,Indices!F360,F95))</f>
        <v>182.988</v>
      </c>
      <c r="G96">
        <f>IF($A95="Date",Indices!G360,IF(Indices!G360&gt;=G95,Indices!G360,G95))</f>
        <v>288.13099999999997</v>
      </c>
      <c r="H96">
        <f>IF($A95="Date",Indices!H360,IF(Indices!H360&gt;=H95,Indices!H360,H95))</f>
        <v>107.258</v>
      </c>
      <c r="I96">
        <f>IF($A95="Date",Indices!I360,IF(Indices!I360&gt;=I95,Indices!I360,I95))</f>
        <v>5355.2011460000003</v>
      </c>
      <c r="J96">
        <f>IF($A95="Date",Indices!J360,IF(Indices!J360&gt;=J95,Indices!J360,J95))</f>
        <v>7376.3701170000004</v>
      </c>
      <c r="K96">
        <f>IF($A95="Date",Indices!K360,IF(Indices!K360&gt;=K95,Indices!K360,K95))</f>
        <v>494.35000600000001</v>
      </c>
      <c r="L96">
        <f>IF($A95="Date",Indices!L360,IF(Indices!L360&gt;=L95,Indices!L360,L95))</f>
        <v>16271.75</v>
      </c>
      <c r="O96" s="20">
        <v>44691</v>
      </c>
      <c r="P96" s="17">
        <f>(PrevPeak[[#This Row],[Chine]]-Indices!B360)/PrevPeak[[#This Row],[Chine]]</f>
        <v>0.20001694741024134</v>
      </c>
      <c r="Q96" s="17">
        <f>(PrevPeak[[#This Row],[DM]]-Indices!C360)/PrevPeak[[#This Row],[DM]]</f>
        <v>0.11583143236119502</v>
      </c>
      <c r="R96" s="17">
        <f>(PrevPeak[[#This Row],[EM ex China]]-Indices!D360)/PrevPeak[[#This Row],[EM ex China]]</f>
        <v>0.10401614672305584</v>
      </c>
      <c r="S96" s="17">
        <f>(PrevPeak[[#This Row],[EM]]-Indices!E360)/PrevPeak[[#This Row],[EM]]</f>
        <v>0.13910290237467027</v>
      </c>
      <c r="T96" s="17">
        <f>(PrevPeak[[#This Row],[Japon]]-Indices!F360)/PrevPeak[[#This Row],[Japon]]</f>
        <v>0.13393774455155522</v>
      </c>
      <c r="U96" s="17">
        <f>(PrevPeak[[#This Row],[Monde]]-Indices!G360)/PrevPeak[[#This Row],[Monde]]</f>
        <v>0.11689474579271229</v>
      </c>
      <c r="V96" s="17">
        <f>(PrevPeak[[#This Row],[RU]]-Indices!H360)/PrevPeak[[#This Row],[RU]]</f>
        <v>7.9760950232150449E-2</v>
      </c>
      <c r="W96" s="17">
        <f>(PrevPeak[[#This Row],[US]]-Indices!I360)/PrevPeak[[#This Row],[US]]</f>
        <v>0.17933372805563719</v>
      </c>
      <c r="X96" s="17">
        <f>(PrevPeak[[#This Row],[France]]-Indices!J360)/PrevPeak[[#This Row],[France]]</f>
        <v>0.1707425116992676</v>
      </c>
      <c r="Y96" s="17">
        <f>(PrevPeak[[#This Row],[Europe]]-Indices!K360)/PrevPeak[[#This Row],[Europe]]</f>
        <v>0.14981287772048699</v>
      </c>
      <c r="Z96" s="17">
        <f>(PrevPeak[[#This Row],[Allemagne]]-Indices!L360)/PrevPeak[[#This Row],[Allemagne]]</f>
        <v>0.16820623288828801</v>
      </c>
      <c r="AA96" s="27">
        <f>YEAR(DD[[#This Row],[Date]])</f>
        <v>2022</v>
      </c>
    </row>
    <row r="97" spans="1:27" x14ac:dyDescent="0.25">
      <c r="A97" s="1">
        <v>44692</v>
      </c>
      <c r="B97">
        <f>IF($A96="Date",Indices!B361,IF(Indices!B361&gt;=B96,Indices!B361,B96))</f>
        <v>2879.4960000000001</v>
      </c>
      <c r="C97">
        <f>IF($A96="Date",Indices!C361,IF(Indices!C361&gt;=C96,Indices!C361,C96))</f>
        <v>293.27100000000002</v>
      </c>
      <c r="D97">
        <f>IF($A96="Date",Indices!D361,IF(Indices!D361&gt;=D96,Indices!D361,D96))</f>
        <v>4363.4859999999999</v>
      </c>
      <c r="E97">
        <f>IF($A96="Date",Indices!E361,IF(Indices!E361&gt;=E96,Indices!E361,E96))</f>
        <v>435.85</v>
      </c>
      <c r="F97">
        <f>IF($A96="Date",Indices!F361,IF(Indices!F361&gt;=F96,Indices!F361,F96))</f>
        <v>182.988</v>
      </c>
      <c r="G97">
        <f>IF($A96="Date",Indices!G361,IF(Indices!G361&gt;=G96,Indices!G361,G96))</f>
        <v>288.13099999999997</v>
      </c>
      <c r="H97">
        <f>IF($A96="Date",Indices!H361,IF(Indices!H361&gt;=H96,Indices!H361,H96))</f>
        <v>107.258</v>
      </c>
      <c r="I97">
        <f>IF($A96="Date",Indices!I361,IF(Indices!I361&gt;=I96,Indices!I361,I96))</f>
        <v>5355.2011460000003</v>
      </c>
      <c r="J97">
        <f>IF($A96="Date",Indices!J361,IF(Indices!J361&gt;=J96,Indices!J361,J96))</f>
        <v>7376.3701170000004</v>
      </c>
      <c r="K97">
        <f>IF($A96="Date",Indices!K361,IF(Indices!K361&gt;=K96,Indices!K361,K96))</f>
        <v>494.35000600000001</v>
      </c>
      <c r="L97">
        <f>IF($A96="Date",Indices!L361,IF(Indices!L361&gt;=L96,Indices!L361,L96))</f>
        <v>16271.75</v>
      </c>
      <c r="O97" s="19">
        <v>44692</v>
      </c>
      <c r="P97" s="18">
        <f>(PrevPeak[[#This Row],[Chine]]-Indices!B361)/PrevPeak[[#This Row],[Chine]]</f>
        <v>0.19013813528478593</v>
      </c>
      <c r="Q97" s="18">
        <f>(PrevPeak[[#This Row],[DM]]-Indices!C361)/PrevPeak[[#This Row],[DM]]</f>
        <v>0.12426390608004215</v>
      </c>
      <c r="R97" s="18">
        <f>(PrevPeak[[#This Row],[EM ex China]]-Indices!D361)/PrevPeak[[#This Row],[EM ex China]]</f>
        <v>0.10367628084517742</v>
      </c>
      <c r="S97" s="18">
        <f>(PrevPeak[[#This Row],[EM]]-Indices!E361)/PrevPeak[[#This Row],[EM]]</f>
        <v>0.13597109097166463</v>
      </c>
      <c r="T97" s="18">
        <f>(PrevPeak[[#This Row],[Japon]]-Indices!F361)/PrevPeak[[#This Row],[Japon]]</f>
        <v>0.13988895446695965</v>
      </c>
      <c r="U97" s="18">
        <f>(PrevPeak[[#This Row],[Monde]]-Indices!G361)/PrevPeak[[#This Row],[Monde]]</f>
        <v>0.12402691831146237</v>
      </c>
      <c r="V97" s="18">
        <f>(PrevPeak[[#This Row],[RU]]-Indices!H361)/PrevPeak[[#This Row],[RU]]</f>
        <v>6.478770814298232E-2</v>
      </c>
      <c r="W97" s="18">
        <f>(PrevPeak[[#This Row],[US]]-Indices!I361)/PrevPeak[[#This Row],[US]]</f>
        <v>0.1940809177217038</v>
      </c>
      <c r="X97" s="18">
        <f>(PrevPeak[[#This Row],[France]]-Indices!J361)/PrevPeak[[#This Row],[France]]</f>
        <v>0.15002502849600438</v>
      </c>
      <c r="Y97" s="18">
        <f>(PrevPeak[[#This Row],[Europe]]-Indices!K361)/PrevPeak[[#This Row],[Europe]]</f>
        <v>0.13504603861580619</v>
      </c>
      <c r="Z97" s="18">
        <f>(PrevPeak[[#This Row],[Allemagne]]-Indices!L361)/PrevPeak[[#This Row],[Allemagne]]</f>
        <v>0.15014428995037415</v>
      </c>
      <c r="AA97" s="27">
        <f>YEAR(DD[[#This Row],[Date]])</f>
        <v>2022</v>
      </c>
    </row>
    <row r="98" spans="1:27" x14ac:dyDescent="0.25">
      <c r="A98" s="1">
        <v>44693</v>
      </c>
      <c r="B98">
        <f>IF($A97="Date",Indices!B362,IF(Indices!B362&gt;=B97,Indices!B362,B97))</f>
        <v>2879.4960000000001</v>
      </c>
      <c r="C98">
        <f>IF($A97="Date",Indices!C362,IF(Indices!C362&gt;=C97,Indices!C362,C97))</f>
        <v>293.27100000000002</v>
      </c>
      <c r="D98">
        <f>IF($A97="Date",Indices!D362,IF(Indices!D362&gt;=D97,Indices!D362,D97))</f>
        <v>4363.4859999999999</v>
      </c>
      <c r="E98">
        <f>IF($A97="Date",Indices!E362,IF(Indices!E362&gt;=E97,Indices!E362,E97))</f>
        <v>435.85</v>
      </c>
      <c r="F98">
        <f>IF($A97="Date",Indices!F362,IF(Indices!F362&gt;=F97,Indices!F362,F97))</f>
        <v>182.988</v>
      </c>
      <c r="G98">
        <f>IF($A97="Date",Indices!G362,IF(Indices!G362&gt;=G97,Indices!G362,G97))</f>
        <v>288.13099999999997</v>
      </c>
      <c r="H98">
        <f>IF($A97="Date",Indices!H362,IF(Indices!H362&gt;=H97,Indices!H362,H97))</f>
        <v>107.258</v>
      </c>
      <c r="I98">
        <f>IF($A97="Date",Indices!I362,IF(Indices!I362&gt;=I97,Indices!I362,I97))</f>
        <v>5355.2011460000003</v>
      </c>
      <c r="J98">
        <f>IF($A97="Date",Indices!J362,IF(Indices!J362&gt;=J97,Indices!J362,J97))</f>
        <v>7376.3701170000004</v>
      </c>
      <c r="K98">
        <f>IF($A97="Date",Indices!K362,IF(Indices!K362&gt;=K97,Indices!K362,K97))</f>
        <v>494.35000600000001</v>
      </c>
      <c r="L98">
        <f>IF($A97="Date",Indices!L362,IF(Indices!L362&gt;=L97,Indices!L362,L97))</f>
        <v>16271.75</v>
      </c>
      <c r="O98" s="20">
        <v>44693</v>
      </c>
      <c r="P98" s="17">
        <f>(PrevPeak[[#This Row],[Chine]]-Indices!B362)/PrevPeak[[#This Row],[Chine]]</f>
        <v>0.1940693788079581</v>
      </c>
      <c r="Q98" s="17">
        <f>(PrevPeak[[#This Row],[DM]]-Indices!C362)/PrevPeak[[#This Row],[DM]]</f>
        <v>0.11728742357751018</v>
      </c>
      <c r="R98" s="17">
        <f>(PrevPeak[[#This Row],[EM ex China]]-Indices!D362)/PrevPeak[[#This Row],[EM ex China]]</f>
        <v>0.11363735325379755</v>
      </c>
      <c r="S98" s="17">
        <f>(PrevPeak[[#This Row],[EM]]-Indices!E362)/PrevPeak[[#This Row],[EM]]</f>
        <v>0.1451003785706092</v>
      </c>
      <c r="T98" s="17">
        <f>(PrevPeak[[#This Row],[Japon]]-Indices!F362)/PrevPeak[[#This Row],[Japon]]</f>
        <v>0.12481146304675715</v>
      </c>
      <c r="U98" s="17">
        <f>(PrevPeak[[#This Row],[Monde]]-Indices!G362)/PrevPeak[[#This Row],[Monde]]</f>
        <v>0.11886954197916912</v>
      </c>
      <c r="V98" s="17">
        <f>(PrevPeak[[#This Row],[RU]]-Indices!H362)/PrevPeak[[#This Row],[RU]]</f>
        <v>7.5406962650804543E-2</v>
      </c>
      <c r="W98" s="17">
        <f>(PrevPeak[[#This Row],[US]]-Indices!I362)/PrevPeak[[#This Row],[US]]</f>
        <v>0.19334730008664378</v>
      </c>
      <c r="X98" s="17">
        <f>(PrevPeak[[#This Row],[France]]-Indices!J362)/PrevPeak[[#This Row],[France]]</f>
        <v>0.15862956067013201</v>
      </c>
      <c r="Y98" s="17">
        <f>(PrevPeak[[#This Row],[Europe]]-Indices!K362)/PrevPeak[[#This Row],[Europe]]</f>
        <v>0.14149896055629868</v>
      </c>
      <c r="Z98" s="17">
        <f>(PrevPeak[[#This Row],[Allemagne]]-Indices!L362)/PrevPeak[[#This Row],[Allemagne]]</f>
        <v>0.15561389217508878</v>
      </c>
      <c r="AA98" s="27">
        <f>YEAR(DD[[#This Row],[Date]])</f>
        <v>2022</v>
      </c>
    </row>
    <row r="99" spans="1:27" x14ac:dyDescent="0.25">
      <c r="A99" s="1">
        <v>44694</v>
      </c>
      <c r="B99">
        <f>IF($A98="Date",Indices!B363,IF(Indices!B363&gt;=B98,Indices!B363,B98))</f>
        <v>2879.4960000000001</v>
      </c>
      <c r="C99">
        <f>IF($A98="Date",Indices!C363,IF(Indices!C363&gt;=C98,Indices!C363,C98))</f>
        <v>293.27100000000002</v>
      </c>
      <c r="D99">
        <f>IF($A98="Date",Indices!D363,IF(Indices!D363&gt;=D98,Indices!D363,D98))</f>
        <v>4363.4859999999999</v>
      </c>
      <c r="E99">
        <f>IF($A98="Date",Indices!E363,IF(Indices!E363&gt;=E98,Indices!E363,E98))</f>
        <v>435.85</v>
      </c>
      <c r="F99">
        <f>IF($A98="Date",Indices!F363,IF(Indices!F363&gt;=F98,Indices!F363,F98))</f>
        <v>182.988</v>
      </c>
      <c r="G99">
        <f>IF($A98="Date",Indices!G363,IF(Indices!G363&gt;=G98,Indices!G363,G98))</f>
        <v>288.13099999999997</v>
      </c>
      <c r="H99">
        <f>IF($A98="Date",Indices!H363,IF(Indices!H363&gt;=H98,Indices!H363,H98))</f>
        <v>107.258</v>
      </c>
      <c r="I99">
        <f>IF($A98="Date",Indices!I363,IF(Indices!I363&gt;=I98,Indices!I363,I98))</f>
        <v>5355.2011460000003</v>
      </c>
      <c r="J99">
        <f>IF($A98="Date",Indices!J363,IF(Indices!J363&gt;=J98,Indices!J363,J98))</f>
        <v>7376.3701170000004</v>
      </c>
      <c r="K99">
        <f>IF($A98="Date",Indices!K363,IF(Indices!K363&gt;=K98,Indices!K363,K98))</f>
        <v>494.35000600000001</v>
      </c>
      <c r="L99">
        <f>IF($A98="Date",Indices!L363,IF(Indices!L363&gt;=L98,Indices!L363,L98))</f>
        <v>16271.75</v>
      </c>
      <c r="O99" s="19">
        <v>44694</v>
      </c>
      <c r="P99" s="18">
        <f>(PrevPeak[[#This Row],[Chine]]-Indices!B363)/PrevPeak[[#This Row],[Chine]]</f>
        <v>0.17509209945073725</v>
      </c>
      <c r="Q99" s="18">
        <f>(PrevPeak[[#This Row],[DM]]-Indices!C363)/PrevPeak[[#This Row],[DM]]</f>
        <v>9.513044249175677E-2</v>
      </c>
      <c r="R99" s="18">
        <f>(PrevPeak[[#This Row],[EM ex China]]-Indices!D363)/PrevPeak[[#This Row],[EM ex China]]</f>
        <v>0.10223660623638983</v>
      </c>
      <c r="S99" s="18">
        <f>(PrevPeak[[#This Row],[EM]]-Indices!E363)/PrevPeak[[#This Row],[EM]]</f>
        <v>0.12914305380291391</v>
      </c>
      <c r="T99" s="18">
        <f>(PrevPeak[[#This Row],[Japon]]-Indices!F363)/PrevPeak[[#This Row],[Japon]]</f>
        <v>0.11505126019192514</v>
      </c>
      <c r="U99" s="18">
        <f>(PrevPeak[[#This Row],[Monde]]-Indices!G363)/PrevPeak[[#This Row],[Monde]]</f>
        <v>9.7382787690321312E-2</v>
      </c>
      <c r="V99" s="18">
        <f>(PrevPeak[[#This Row],[RU]]-Indices!H363)/PrevPeak[[#This Row],[RU]]</f>
        <v>5.0933263719256321E-2</v>
      </c>
      <c r="W99" s="18">
        <f>(PrevPeak[[#This Row],[US]]-Indices!I363)/PrevPeak[[#This Row],[US]]</f>
        <v>0.17211382184746796</v>
      </c>
      <c r="X99" s="18">
        <f>(PrevPeak[[#This Row],[France]]-Indices!J363)/PrevPeak[[#This Row],[France]]</f>
        <v>0.13742395309907149</v>
      </c>
      <c r="Y99" s="18">
        <f>(PrevPeak[[#This Row],[Europe]]-Indices!K363)/PrevPeak[[#This Row],[Europe]]</f>
        <v>0.12313137303775014</v>
      </c>
      <c r="Z99" s="18">
        <f>(PrevPeak[[#This Row],[Allemagne]]-Indices!L363)/PrevPeak[[#This Row],[Allemagne]]</f>
        <v>0.13789668044309919</v>
      </c>
      <c r="AA99" s="27">
        <f>YEAR(DD[[#This Row],[Date]])</f>
        <v>2022</v>
      </c>
    </row>
    <row r="100" spans="1:27" x14ac:dyDescent="0.25">
      <c r="A100" s="1">
        <v>44697</v>
      </c>
      <c r="B100">
        <f>IF($A99="Date",Indices!B364,IF(Indices!B364&gt;=B99,Indices!B364,B99))</f>
        <v>2879.4960000000001</v>
      </c>
      <c r="C100">
        <f>IF($A99="Date",Indices!C364,IF(Indices!C364&gt;=C99,Indices!C364,C99))</f>
        <v>293.27100000000002</v>
      </c>
      <c r="D100">
        <f>IF($A99="Date",Indices!D364,IF(Indices!D364&gt;=D99,Indices!D364,D99))</f>
        <v>4363.4859999999999</v>
      </c>
      <c r="E100">
        <f>IF($A99="Date",Indices!E364,IF(Indices!E364&gt;=E99,Indices!E364,E99))</f>
        <v>435.85</v>
      </c>
      <c r="F100">
        <f>IF($A99="Date",Indices!F364,IF(Indices!F364&gt;=F99,Indices!F364,F99))</f>
        <v>182.988</v>
      </c>
      <c r="G100">
        <f>IF($A99="Date",Indices!G364,IF(Indices!G364&gt;=G99,Indices!G364,G99))</f>
        <v>288.13099999999997</v>
      </c>
      <c r="H100">
        <f>IF($A99="Date",Indices!H364,IF(Indices!H364&gt;=H99,Indices!H364,H99))</f>
        <v>107.258</v>
      </c>
      <c r="I100">
        <f>IF($A99="Date",Indices!I364,IF(Indices!I364&gt;=I99,Indices!I364,I99))</f>
        <v>5355.2011460000003</v>
      </c>
      <c r="J100">
        <f>IF($A99="Date",Indices!J364,IF(Indices!J364&gt;=J99,Indices!J364,J99))</f>
        <v>7376.3701170000004</v>
      </c>
      <c r="K100">
        <f>IF($A99="Date",Indices!K364,IF(Indices!K364&gt;=K99,Indices!K364,K99))</f>
        <v>494.35000600000001</v>
      </c>
      <c r="L100">
        <f>IF($A99="Date",Indices!L364,IF(Indices!L364&gt;=L99,Indices!L364,L99))</f>
        <v>16271.75</v>
      </c>
      <c r="O100" s="20">
        <v>44697</v>
      </c>
      <c r="P100" s="17">
        <f>(PrevPeak[[#This Row],[Chine]]-Indices!B364)/PrevPeak[[#This Row],[Chine]]</f>
        <v>0.17853297938250307</v>
      </c>
      <c r="Q100" s="17">
        <f>(PrevPeak[[#This Row],[DM]]-Indices!C364)/PrevPeak[[#This Row],[DM]]</f>
        <v>9.842432425981433E-2</v>
      </c>
      <c r="R100" s="17">
        <f>(PrevPeak[[#This Row],[EM ex China]]-Indices!D364)/PrevPeak[[#This Row],[EM ex China]]</f>
        <v>9.9589181677218641E-2</v>
      </c>
      <c r="S100" s="17">
        <f>(PrevPeak[[#This Row],[EM]]-Indices!E364)/PrevPeak[[#This Row],[EM]]</f>
        <v>0.12735344728691064</v>
      </c>
      <c r="T100" s="17">
        <f>(PrevPeak[[#This Row],[Japon]]-Indices!F364)/PrevPeak[[#This Row],[Japon]]</f>
        <v>0.11272870352154232</v>
      </c>
      <c r="U100" s="17">
        <f>(PrevPeak[[#This Row],[Monde]]-Indices!G364)/PrevPeak[[#This Row],[Monde]]</f>
        <v>0.1001037722424868</v>
      </c>
      <c r="V100" s="17">
        <f>(PrevPeak[[#This Row],[RU]]-Indices!H364)/PrevPeak[[#This Row],[RU]]</f>
        <v>4.2859273900315076E-2</v>
      </c>
      <c r="W100" s="17">
        <f>(PrevPeak[[#This Row],[US]]-Indices!I364)/PrevPeak[[#This Row],[US]]</f>
        <v>0.17641681073094093</v>
      </c>
      <c r="X100" s="17">
        <f>(PrevPeak[[#This Row],[France]]-Indices!J364)/PrevPeak[[#This Row],[France]]</f>
        <v>0.13944529364509928</v>
      </c>
      <c r="Y100" s="17">
        <f>(PrevPeak[[#This Row],[Europe]]-Indices!K364)/PrevPeak[[#This Row],[Europe]]</f>
        <v>0.12274702591993096</v>
      </c>
      <c r="Z100" s="17">
        <f>(PrevPeak[[#This Row],[Allemagne]]-Indices!L364)/PrevPeak[[#This Row],[Allemagne]]</f>
        <v>0.14180221057968562</v>
      </c>
      <c r="AA100" s="27">
        <f>YEAR(DD[[#This Row],[Date]])</f>
        <v>2022</v>
      </c>
    </row>
    <row r="101" spans="1:27" x14ac:dyDescent="0.25">
      <c r="A101" s="1">
        <v>44698</v>
      </c>
      <c r="B101">
        <f>IF($A100="Date",Indices!B365,IF(Indices!B365&gt;=B100,Indices!B365,B100))</f>
        <v>2879.4960000000001</v>
      </c>
      <c r="C101">
        <f>IF($A100="Date",Indices!C365,IF(Indices!C365&gt;=C100,Indices!C365,C100))</f>
        <v>293.27100000000002</v>
      </c>
      <c r="D101">
        <f>IF($A100="Date",Indices!D365,IF(Indices!D365&gt;=D100,Indices!D365,D100))</f>
        <v>4363.4859999999999</v>
      </c>
      <c r="E101">
        <f>IF($A100="Date",Indices!E365,IF(Indices!E365&gt;=E100,Indices!E365,E100))</f>
        <v>435.85</v>
      </c>
      <c r="F101">
        <f>IF($A100="Date",Indices!F365,IF(Indices!F365&gt;=F100,Indices!F365,F100))</f>
        <v>182.988</v>
      </c>
      <c r="G101">
        <f>IF($A100="Date",Indices!G365,IF(Indices!G365&gt;=G100,Indices!G365,G100))</f>
        <v>288.13099999999997</v>
      </c>
      <c r="H101">
        <f>IF($A100="Date",Indices!H365,IF(Indices!H365&gt;=H100,Indices!H365,H100))</f>
        <v>107.258</v>
      </c>
      <c r="I101">
        <f>IF($A100="Date",Indices!I365,IF(Indices!I365&gt;=I100,Indices!I365,I100))</f>
        <v>5355.2011460000003</v>
      </c>
      <c r="J101">
        <f>IF($A100="Date",Indices!J365,IF(Indices!J365&gt;=J100,Indices!J365,J100))</f>
        <v>7376.3701170000004</v>
      </c>
      <c r="K101">
        <f>IF($A100="Date",Indices!K365,IF(Indices!K365&gt;=K100,Indices!K365,K100))</f>
        <v>494.35000600000001</v>
      </c>
      <c r="L101">
        <f>IF($A100="Date",Indices!L365,IF(Indices!L365&gt;=L100,Indices!L365,L100))</f>
        <v>16271.75</v>
      </c>
      <c r="O101" s="19">
        <v>44698</v>
      </c>
      <c r="P101" s="18">
        <f>(PrevPeak[[#This Row],[Chine]]-Indices!B365)/PrevPeak[[#This Row],[Chine]]</f>
        <v>0.16375400417295249</v>
      </c>
      <c r="Q101" s="18">
        <f>(PrevPeak[[#This Row],[DM]]-Indices!C365)/PrevPeak[[#This Row],[DM]]</f>
        <v>9.2208230612641648E-2</v>
      </c>
      <c r="R101" s="18">
        <f>(PrevPeak[[#This Row],[EM ex China]]-Indices!D365)/PrevPeak[[#This Row],[EM ex China]]</f>
        <v>9.6256983521890549E-2</v>
      </c>
      <c r="S101" s="18">
        <f>(PrevPeak[[#This Row],[EM]]-Indices!E365)/PrevPeak[[#This Row],[EM]]</f>
        <v>0.11829757944246874</v>
      </c>
      <c r="T101" s="18">
        <f>(PrevPeak[[#This Row],[Japon]]-Indices!F365)/PrevPeak[[#This Row],[Japon]]</f>
        <v>0.12374581939799334</v>
      </c>
      <c r="U101" s="18">
        <f>(PrevPeak[[#This Row],[Monde]]-Indices!G365)/PrevPeak[[#This Row],[Monde]]</f>
        <v>9.3551197198496472E-2</v>
      </c>
      <c r="V101" s="18">
        <f>(PrevPeak[[#This Row],[RU]]-Indices!H365)/PrevPeak[[#This Row],[RU]]</f>
        <v>3.1643327304256945E-2</v>
      </c>
      <c r="W101" s="18">
        <f>(PrevPeak[[#This Row],[US]]-Indices!I365)/PrevPeak[[#This Row],[US]]</f>
        <v>0.15875729479088374</v>
      </c>
      <c r="X101" s="18">
        <f>(PrevPeak[[#This Row],[France]]-Indices!J365)/PrevPeak[[#This Row],[France]]</f>
        <v>0.12827178693479335</v>
      </c>
      <c r="Y101" s="18">
        <f>(PrevPeak[[#This Row],[Europe]]-Indices!K365)/PrevPeak[[#This Row],[Europe]]</f>
        <v>0.11202590134084064</v>
      </c>
      <c r="Z101" s="18">
        <f>(PrevPeak[[#This Row],[Allemagne]]-Indices!L365)/PrevPeak[[#This Row],[Allemagne]]</f>
        <v>0.1281859400494722</v>
      </c>
      <c r="AA101" s="27">
        <f>YEAR(DD[[#This Row],[Date]])</f>
        <v>2022</v>
      </c>
    </row>
    <row r="102" spans="1:27" x14ac:dyDescent="0.25">
      <c r="A102" s="1">
        <v>44699</v>
      </c>
      <c r="B102">
        <f>IF($A101="Date",Indices!B366,IF(Indices!B366&gt;=B101,Indices!B366,B101))</f>
        <v>2879.4960000000001</v>
      </c>
      <c r="C102">
        <f>IF($A101="Date",Indices!C366,IF(Indices!C366&gt;=C101,Indices!C366,C101))</f>
        <v>293.27100000000002</v>
      </c>
      <c r="D102">
        <f>IF($A101="Date",Indices!D366,IF(Indices!D366&gt;=D101,Indices!D366,D101))</f>
        <v>4363.4859999999999</v>
      </c>
      <c r="E102">
        <f>IF($A101="Date",Indices!E366,IF(Indices!E366&gt;=E101,Indices!E366,E101))</f>
        <v>435.85</v>
      </c>
      <c r="F102">
        <f>IF($A101="Date",Indices!F366,IF(Indices!F366&gt;=F101,Indices!F366,F101))</f>
        <v>182.988</v>
      </c>
      <c r="G102">
        <f>IF($A101="Date",Indices!G366,IF(Indices!G366&gt;=G101,Indices!G366,G101))</f>
        <v>288.13099999999997</v>
      </c>
      <c r="H102">
        <f>IF($A101="Date",Indices!H366,IF(Indices!H366&gt;=H101,Indices!H366,H101))</f>
        <v>107.258</v>
      </c>
      <c r="I102">
        <f>IF($A101="Date",Indices!I366,IF(Indices!I366&gt;=I101,Indices!I366,I101))</f>
        <v>5355.2011460000003</v>
      </c>
      <c r="J102">
        <f>IF($A101="Date",Indices!J366,IF(Indices!J366&gt;=J101,Indices!J366,J101))</f>
        <v>7376.3701170000004</v>
      </c>
      <c r="K102">
        <f>IF($A101="Date",Indices!K366,IF(Indices!K366&gt;=K101,Indices!K366,K101))</f>
        <v>494.35000600000001</v>
      </c>
      <c r="L102">
        <f>IF($A101="Date",Indices!L366,IF(Indices!L366&gt;=L101,Indices!L366,L101))</f>
        <v>16271.75</v>
      </c>
      <c r="O102" s="20">
        <v>44699</v>
      </c>
      <c r="P102" s="17">
        <f>(PrevPeak[[#This Row],[Chine]]-Indices!B366)/PrevPeak[[#This Row],[Chine]]</f>
        <v>0.164331883079539</v>
      </c>
      <c r="Q102" s="17">
        <f>(PrevPeak[[#This Row],[DM]]-Indices!C366)/PrevPeak[[#This Row],[DM]]</f>
        <v>0.11730106283948978</v>
      </c>
      <c r="R102" s="17">
        <f>(PrevPeak[[#This Row],[EM ex China]]-Indices!D366)/PrevPeak[[#This Row],[EM ex China]]</f>
        <v>9.0293861375973269E-2</v>
      </c>
      <c r="S102" s="17">
        <f>(PrevPeak[[#This Row],[EM]]-Indices!E366)/PrevPeak[[#This Row],[EM]]</f>
        <v>0.11434438453596431</v>
      </c>
      <c r="T102" s="17">
        <f>(PrevPeak[[#This Row],[Japon]]-Indices!F366)/PrevPeak[[#This Row],[Japon]]</f>
        <v>0.10712724331650167</v>
      </c>
      <c r="U102" s="17">
        <f>(PrevPeak[[#This Row],[Monde]]-Indices!G366)/PrevPeak[[#This Row],[Monde]]</f>
        <v>0.11538154519992636</v>
      </c>
      <c r="V102" s="17">
        <f>(PrevPeak[[#This Row],[RU]]-Indices!H366)/PrevPeak[[#This Row],[RU]]</f>
        <v>4.4378974062540703E-2</v>
      </c>
      <c r="W102" s="17">
        <f>(PrevPeak[[#This Row],[US]]-Indices!I366)/PrevPeak[[#This Row],[US]]</f>
        <v>0.19262368786473974</v>
      </c>
      <c r="X102" s="17">
        <f>(PrevPeak[[#This Row],[France]]-Indices!J366)/PrevPeak[[#This Row],[France]]</f>
        <v>0.13874441761556211</v>
      </c>
      <c r="Y102" s="17">
        <f>(PrevPeak[[#This Row],[Europe]]-Indices!K366)/PrevPeak[[#This Row],[Europe]]</f>
        <v>0.12218062762600632</v>
      </c>
      <c r="Z102" s="17">
        <f>(PrevPeak[[#This Row],[Allemagne]]-Indices!L366)/PrevPeak[[#This Row],[Allemagne]]</f>
        <v>0.13913624717685555</v>
      </c>
      <c r="AA102" s="27">
        <f>YEAR(DD[[#This Row],[Date]])</f>
        <v>2022</v>
      </c>
    </row>
    <row r="103" spans="1:27" x14ac:dyDescent="0.25">
      <c r="A103" s="1">
        <v>44700</v>
      </c>
      <c r="B103">
        <f>IF($A102="Date",Indices!B367,IF(Indices!B367&gt;=B102,Indices!B367,B102))</f>
        <v>2879.4960000000001</v>
      </c>
      <c r="C103">
        <f>IF($A102="Date",Indices!C367,IF(Indices!C367&gt;=C102,Indices!C367,C102))</f>
        <v>293.27100000000002</v>
      </c>
      <c r="D103">
        <f>IF($A102="Date",Indices!D367,IF(Indices!D367&gt;=D102,Indices!D367,D102))</f>
        <v>4363.4859999999999</v>
      </c>
      <c r="E103">
        <f>IF($A102="Date",Indices!E367,IF(Indices!E367&gt;=E102,Indices!E367,E102))</f>
        <v>435.85</v>
      </c>
      <c r="F103">
        <f>IF($A102="Date",Indices!F367,IF(Indices!F367&gt;=F102,Indices!F367,F102))</f>
        <v>182.988</v>
      </c>
      <c r="G103">
        <f>IF($A102="Date",Indices!G367,IF(Indices!G367&gt;=G102,Indices!G367,G102))</f>
        <v>288.13099999999997</v>
      </c>
      <c r="H103">
        <f>IF($A102="Date",Indices!H367,IF(Indices!H367&gt;=H102,Indices!H367,H102))</f>
        <v>107.258</v>
      </c>
      <c r="I103">
        <f>IF($A102="Date",Indices!I367,IF(Indices!I367&gt;=I102,Indices!I367,I102))</f>
        <v>5355.2011460000003</v>
      </c>
      <c r="J103">
        <f>IF($A102="Date",Indices!J367,IF(Indices!J367&gt;=J102,Indices!J367,J102))</f>
        <v>7376.3701170000004</v>
      </c>
      <c r="K103">
        <f>IF($A102="Date",Indices!K367,IF(Indices!K367&gt;=K102,Indices!K367,K102))</f>
        <v>494.35000600000001</v>
      </c>
      <c r="L103">
        <f>IF($A102="Date",Indices!L367,IF(Indices!L367&gt;=L102,Indices!L367,L102))</f>
        <v>16271.75</v>
      </c>
      <c r="O103" s="19">
        <v>44700</v>
      </c>
      <c r="P103" s="18">
        <f>(PrevPeak[[#This Row],[Chine]]-Indices!B367)/PrevPeak[[#This Row],[Chine]]</f>
        <v>0.18031593028780038</v>
      </c>
      <c r="Q103" s="18">
        <f>(PrevPeak[[#This Row],[DM]]-Indices!C367)/PrevPeak[[#This Row],[DM]]</f>
        <v>0.12815791537519908</v>
      </c>
      <c r="R103" s="18">
        <f>(PrevPeak[[#This Row],[EM ex China]]-Indices!D367)/PrevPeak[[#This Row],[EM ex China]]</f>
        <v>0.11213190554524527</v>
      </c>
      <c r="S103" s="18">
        <f>(PrevPeak[[#This Row],[EM]]-Indices!E367)/PrevPeak[[#This Row],[EM]]</f>
        <v>0.13635654468280381</v>
      </c>
      <c r="T103" s="18">
        <f>(PrevPeak[[#This Row],[Japon]]-Indices!F367)/PrevPeak[[#This Row],[Japon]]</f>
        <v>0.11946685028526455</v>
      </c>
      <c r="U103" s="18">
        <f>(PrevPeak[[#This Row],[Monde]]-Indices!G367)/PrevPeak[[#This Row],[Monde]]</f>
        <v>0.12752879766495095</v>
      </c>
      <c r="V103" s="18">
        <f>(PrevPeak[[#This Row],[RU]]-Indices!H367)/PrevPeak[[#This Row],[RU]]</f>
        <v>6.2783195659065011E-2</v>
      </c>
      <c r="W103" s="18">
        <f>(PrevPeak[[#This Row],[US]]-Indices!I367)/PrevPeak[[#This Row],[US]]</f>
        <v>0.19592238860788444</v>
      </c>
      <c r="X103" s="18">
        <f>(PrevPeak[[#This Row],[France]]-Indices!J367)/PrevPeak[[#This Row],[France]]</f>
        <v>0.14962103832838364</v>
      </c>
      <c r="Y103" s="18">
        <f>(PrevPeak[[#This Row],[Europe]]-Indices!K367)/PrevPeak[[#This Row],[Europe]]</f>
        <v>0.13486398743970074</v>
      </c>
      <c r="Z103" s="18">
        <f>(PrevPeak[[#This Row],[Allemagne]]-Indices!L367)/PrevPeak[[#This Row],[Allemagne]]</f>
        <v>0.14684654016931181</v>
      </c>
      <c r="AA103" s="27">
        <f>YEAR(DD[[#This Row],[Date]])</f>
        <v>2022</v>
      </c>
    </row>
    <row r="104" spans="1:27" x14ac:dyDescent="0.25">
      <c r="A104" s="1">
        <v>44701</v>
      </c>
      <c r="B104">
        <f>IF($A103="Date",Indices!B368,IF(Indices!B368&gt;=B103,Indices!B368,B103))</f>
        <v>2879.4960000000001</v>
      </c>
      <c r="C104">
        <f>IF($A103="Date",Indices!C368,IF(Indices!C368&gt;=C103,Indices!C368,C103))</f>
        <v>293.27100000000002</v>
      </c>
      <c r="D104">
        <f>IF($A103="Date",Indices!D368,IF(Indices!D368&gt;=D103,Indices!D368,D103))</f>
        <v>4363.4859999999999</v>
      </c>
      <c r="E104">
        <f>IF($A103="Date",Indices!E368,IF(Indices!E368&gt;=E103,Indices!E368,E103))</f>
        <v>435.85</v>
      </c>
      <c r="F104">
        <f>IF($A103="Date",Indices!F368,IF(Indices!F368&gt;=F103,Indices!F368,F103))</f>
        <v>182.988</v>
      </c>
      <c r="G104">
        <f>IF($A103="Date",Indices!G368,IF(Indices!G368&gt;=G103,Indices!G368,G103))</f>
        <v>288.13099999999997</v>
      </c>
      <c r="H104">
        <f>IF($A103="Date",Indices!H368,IF(Indices!H368&gt;=H103,Indices!H368,H103))</f>
        <v>107.258</v>
      </c>
      <c r="I104">
        <f>IF($A103="Date",Indices!I368,IF(Indices!I368&gt;=I103,Indices!I368,I103))</f>
        <v>5355.2011460000003</v>
      </c>
      <c r="J104">
        <f>IF($A103="Date",Indices!J368,IF(Indices!J368&gt;=J103,Indices!J368,J103))</f>
        <v>7376.3701170000004</v>
      </c>
      <c r="K104">
        <f>IF($A103="Date",Indices!K368,IF(Indices!K368&gt;=K103,Indices!K368,K103))</f>
        <v>494.35000600000001</v>
      </c>
      <c r="L104">
        <f>IF($A103="Date",Indices!L368,IF(Indices!L368&gt;=L103,Indices!L368,L103))</f>
        <v>16271.75</v>
      </c>
      <c r="O104" s="20">
        <v>44701</v>
      </c>
      <c r="P104" s="17">
        <f>(PrevPeak[[#This Row],[Chine]]-Indices!B368)/PrevPeak[[#This Row],[Chine]]</f>
        <v>0.15232630988200713</v>
      </c>
      <c r="Q104" s="17">
        <f>(PrevPeak[[#This Row],[DM]]-Indices!C368)/PrevPeak[[#This Row],[DM]]</f>
        <v>0.12412069382925693</v>
      </c>
      <c r="R104" s="17">
        <f>(PrevPeak[[#This Row],[EM ex China]]-Indices!D368)/PrevPeak[[#This Row],[EM ex China]]</f>
        <v>9.4594551237244653E-2</v>
      </c>
      <c r="S104" s="17">
        <f>(PrevPeak[[#This Row],[EM]]-Indices!E368)/PrevPeak[[#This Row],[EM]]</f>
        <v>0.1163519559481474</v>
      </c>
      <c r="T104" s="17">
        <f>(PrevPeak[[#This Row],[Japon]]-Indices!F368)/PrevPeak[[#This Row],[Japon]]</f>
        <v>0.11259754738015615</v>
      </c>
      <c r="U104" s="17">
        <f>(PrevPeak[[#This Row],[Monde]]-Indices!G368)/PrevPeak[[#This Row],[Monde]]</f>
        <v>0.12166341004612478</v>
      </c>
      <c r="V104" s="17">
        <f>(PrevPeak[[#This Row],[RU]]-Indices!H368)/PrevPeak[[#This Row],[RU]]</f>
        <v>5.0690857558410539E-2</v>
      </c>
      <c r="W104" s="17">
        <f>(PrevPeak[[#This Row],[US]]-Indices!I368)/PrevPeak[[#This Row],[US]]</f>
        <v>0.19601658338904154</v>
      </c>
      <c r="X104" s="17">
        <f>(PrevPeak[[#This Row],[France]]-Indices!J368)/PrevPeak[[#This Row],[France]]</f>
        <v>0.14792233384348771</v>
      </c>
      <c r="Y104" s="17">
        <f>(PrevPeak[[#This Row],[Europe]]-Indices!K368)/PrevPeak[[#This Row],[Europe]]</f>
        <v>0.12794578584469563</v>
      </c>
      <c r="Z104" s="17">
        <f>(PrevPeak[[#This Row],[Allemagne]]-Indices!L368)/PrevPeak[[#This Row],[Allemagne]]</f>
        <v>0.1407248661022939</v>
      </c>
      <c r="AA104" s="27">
        <f>YEAR(DD[[#This Row],[Date]])</f>
        <v>2022</v>
      </c>
    </row>
    <row r="105" spans="1:27" x14ac:dyDescent="0.25">
      <c r="A105" s="1">
        <v>44704</v>
      </c>
      <c r="B105">
        <f>IF($A104="Date",Indices!B369,IF(Indices!B369&gt;=B104,Indices!B369,B104))</f>
        <v>2879.4960000000001</v>
      </c>
      <c r="C105">
        <f>IF($A104="Date",Indices!C369,IF(Indices!C369&gt;=C104,Indices!C369,C104))</f>
        <v>293.27100000000002</v>
      </c>
      <c r="D105">
        <f>IF($A104="Date",Indices!D369,IF(Indices!D369&gt;=D104,Indices!D369,D104))</f>
        <v>4363.4859999999999</v>
      </c>
      <c r="E105">
        <f>IF($A104="Date",Indices!E369,IF(Indices!E369&gt;=E104,Indices!E369,E104))</f>
        <v>435.85</v>
      </c>
      <c r="F105">
        <f>IF($A104="Date",Indices!F369,IF(Indices!F369&gt;=F104,Indices!F369,F104))</f>
        <v>182.988</v>
      </c>
      <c r="G105">
        <f>IF($A104="Date",Indices!G369,IF(Indices!G369&gt;=G104,Indices!G369,G104))</f>
        <v>288.13099999999997</v>
      </c>
      <c r="H105">
        <f>IF($A104="Date",Indices!H369,IF(Indices!H369&gt;=H104,Indices!H369,H104))</f>
        <v>107.258</v>
      </c>
      <c r="I105">
        <f>IF($A104="Date",Indices!I369,IF(Indices!I369&gt;=I104,Indices!I369,I104))</f>
        <v>5355.2011460000003</v>
      </c>
      <c r="J105">
        <f>IF($A104="Date",Indices!J369,IF(Indices!J369&gt;=J104,Indices!J369,J104))</f>
        <v>7376.3701170000004</v>
      </c>
      <c r="K105">
        <f>IF($A104="Date",Indices!K369,IF(Indices!K369&gt;=K104,Indices!K369,K104))</f>
        <v>494.35000600000001</v>
      </c>
      <c r="L105">
        <f>IF($A104="Date",Indices!L369,IF(Indices!L369&gt;=L104,Indices!L369,L104))</f>
        <v>16271.75</v>
      </c>
      <c r="O105" s="19">
        <v>44704</v>
      </c>
      <c r="P105" s="18">
        <f>(PrevPeak[[#This Row],[Chine]]-Indices!B369)/PrevPeak[[#This Row],[Chine]]</f>
        <v>0.16706673667891889</v>
      </c>
      <c r="Q105" s="18">
        <f>(PrevPeak[[#This Row],[DM]]-Indices!C369)/PrevPeak[[#This Row],[DM]]</f>
        <v>0.11806827132583866</v>
      </c>
      <c r="R105" s="18">
        <f>(PrevPeak[[#This Row],[EM ex China]]-Indices!D369)/PrevPeak[[#This Row],[EM ex China]]</f>
        <v>0.10069151132832785</v>
      </c>
      <c r="S105" s="18">
        <f>(PrevPeak[[#This Row],[EM]]-Indices!E369)/PrevPeak[[#This Row],[EM]]</f>
        <v>0.1261787312148675</v>
      </c>
      <c r="T105" s="18">
        <f>(PrevPeak[[#This Row],[Japon]]-Indices!F369)/PrevPeak[[#This Row],[Japon]]</f>
        <v>0.11118761886025315</v>
      </c>
      <c r="U105" s="18">
        <f>(PrevPeak[[#This Row],[Monde]]-Indices!G369)/PrevPeak[[#This Row],[Monde]]</f>
        <v>0.1174118716833662</v>
      </c>
      <c r="V105" s="18">
        <f>(PrevPeak[[#This Row],[RU]]-Indices!H369)/PrevPeak[[#This Row],[RU]]</f>
        <v>3.6817766506927203E-2</v>
      </c>
      <c r="W105" s="18">
        <f>(PrevPeak[[#This Row],[US]]-Indices!I369)/PrevPeak[[#This Row],[US]]</f>
        <v>0.18214788752213201</v>
      </c>
      <c r="X105" s="18">
        <f>(PrevPeak[[#This Row],[France]]-Indices!J369)/PrevPeak[[#This Row],[France]]</f>
        <v>0.13795808329285336</v>
      </c>
      <c r="Y105" s="18">
        <f>(PrevPeak[[#This Row],[Europe]]-Indices!K369)/PrevPeak[[#This Row],[Europe]]</f>
        <v>0.1169414307643399</v>
      </c>
      <c r="Z105" s="18">
        <f>(PrevPeak[[#This Row],[Allemagne]]-Indices!L369)/PrevPeak[[#This Row],[Allemagne]]</f>
        <v>0.12883369090601807</v>
      </c>
      <c r="AA105" s="27">
        <f>YEAR(DD[[#This Row],[Date]])</f>
        <v>2022</v>
      </c>
    </row>
    <row r="106" spans="1:27" x14ac:dyDescent="0.25">
      <c r="A106" s="1">
        <v>44705</v>
      </c>
      <c r="B106">
        <f>IF($A105="Date",Indices!B370,IF(Indices!B370&gt;=B105,Indices!B370,B105))</f>
        <v>2879.4960000000001</v>
      </c>
      <c r="C106">
        <f>IF($A105="Date",Indices!C370,IF(Indices!C370&gt;=C105,Indices!C370,C105))</f>
        <v>293.27100000000002</v>
      </c>
      <c r="D106">
        <f>IF($A105="Date",Indices!D370,IF(Indices!D370&gt;=D105,Indices!D370,D105))</f>
        <v>4363.4859999999999</v>
      </c>
      <c r="E106">
        <f>IF($A105="Date",Indices!E370,IF(Indices!E370&gt;=E105,Indices!E370,E105))</f>
        <v>435.85</v>
      </c>
      <c r="F106">
        <f>IF($A105="Date",Indices!F370,IF(Indices!F370&gt;=F105,Indices!F370,F105))</f>
        <v>182.988</v>
      </c>
      <c r="G106">
        <f>IF($A105="Date",Indices!G370,IF(Indices!G370&gt;=G105,Indices!G370,G105))</f>
        <v>288.13099999999997</v>
      </c>
      <c r="H106">
        <f>IF($A105="Date",Indices!H370,IF(Indices!H370&gt;=H105,Indices!H370,H105))</f>
        <v>107.258</v>
      </c>
      <c r="I106">
        <f>IF($A105="Date",Indices!I370,IF(Indices!I370&gt;=I105,Indices!I370,I105))</f>
        <v>5355.2011460000003</v>
      </c>
      <c r="J106">
        <f>IF($A105="Date",Indices!J370,IF(Indices!J370&gt;=J105,Indices!J370,J105))</f>
        <v>7376.3701170000004</v>
      </c>
      <c r="K106">
        <f>IF($A105="Date",Indices!K370,IF(Indices!K370&gt;=K105,Indices!K370,K105))</f>
        <v>494.35000600000001</v>
      </c>
      <c r="L106">
        <f>IF($A105="Date",Indices!L370,IF(Indices!L370&gt;=L105,Indices!L370,L105))</f>
        <v>16271.75</v>
      </c>
      <c r="O106" s="20">
        <v>44705</v>
      </c>
      <c r="P106" s="17">
        <f>(PrevPeak[[#This Row],[Chine]]-Indices!B370)/PrevPeak[[#This Row],[Chine]]</f>
        <v>0.19442603844561693</v>
      </c>
      <c r="Q106" s="17">
        <f>(PrevPeak[[#This Row],[DM]]-Indices!C370)/PrevPeak[[#This Row],[DM]]</f>
        <v>0.12991397035506416</v>
      </c>
      <c r="R106" s="17">
        <f>(PrevPeak[[#This Row],[EM ex China]]-Indices!D370)/PrevPeak[[#This Row],[EM ex China]]</f>
        <v>0.11638080195513405</v>
      </c>
      <c r="S106" s="17">
        <f>(PrevPeak[[#This Row],[EM]]-Indices!E370)/PrevPeak[[#This Row],[EM]]</f>
        <v>0.14562119995411277</v>
      </c>
      <c r="T106" s="17">
        <f>(PrevPeak[[#This Row],[Japon]]-Indices!F370)/PrevPeak[[#This Row],[Japon]]</f>
        <v>0.11514962729796488</v>
      </c>
      <c r="U106" s="17">
        <f>(PrevPeak[[#This Row],[Monde]]-Indices!G370)/PrevPeak[[#This Row],[Monde]]</f>
        <v>0.13013872162315054</v>
      </c>
      <c r="V106" s="17">
        <f>(PrevPeak[[#This Row],[RU]]-Indices!H370)/PrevPeak[[#This Row],[RU]]</f>
        <v>4.8807548154916183E-2</v>
      </c>
      <c r="W106" s="17">
        <f>(PrevPeak[[#This Row],[US]]-Indices!I370)/PrevPeak[[#This Row],[US]]</f>
        <v>0.19078109078370001</v>
      </c>
      <c r="X106" s="17">
        <f>(PrevPeak[[#This Row],[France]]-Indices!J370)/PrevPeak[[#This Row],[France]]</f>
        <v>0.15227408090753752</v>
      </c>
      <c r="Y106" s="17">
        <f>(PrevPeak[[#This Row],[Europe]]-Indices!K370)/PrevPeak[[#This Row],[Europe]]</f>
        <v>0.1269748523073751</v>
      </c>
      <c r="Z106" s="17">
        <f>(PrevPeak[[#This Row],[Allemagne]]-Indices!L370)/PrevPeak[[#This Row],[Allemagne]]</f>
        <v>0.14454499362391876</v>
      </c>
      <c r="AA106" s="27">
        <f>YEAR(DD[[#This Row],[Date]])</f>
        <v>2022</v>
      </c>
    </row>
    <row r="107" spans="1:27" x14ac:dyDescent="0.25">
      <c r="A107" s="1">
        <v>44706</v>
      </c>
      <c r="B107">
        <f>IF($A106="Date",Indices!B371,IF(Indices!B371&gt;=B106,Indices!B371,B106))</f>
        <v>2879.4960000000001</v>
      </c>
      <c r="C107">
        <f>IF($A106="Date",Indices!C371,IF(Indices!C371&gt;=C106,Indices!C371,C106))</f>
        <v>293.27100000000002</v>
      </c>
      <c r="D107">
        <f>IF($A106="Date",Indices!D371,IF(Indices!D371&gt;=D106,Indices!D371,D106))</f>
        <v>4363.4859999999999</v>
      </c>
      <c r="E107">
        <f>IF($A106="Date",Indices!E371,IF(Indices!E371&gt;=E106,Indices!E371,E106))</f>
        <v>435.85</v>
      </c>
      <c r="F107">
        <f>IF($A106="Date",Indices!F371,IF(Indices!F371&gt;=F106,Indices!F371,F106))</f>
        <v>182.988</v>
      </c>
      <c r="G107">
        <f>IF($A106="Date",Indices!G371,IF(Indices!G371&gt;=G106,Indices!G371,G106))</f>
        <v>288.13099999999997</v>
      </c>
      <c r="H107">
        <f>IF($A106="Date",Indices!H371,IF(Indices!H371&gt;=H106,Indices!H371,H106))</f>
        <v>107.258</v>
      </c>
      <c r="I107">
        <f>IF($A106="Date",Indices!I371,IF(Indices!I371&gt;=I106,Indices!I371,I106))</f>
        <v>5355.2011460000003</v>
      </c>
      <c r="J107">
        <f>IF($A106="Date",Indices!J371,IF(Indices!J371&gt;=J106,Indices!J371,J106))</f>
        <v>7376.3701170000004</v>
      </c>
      <c r="K107">
        <f>IF($A106="Date",Indices!K371,IF(Indices!K371&gt;=K106,Indices!K371,K106))</f>
        <v>494.35000600000001</v>
      </c>
      <c r="L107">
        <f>IF($A106="Date",Indices!L371,IF(Indices!L371&gt;=L106,Indices!L371,L106))</f>
        <v>16271.75</v>
      </c>
      <c r="O107" s="19">
        <v>44706</v>
      </c>
      <c r="P107" s="18">
        <f>(PrevPeak[[#This Row],[Chine]]-Indices!B371)/PrevPeak[[#This Row],[Chine]]</f>
        <v>0.18674448584057765</v>
      </c>
      <c r="Q107" s="18">
        <f>(PrevPeak[[#This Row],[DM]]-Indices!C371)/PrevPeak[[#This Row],[DM]]</f>
        <v>0.11968452387041344</v>
      </c>
      <c r="R107" s="18">
        <f>(PrevPeak[[#This Row],[EM ex China]]-Indices!D371)/PrevPeak[[#This Row],[EM ex China]]</f>
        <v>0.11031409290645136</v>
      </c>
      <c r="S107" s="18">
        <f>(PrevPeak[[#This Row],[EM]]-Indices!E371)/PrevPeak[[#This Row],[EM]]</f>
        <v>0.13966272800275326</v>
      </c>
      <c r="T107" s="18">
        <f>(PrevPeak[[#This Row],[Japon]]-Indices!F371)/PrevPeak[[#This Row],[Japon]]</f>
        <v>0.11680547358296717</v>
      </c>
      <c r="U107" s="18">
        <f>(PrevPeak[[#This Row],[Monde]]-Indices!G371)/PrevPeak[[#This Row],[Monde]]</f>
        <v>0.12037927192839361</v>
      </c>
      <c r="V107" s="18">
        <f>(PrevPeak[[#This Row],[RU]]-Indices!H371)/PrevPeak[[#This Row],[RU]]</f>
        <v>3.8365436610788894E-2</v>
      </c>
      <c r="W107" s="18">
        <f>(PrevPeak[[#This Row],[US]]-Indices!I371)/PrevPeak[[#This Row],[US]]</f>
        <v>0.1815717523003384</v>
      </c>
      <c r="X107" s="18">
        <f>(PrevPeak[[#This Row],[France]]-Indices!J371)/PrevPeak[[#This Row],[France]]</f>
        <v>0.14610573532857341</v>
      </c>
      <c r="Y107" s="18">
        <f>(PrevPeak[[#This Row],[Europe]]-Indices!K371)/PrevPeak[[#This Row],[Europe]]</f>
        <v>0.12145242696730138</v>
      </c>
      <c r="Z107" s="18">
        <f>(PrevPeak[[#This Row],[Allemagne]]-Indices!L371)/PrevPeak[[#This Row],[Allemagne]]</f>
        <v>0.13912580453854068</v>
      </c>
      <c r="AA107" s="27">
        <f>YEAR(DD[[#This Row],[Date]])</f>
        <v>2022</v>
      </c>
    </row>
    <row r="108" spans="1:27" x14ac:dyDescent="0.25">
      <c r="A108" s="1">
        <v>44707</v>
      </c>
      <c r="B108">
        <f>IF($A107="Date",Indices!B372,IF(Indices!B372&gt;=B107,Indices!B372,B107))</f>
        <v>2879.4960000000001</v>
      </c>
      <c r="C108">
        <f>IF($A107="Date",Indices!C372,IF(Indices!C372&gt;=C107,Indices!C372,C107))</f>
        <v>293.27100000000002</v>
      </c>
      <c r="D108">
        <f>IF($A107="Date",Indices!D372,IF(Indices!D372&gt;=D107,Indices!D372,D107))</f>
        <v>4363.4859999999999</v>
      </c>
      <c r="E108">
        <f>IF($A107="Date",Indices!E372,IF(Indices!E372&gt;=E107,Indices!E372,E107))</f>
        <v>435.85</v>
      </c>
      <c r="F108">
        <f>IF($A107="Date",Indices!F372,IF(Indices!F372&gt;=F107,Indices!F372,F107))</f>
        <v>182.988</v>
      </c>
      <c r="G108">
        <f>IF($A107="Date",Indices!G372,IF(Indices!G372&gt;=G107,Indices!G372,G107))</f>
        <v>288.13099999999997</v>
      </c>
      <c r="H108">
        <f>IF($A107="Date",Indices!H372,IF(Indices!H372&gt;=H107,Indices!H372,H107))</f>
        <v>107.258</v>
      </c>
      <c r="I108">
        <f>IF($A107="Date",Indices!I372,IF(Indices!I372&gt;=I107,Indices!I372,I107))</f>
        <v>5355.2011460000003</v>
      </c>
      <c r="J108">
        <f>IF($A107="Date",Indices!J372,IF(Indices!J372&gt;=J107,Indices!J372,J107))</f>
        <v>7376.3701170000004</v>
      </c>
      <c r="K108">
        <f>IF($A107="Date",Indices!K372,IF(Indices!K372&gt;=K107,Indices!K372,K107))</f>
        <v>494.35000600000001</v>
      </c>
      <c r="L108">
        <f>IF($A107="Date",Indices!L372,IF(Indices!L372&gt;=L107,Indices!L372,L107))</f>
        <v>16271.75</v>
      </c>
      <c r="O108" s="20">
        <v>44707</v>
      </c>
      <c r="P108" s="17">
        <f>(PrevPeak[[#This Row],[Chine]]-Indices!B372)/PrevPeak[[#This Row],[Chine]]</f>
        <v>0.18971896470771277</v>
      </c>
      <c r="Q108" s="17">
        <f>(PrevPeak[[#This Row],[DM]]-Indices!C372)/PrevPeak[[#This Row],[DM]]</f>
        <v>0.10855147627961863</v>
      </c>
      <c r="R108" s="17">
        <f>(PrevPeak[[#This Row],[EM ex China]]-Indices!D372)/PrevPeak[[#This Row],[EM ex China]]</f>
        <v>0.11087602893649712</v>
      </c>
      <c r="S108" s="17">
        <f>(PrevPeak[[#This Row],[EM]]-Indices!E372)/PrevPeak[[#This Row],[EM]]</f>
        <v>0.13988298726626136</v>
      </c>
      <c r="T108" s="17">
        <f>(PrevPeak[[#This Row],[Japon]]-Indices!F372)/PrevPeak[[#This Row],[Japon]]</f>
        <v>0.11990950226244348</v>
      </c>
      <c r="U108" s="17">
        <f>(PrevPeak[[#This Row],[Monde]]-Indices!G372)/PrevPeak[[#This Row],[Monde]]</f>
        <v>0.11051917357035514</v>
      </c>
      <c r="V108" s="17">
        <f>(PrevPeak[[#This Row],[RU]]-Indices!H372)/PrevPeak[[#This Row],[RU]]</f>
        <v>3.5335359600216228E-2</v>
      </c>
      <c r="W108" s="17">
        <f>(PrevPeak[[#This Row],[US]]-Indices!I372)/PrevPeak[[#This Row],[US]]</f>
        <v>0.16457840498826345</v>
      </c>
      <c r="X108" s="17">
        <f>(PrevPeak[[#This Row],[France]]-Indices!J372)/PrevPeak[[#This Row],[France]]</f>
        <v>0.13093025752248874</v>
      </c>
      <c r="Y108" s="17">
        <f>(PrevPeak[[#This Row],[Europe]]-Indices!K372)/PrevPeak[[#This Row],[Europe]]</f>
        <v>0.12145242696730138</v>
      </c>
      <c r="Z108" s="17">
        <f>(PrevPeak[[#This Row],[Allemagne]]-Indices!L372)/PrevPeak[[#This Row],[Allemagne]]</f>
        <v>0.12539892513097856</v>
      </c>
      <c r="AA108" s="27">
        <f>YEAR(DD[[#This Row],[Date]])</f>
        <v>2022</v>
      </c>
    </row>
    <row r="109" spans="1:27" x14ac:dyDescent="0.25">
      <c r="A109" s="1">
        <v>44708</v>
      </c>
      <c r="B109">
        <f>IF($A108="Date",Indices!B373,IF(Indices!B373&gt;=B108,Indices!B373,B108))</f>
        <v>2879.4960000000001</v>
      </c>
      <c r="C109">
        <f>IF($A108="Date",Indices!C373,IF(Indices!C373&gt;=C108,Indices!C373,C108))</f>
        <v>293.27100000000002</v>
      </c>
      <c r="D109">
        <f>IF($A108="Date",Indices!D373,IF(Indices!D373&gt;=D108,Indices!D373,D108))</f>
        <v>4363.4859999999999</v>
      </c>
      <c r="E109">
        <f>IF($A108="Date",Indices!E373,IF(Indices!E373&gt;=E108,Indices!E373,E108))</f>
        <v>435.85</v>
      </c>
      <c r="F109">
        <f>IF($A108="Date",Indices!F373,IF(Indices!F373&gt;=F108,Indices!F373,F108))</f>
        <v>182.988</v>
      </c>
      <c r="G109">
        <f>IF($A108="Date",Indices!G373,IF(Indices!G373&gt;=G108,Indices!G373,G108))</f>
        <v>288.13099999999997</v>
      </c>
      <c r="H109">
        <f>IF($A108="Date",Indices!H373,IF(Indices!H373&gt;=H108,Indices!H373,H108))</f>
        <v>107.258</v>
      </c>
      <c r="I109">
        <f>IF($A108="Date",Indices!I373,IF(Indices!I373&gt;=I108,Indices!I373,I108))</f>
        <v>5355.2011460000003</v>
      </c>
      <c r="J109">
        <f>IF($A108="Date",Indices!J373,IF(Indices!J373&gt;=J108,Indices!J373,J108))</f>
        <v>7376.3701170000004</v>
      </c>
      <c r="K109">
        <f>IF($A108="Date",Indices!K373,IF(Indices!K373&gt;=K108,Indices!K373,K108))</f>
        <v>494.35000600000001</v>
      </c>
      <c r="L109">
        <f>IF($A108="Date",Indices!L373,IF(Indices!L373&gt;=L108,Indices!L373,L108))</f>
        <v>16271.75</v>
      </c>
      <c r="O109" s="19">
        <v>44708</v>
      </c>
      <c r="P109" s="18">
        <f>(PrevPeak[[#This Row],[Chine]]-Indices!B373)/PrevPeak[[#This Row],[Chine]]</f>
        <v>0.17459965216135045</v>
      </c>
      <c r="Q109" s="18">
        <f>(PrevPeak[[#This Row],[DM]]-Indices!C373)/PrevPeak[[#This Row],[DM]]</f>
        <v>8.8866611427655687E-2</v>
      </c>
      <c r="R109" s="18">
        <f>(PrevPeak[[#This Row],[EM ex China]]-Indices!D373)/PrevPeak[[#This Row],[EM ex China]]</f>
        <v>9.5612315474370713E-2</v>
      </c>
      <c r="S109" s="18">
        <f>(PrevPeak[[#This Row],[EM]]-Indices!E373)/PrevPeak[[#This Row],[EM]]</f>
        <v>0.12227601238958366</v>
      </c>
      <c r="T109" s="18">
        <f>(PrevPeak[[#This Row],[Japon]]-Indices!F373)/PrevPeak[[#This Row],[Japon]]</f>
        <v>0.11365226135047106</v>
      </c>
      <c r="U109" s="18">
        <f>(PrevPeak[[#This Row],[Monde]]-Indices!G373)/PrevPeak[[#This Row],[Monde]]</f>
        <v>9.1038451260017139E-2</v>
      </c>
      <c r="V109" s="18">
        <f>(PrevPeak[[#This Row],[RU]]-Indices!H373)/PrevPeak[[#This Row],[RU]]</f>
        <v>2.9666784761975817E-2</v>
      </c>
      <c r="W109" s="18">
        <f>(PrevPeak[[#This Row],[US]]-Indices!I373)/PrevPeak[[#This Row],[US]]</f>
        <v>0.14343099989320174</v>
      </c>
      <c r="X109" s="18">
        <f>(PrevPeak[[#This Row],[France]]-Indices!J373)/PrevPeak[[#This Row],[France]]</f>
        <v>0.11667257788713266</v>
      </c>
      <c r="Y109" s="18">
        <f>(PrevPeak[[#This Row],[Europe]]-Indices!K373)/PrevPeak[[#This Row],[Europe]]</f>
        <v>0.10199254048355363</v>
      </c>
      <c r="Z109" s="18">
        <f>(PrevPeak[[#This Row],[Allemagne]]-Indices!L373)/PrevPeak[[#This Row],[Allemagne]]</f>
        <v>0.11120866348118669</v>
      </c>
      <c r="AA109" s="27">
        <f>YEAR(DD[[#This Row],[Date]])</f>
        <v>2022</v>
      </c>
    </row>
    <row r="110" spans="1:27" x14ac:dyDescent="0.25">
      <c r="A110" s="1">
        <v>44711</v>
      </c>
      <c r="B110">
        <f>IF($A109="Date",Indices!B374,IF(Indices!B374&gt;=B109,Indices!B374,B109))</f>
        <v>2879.4960000000001</v>
      </c>
      <c r="C110">
        <f>IF($A109="Date",Indices!C374,IF(Indices!C374&gt;=C109,Indices!C374,C109))</f>
        <v>293.27100000000002</v>
      </c>
      <c r="D110">
        <f>IF($A109="Date",Indices!D374,IF(Indices!D374&gt;=D109,Indices!D374,D109))</f>
        <v>4363.4859999999999</v>
      </c>
      <c r="E110">
        <f>IF($A109="Date",Indices!E374,IF(Indices!E374&gt;=E109,Indices!E374,E109))</f>
        <v>435.85</v>
      </c>
      <c r="F110">
        <f>IF($A109="Date",Indices!F374,IF(Indices!F374&gt;=F109,Indices!F374,F109))</f>
        <v>182.988</v>
      </c>
      <c r="G110">
        <f>IF($A109="Date",Indices!G374,IF(Indices!G374&gt;=G109,Indices!G374,G109))</f>
        <v>288.13099999999997</v>
      </c>
      <c r="H110">
        <f>IF($A109="Date",Indices!H374,IF(Indices!H374&gt;=H109,Indices!H374,H109))</f>
        <v>107.258</v>
      </c>
      <c r="I110">
        <f>IF($A109="Date",Indices!I374,IF(Indices!I374&gt;=I109,Indices!I374,I109))</f>
        <v>5355.2011460000003</v>
      </c>
      <c r="J110">
        <f>IF($A109="Date",Indices!J374,IF(Indices!J374&gt;=J109,Indices!J374,J109))</f>
        <v>7376.3701170000004</v>
      </c>
      <c r="K110">
        <f>IF($A109="Date",Indices!K374,IF(Indices!K374&gt;=K109,Indices!K374,K109))</f>
        <v>494.35000600000001</v>
      </c>
      <c r="L110">
        <f>IF($A109="Date",Indices!L374,IF(Indices!L374&gt;=L109,Indices!L374,L109))</f>
        <v>16271.75</v>
      </c>
      <c r="O110" s="20">
        <v>44711</v>
      </c>
      <c r="P110" s="17">
        <f>(PrevPeak[[#This Row],[Chine]]-Indices!B374)/PrevPeak[[#This Row],[Chine]]</f>
        <v>0.16471146339498302</v>
      </c>
      <c r="Q110" s="17">
        <f>(PrevPeak[[#This Row],[DM]]-Indices!C374)/PrevPeak[[#This Row],[DM]]</f>
        <v>9.0813616075234291E-2</v>
      </c>
      <c r="R110" s="17">
        <f>(PrevPeak[[#This Row],[EM ex China]]-Indices!D374)/PrevPeak[[#This Row],[EM ex China]]</f>
        <v>8.2514072464080324E-2</v>
      </c>
      <c r="S110" s="17">
        <f>(PrevPeak[[#This Row],[EM]]-Indices!E374)/PrevPeak[[#This Row],[EM]]</f>
        <v>0.10960881037054038</v>
      </c>
      <c r="T110" s="17">
        <f>(PrevPeak[[#This Row],[Japon]]-Indices!F374)/PrevPeak[[#This Row],[Japon]]</f>
        <v>0.10612717773843086</v>
      </c>
      <c r="U110" s="17">
        <f>(PrevPeak[[#This Row],[Monde]]-Indices!G374)/PrevPeak[[#This Row],[Monde]]</f>
        <v>9.1323044032054837E-2</v>
      </c>
      <c r="V110" s="17">
        <f>(PrevPeak[[#This Row],[RU]]-Indices!H374)/PrevPeak[[#This Row],[RU]]</f>
        <v>3.2184079509220739E-2</v>
      </c>
      <c r="W110" s="17">
        <f>(PrevPeak[[#This Row],[US]]-Indices!I374)/PrevPeak[[#This Row],[US]]</f>
        <v>0.14343099989320174</v>
      </c>
      <c r="X110" s="17">
        <f>(PrevPeak[[#This Row],[France]]-Indices!J374)/PrevPeak[[#This Row],[France]]</f>
        <v>0.11034966617578688</v>
      </c>
      <c r="Y110" s="17">
        <f>(PrevPeak[[#This Row],[Europe]]-Indices!K374)/PrevPeak[[#This Row],[Europe]]</f>
        <v>9.6652166319585384E-2</v>
      </c>
      <c r="Z110" s="17">
        <f>(PrevPeak[[#This Row],[Allemagne]]-Indices!L374)/PrevPeak[[#This Row],[Allemagne]]</f>
        <v>0.10421555948192417</v>
      </c>
      <c r="AA110" s="27">
        <f>YEAR(DD[[#This Row],[Date]])</f>
        <v>2022</v>
      </c>
    </row>
    <row r="111" spans="1:27" x14ac:dyDescent="0.25">
      <c r="A111" s="1">
        <v>44712</v>
      </c>
      <c r="B111">
        <f>IF($A110="Date",Indices!B375,IF(Indices!B375&gt;=B110,Indices!B375,B110))</f>
        <v>2879.4960000000001</v>
      </c>
      <c r="C111">
        <f>IF($A110="Date",Indices!C375,IF(Indices!C375&gt;=C110,Indices!C375,C110))</f>
        <v>293.27100000000002</v>
      </c>
      <c r="D111">
        <f>IF($A110="Date",Indices!D375,IF(Indices!D375&gt;=D110,Indices!D375,D110))</f>
        <v>4363.4859999999999</v>
      </c>
      <c r="E111">
        <f>IF($A110="Date",Indices!E375,IF(Indices!E375&gt;=E110,Indices!E375,E110))</f>
        <v>435.85</v>
      </c>
      <c r="F111">
        <f>IF($A110="Date",Indices!F375,IF(Indices!F375&gt;=F110,Indices!F375,F110))</f>
        <v>182.988</v>
      </c>
      <c r="G111">
        <f>IF($A110="Date",Indices!G375,IF(Indices!G375&gt;=G110,Indices!G375,G110))</f>
        <v>288.13099999999997</v>
      </c>
      <c r="H111">
        <f>IF($A110="Date",Indices!H375,IF(Indices!H375&gt;=H110,Indices!H375,H110))</f>
        <v>107.258</v>
      </c>
      <c r="I111">
        <f>IF($A110="Date",Indices!I375,IF(Indices!I375&gt;=I110,Indices!I375,I110))</f>
        <v>5355.2011460000003</v>
      </c>
      <c r="J111">
        <f>IF($A110="Date",Indices!J375,IF(Indices!J375&gt;=J110,Indices!J375,J110))</f>
        <v>7376.3701170000004</v>
      </c>
      <c r="K111">
        <f>IF($A110="Date",Indices!K375,IF(Indices!K375&gt;=K110,Indices!K375,K110))</f>
        <v>494.35000600000001</v>
      </c>
      <c r="L111">
        <f>IF($A110="Date",Indices!L375,IF(Indices!L375&gt;=L110,Indices!L375,L110))</f>
        <v>16271.75</v>
      </c>
      <c r="O111" s="19">
        <v>44712</v>
      </c>
      <c r="P111" s="18">
        <f>(PrevPeak[[#This Row],[Chine]]-Indices!B375)/PrevPeak[[#This Row],[Chine]]</f>
        <v>0.14091424332591543</v>
      </c>
      <c r="Q111" s="18">
        <f>(PrevPeak[[#This Row],[DM]]-Indices!C375)/PrevPeak[[#This Row],[DM]]</f>
        <v>9.2842456294689915E-2</v>
      </c>
      <c r="R111" s="18">
        <f>(PrevPeak[[#This Row],[EM ex China]]-Indices!D375)/PrevPeak[[#This Row],[EM ex China]]</f>
        <v>7.1186202957910241E-2</v>
      </c>
      <c r="S111" s="18">
        <f>(PrevPeak[[#This Row],[EM]]-Indices!E375)/PrevPeak[[#This Row],[EM]]</f>
        <v>9.3463347481931955E-2</v>
      </c>
      <c r="T111" s="18">
        <f>(PrevPeak[[#This Row],[Japon]]-Indices!F375)/PrevPeak[[#This Row],[Japon]]</f>
        <v>0.11109471659343786</v>
      </c>
      <c r="U111" s="18">
        <f>(PrevPeak[[#This Row],[Monde]]-Indices!G375)/PrevPeak[[#This Row],[Monde]]</f>
        <v>9.1284866952878962E-2</v>
      </c>
      <c r="V111" s="18">
        <f>(PrevPeak[[#This Row],[RU]]-Indices!H375)/PrevPeak[[#This Row],[RU]]</f>
        <v>2.738257286169794E-2</v>
      </c>
      <c r="W111" s="18">
        <f>(PrevPeak[[#This Row],[US]]-Indices!I375)/PrevPeak[[#This Row],[US]]</f>
        <v>0.14978855231220489</v>
      </c>
      <c r="X111" s="18">
        <f>(PrevPeak[[#This Row],[France]]-Indices!J375)/PrevPeak[[#This Row],[France]]</f>
        <v>0.12303752355218223</v>
      </c>
      <c r="Y111" s="18">
        <f>(PrevPeak[[#This Row],[Europe]]-Indices!K375)/PrevPeak[[#This Row],[Europe]]</f>
        <v>0.10316577198544628</v>
      </c>
      <c r="Z111" s="18">
        <f>(PrevPeak[[#This Row],[Allemagne]]-Indices!L375)/PrevPeak[[#This Row],[Allemagne]]</f>
        <v>0.11574664003564464</v>
      </c>
      <c r="AA111" s="27">
        <f>YEAR(DD[[#This Row],[Date]])</f>
        <v>2022</v>
      </c>
    </row>
    <row r="112" spans="1:27" x14ac:dyDescent="0.25">
      <c r="A112" s="1">
        <v>44713</v>
      </c>
      <c r="B112">
        <f>IF($A111="Date",Indices!B376,IF(Indices!B376&gt;=B111,Indices!B376,B111))</f>
        <v>2879.4960000000001</v>
      </c>
      <c r="C112">
        <f>IF($A111="Date",Indices!C376,IF(Indices!C376&gt;=C111,Indices!C376,C111))</f>
        <v>293.27100000000002</v>
      </c>
      <c r="D112">
        <f>IF($A111="Date",Indices!D376,IF(Indices!D376&gt;=D111,Indices!D376,D111))</f>
        <v>4363.4859999999999</v>
      </c>
      <c r="E112">
        <f>IF($A111="Date",Indices!E376,IF(Indices!E376&gt;=E111,Indices!E376,E111))</f>
        <v>435.85</v>
      </c>
      <c r="F112">
        <f>IF($A111="Date",Indices!F376,IF(Indices!F376&gt;=F111,Indices!F376,F111))</f>
        <v>182.988</v>
      </c>
      <c r="G112">
        <f>IF($A111="Date",Indices!G376,IF(Indices!G376&gt;=G111,Indices!G376,G111))</f>
        <v>288.13099999999997</v>
      </c>
      <c r="H112">
        <f>IF($A111="Date",Indices!H376,IF(Indices!H376&gt;=H111,Indices!H376,H111))</f>
        <v>107.258</v>
      </c>
      <c r="I112">
        <f>IF($A111="Date",Indices!I376,IF(Indices!I376&gt;=I111,Indices!I376,I111))</f>
        <v>5355.2011460000003</v>
      </c>
      <c r="J112">
        <f>IF($A111="Date",Indices!J376,IF(Indices!J376&gt;=J111,Indices!J376,J111))</f>
        <v>7376.3701170000004</v>
      </c>
      <c r="K112">
        <f>IF($A111="Date",Indices!K376,IF(Indices!K376&gt;=K111,Indices!K376,K111))</f>
        <v>494.35000600000001</v>
      </c>
      <c r="L112">
        <f>IF($A111="Date",Indices!L376,IF(Indices!L376&gt;=L111,Indices!L376,L111))</f>
        <v>16271.75</v>
      </c>
      <c r="O112" s="20">
        <v>44713</v>
      </c>
      <c r="P112" s="17">
        <f>(PrevPeak[[#This Row],[Chine]]-Indices!B376)/PrevPeak[[#This Row],[Chine]]</f>
        <v>0.14422107202093704</v>
      </c>
      <c r="Q112" s="17">
        <f>(PrevPeak[[#This Row],[DM]]-Indices!C376)/PrevPeak[[#This Row],[DM]]</f>
        <v>9.5733979834351238E-2</v>
      </c>
      <c r="R112" s="17">
        <f>(PrevPeak[[#This Row],[EM ex China]]-Indices!D376)/PrevPeak[[#This Row],[EM ex China]]</f>
        <v>7.634858917846872E-2</v>
      </c>
      <c r="S112" s="17">
        <f>(PrevPeak[[#This Row],[EM]]-Indices!E376)/PrevPeak[[#This Row],[EM]]</f>
        <v>9.7925891935298923E-2</v>
      </c>
      <c r="T112" s="17">
        <f>(PrevPeak[[#This Row],[Japon]]-Indices!F376)/PrevPeak[[#This Row],[Japon]]</f>
        <v>0.10556976413753914</v>
      </c>
      <c r="U112" s="17">
        <f>(PrevPeak[[#This Row],[Monde]]-Indices!G376)/PrevPeak[[#This Row],[Monde]]</f>
        <v>9.4363327791872328E-2</v>
      </c>
      <c r="V112" s="17">
        <f>(PrevPeak[[#This Row],[RU]]-Indices!H376)/PrevPeak[[#This Row],[RU]]</f>
        <v>4.0826791474761703E-2</v>
      </c>
      <c r="W112" s="17">
        <f>(PrevPeak[[#This Row],[US]]-Indices!I376)/PrevPeak[[#This Row],[US]]</f>
        <v>0.15620320585433342</v>
      </c>
      <c r="X112" s="17">
        <f>(PrevPeak[[#This Row],[France]]-Indices!J376)/PrevPeak[[#This Row],[France]]</f>
        <v>0.12980367915559679</v>
      </c>
      <c r="Y112" s="17">
        <f>(PrevPeak[[#This Row],[Europe]]-Indices!K376)/PrevPeak[[#This Row],[Europe]]</f>
        <v>0.11253161590939675</v>
      </c>
      <c r="Z112" s="17">
        <f>(PrevPeak[[#This Row],[Allemagne]]-Indices!L376)/PrevPeak[[#This Row],[Allemagne]]</f>
        <v>0.1186891557453869</v>
      </c>
      <c r="AA112" s="27">
        <f>YEAR(DD[[#This Row],[Date]])</f>
        <v>2022</v>
      </c>
    </row>
    <row r="113" spans="1:27" x14ac:dyDescent="0.25">
      <c r="A113" s="1">
        <v>44714</v>
      </c>
      <c r="B113">
        <f>IF($A112="Date",Indices!B377,IF(Indices!B377&gt;=B112,Indices!B377,B112))</f>
        <v>2879.4960000000001</v>
      </c>
      <c r="C113">
        <f>IF($A112="Date",Indices!C377,IF(Indices!C377&gt;=C112,Indices!C377,C112))</f>
        <v>293.27100000000002</v>
      </c>
      <c r="D113">
        <f>IF($A112="Date",Indices!D377,IF(Indices!D377&gt;=D112,Indices!D377,D112))</f>
        <v>4363.4859999999999</v>
      </c>
      <c r="E113">
        <f>IF($A112="Date",Indices!E377,IF(Indices!E377&gt;=E112,Indices!E377,E112))</f>
        <v>435.85</v>
      </c>
      <c r="F113">
        <f>IF($A112="Date",Indices!F377,IF(Indices!F377&gt;=F112,Indices!F377,F112))</f>
        <v>182.988</v>
      </c>
      <c r="G113">
        <f>IF($A112="Date",Indices!G377,IF(Indices!G377&gt;=G112,Indices!G377,G112))</f>
        <v>288.13099999999997</v>
      </c>
      <c r="H113">
        <f>IF($A112="Date",Indices!H377,IF(Indices!H377&gt;=H112,Indices!H377,H112))</f>
        <v>107.258</v>
      </c>
      <c r="I113">
        <f>IF($A112="Date",Indices!I377,IF(Indices!I377&gt;=I112,Indices!I377,I112))</f>
        <v>5355.2011460000003</v>
      </c>
      <c r="J113">
        <f>IF($A112="Date",Indices!J377,IF(Indices!J377&gt;=J112,Indices!J377,J112))</f>
        <v>7376.3701170000004</v>
      </c>
      <c r="K113">
        <f>IF($A112="Date",Indices!K377,IF(Indices!K377&gt;=K112,Indices!K377,K112))</f>
        <v>494.35000600000001</v>
      </c>
      <c r="L113">
        <f>IF($A112="Date",Indices!L377,IF(Indices!L377&gt;=L112,Indices!L377,L112))</f>
        <v>16271.75</v>
      </c>
      <c r="O113" s="19">
        <v>44714</v>
      </c>
      <c r="P113" s="18">
        <f>(PrevPeak[[#This Row],[Chine]]-Indices!B377)/PrevPeak[[#This Row],[Chine]]</f>
        <v>0.14780260156638531</v>
      </c>
      <c r="Q113" s="18">
        <f>(PrevPeak[[#This Row],[DM]]-Indices!C377)/PrevPeak[[#This Row],[DM]]</f>
        <v>8.5702302648403741E-2</v>
      </c>
      <c r="R113" s="18">
        <f>(PrevPeak[[#This Row],[EM ex China]]-Indices!D377)/PrevPeak[[#This Row],[EM ex China]]</f>
        <v>8.6788865599660411E-2</v>
      </c>
      <c r="S113" s="18">
        <f>(PrevPeak[[#This Row],[EM]]-Indices!E377)/PrevPeak[[#This Row],[EM]]</f>
        <v>0.10744751634736725</v>
      </c>
      <c r="T113" s="18">
        <f>(PrevPeak[[#This Row],[Japon]]-Indices!F377)/PrevPeak[[#This Row],[Japon]]</f>
        <v>0.11446105755568667</v>
      </c>
      <c r="U113" s="18">
        <f>(PrevPeak[[#This Row],[Monde]]-Indices!G377)/PrevPeak[[#This Row],[Monde]]</f>
        <v>8.6571732996449408E-2</v>
      </c>
      <c r="V113" s="18">
        <f>(PrevPeak[[#This Row],[RU]]-Indices!H377)/PrevPeak[[#This Row],[RU]]</f>
        <v>4.1581979898935223E-2</v>
      </c>
      <c r="W113" s="18">
        <f>(PrevPeak[[#This Row],[US]]-Indices!I377)/PrevPeak[[#This Row],[US]]</f>
        <v>0.13899217129425079</v>
      </c>
      <c r="X113" s="18">
        <f>(PrevPeak[[#This Row],[France]]-Indices!J377)/PrevPeak[[#This Row],[France]]</f>
        <v>0.11874813249694216</v>
      </c>
      <c r="Y113" s="18">
        <f>(PrevPeak[[#This Row],[Europe]]-Indices!K377)/PrevPeak[[#This Row],[Europe]]</f>
        <v>0.10745422141251075</v>
      </c>
      <c r="Z113" s="18">
        <f>(PrevPeak[[#This Row],[Allemagne]]-Indices!L377)/PrevPeak[[#This Row],[Allemagne]]</f>
        <v>0.10979643123818887</v>
      </c>
      <c r="AA113" s="27">
        <f>YEAR(DD[[#This Row],[Date]])</f>
        <v>2022</v>
      </c>
    </row>
    <row r="114" spans="1:27" x14ac:dyDescent="0.25">
      <c r="A114" s="1">
        <v>44715</v>
      </c>
      <c r="B114">
        <f>IF($A113="Date",Indices!B378,IF(Indices!B378&gt;=B113,Indices!B378,B113))</f>
        <v>2879.4960000000001</v>
      </c>
      <c r="C114">
        <f>IF($A113="Date",Indices!C378,IF(Indices!C378&gt;=C113,Indices!C378,C113))</f>
        <v>293.27100000000002</v>
      </c>
      <c r="D114">
        <f>IF($A113="Date",Indices!D378,IF(Indices!D378&gt;=D113,Indices!D378,D113))</f>
        <v>4363.4859999999999</v>
      </c>
      <c r="E114">
        <f>IF($A113="Date",Indices!E378,IF(Indices!E378&gt;=E113,Indices!E378,E113))</f>
        <v>435.85</v>
      </c>
      <c r="F114">
        <f>IF($A113="Date",Indices!F378,IF(Indices!F378&gt;=F113,Indices!F378,F113))</f>
        <v>182.988</v>
      </c>
      <c r="G114">
        <f>IF($A113="Date",Indices!G378,IF(Indices!G378&gt;=G113,Indices!G378,G113))</f>
        <v>288.13099999999997</v>
      </c>
      <c r="H114">
        <f>IF($A113="Date",Indices!H378,IF(Indices!H378&gt;=H113,Indices!H378,H113))</f>
        <v>107.258</v>
      </c>
      <c r="I114">
        <f>IF($A113="Date",Indices!I378,IF(Indices!I378&gt;=I113,Indices!I378,I113))</f>
        <v>5355.2011460000003</v>
      </c>
      <c r="J114">
        <f>IF($A113="Date",Indices!J378,IF(Indices!J378&gt;=J113,Indices!J378,J113))</f>
        <v>7376.3701170000004</v>
      </c>
      <c r="K114">
        <f>IF($A113="Date",Indices!K378,IF(Indices!K378&gt;=K113,Indices!K378,K113))</f>
        <v>494.35000600000001</v>
      </c>
      <c r="L114">
        <f>IF($A113="Date",Indices!L378,IF(Indices!L378&gt;=L113,Indices!L378,L113))</f>
        <v>16271.75</v>
      </c>
      <c r="O114" s="20">
        <v>44715</v>
      </c>
      <c r="P114" s="17">
        <f>(PrevPeak[[#This Row],[Chine]]-Indices!B378)/PrevPeak[[#This Row],[Chine]]</f>
        <v>0.14912644434998351</v>
      </c>
      <c r="Q114" s="17">
        <f>(PrevPeak[[#This Row],[DM]]-Indices!C378)/PrevPeak[[#This Row],[DM]]</f>
        <v>9.7527542784660026E-2</v>
      </c>
      <c r="R114" s="17">
        <f>(PrevPeak[[#This Row],[EM ex China]]-Indices!D378)/PrevPeak[[#This Row],[EM ex China]]</f>
        <v>8.7666145829274983E-2</v>
      </c>
      <c r="S114" s="17">
        <f>(PrevPeak[[#This Row],[EM]]-Indices!E378)/PrevPeak[[#This Row],[EM]]</f>
        <v>0.10849145348170242</v>
      </c>
      <c r="T114" s="17">
        <f>(PrevPeak[[#This Row],[Japon]]-Indices!F378)/PrevPeak[[#This Row],[Japon]]</f>
        <v>0.11725359039937039</v>
      </c>
      <c r="U114" s="17">
        <f>(PrevPeak[[#This Row],[Monde]]-Indices!G378)/PrevPeak[[#This Row],[Monde]]</f>
        <v>9.7171078433073821E-2</v>
      </c>
      <c r="V114" s="17">
        <f>(PrevPeak[[#This Row],[RU]]-Indices!H378)/PrevPeak[[#This Row],[RU]]</f>
        <v>4.3754312032668871E-2</v>
      </c>
      <c r="W114" s="17">
        <f>(PrevPeak[[#This Row],[US]]-Indices!I378)/PrevPeak[[#This Row],[US]]</f>
        <v>0.15287126901133957</v>
      </c>
      <c r="X114" s="17">
        <f>(PrevPeak[[#This Row],[France]]-Indices!J378)/PrevPeak[[#This Row],[France]]</f>
        <v>0.12080065097959085</v>
      </c>
      <c r="Y114" s="17">
        <f>(PrevPeak[[#This Row],[Europe]]-Indices!K378)/PrevPeak[[#This Row],[Europe]]</f>
        <v>0.10976031018800073</v>
      </c>
      <c r="Z114" s="17">
        <f>(PrevPeak[[#This Row],[Allemagne]]-Indices!L378)/PrevPeak[[#This Row],[Allemagne]]</f>
        <v>0.11133775777036886</v>
      </c>
      <c r="AA114" s="27">
        <f>YEAR(DD[[#This Row],[Date]])</f>
        <v>2022</v>
      </c>
    </row>
    <row r="115" spans="1:27" x14ac:dyDescent="0.25">
      <c r="A115" s="1">
        <v>44718</v>
      </c>
      <c r="B115">
        <f>IF($A114="Date",Indices!B379,IF(Indices!B379&gt;=B114,Indices!B379,B114))</f>
        <v>2879.4960000000001</v>
      </c>
      <c r="C115">
        <f>IF($A114="Date",Indices!C379,IF(Indices!C379&gt;=C114,Indices!C379,C114))</f>
        <v>293.27100000000002</v>
      </c>
      <c r="D115">
        <f>IF($A114="Date",Indices!D379,IF(Indices!D379&gt;=D114,Indices!D379,D114))</f>
        <v>4363.4859999999999</v>
      </c>
      <c r="E115">
        <f>IF($A114="Date",Indices!E379,IF(Indices!E379&gt;=E114,Indices!E379,E114))</f>
        <v>435.85</v>
      </c>
      <c r="F115">
        <f>IF($A114="Date",Indices!F379,IF(Indices!F379&gt;=F114,Indices!F379,F114))</f>
        <v>182.988</v>
      </c>
      <c r="G115">
        <f>IF($A114="Date",Indices!G379,IF(Indices!G379&gt;=G114,Indices!G379,G114))</f>
        <v>288.13099999999997</v>
      </c>
      <c r="H115">
        <f>IF($A114="Date",Indices!H379,IF(Indices!H379&gt;=H114,Indices!H379,H114))</f>
        <v>107.258</v>
      </c>
      <c r="I115">
        <f>IF($A114="Date",Indices!I379,IF(Indices!I379&gt;=I114,Indices!I379,I114))</f>
        <v>5355.2011460000003</v>
      </c>
      <c r="J115">
        <f>IF($A114="Date",Indices!J379,IF(Indices!J379&gt;=J114,Indices!J379,J114))</f>
        <v>7376.3701170000004</v>
      </c>
      <c r="K115">
        <f>IF($A114="Date",Indices!K379,IF(Indices!K379&gt;=K114,Indices!K379,K114))</f>
        <v>494.35000600000001</v>
      </c>
      <c r="L115">
        <f>IF($A114="Date",Indices!L379,IF(Indices!L379&gt;=L114,Indices!L379,L114))</f>
        <v>16271.75</v>
      </c>
      <c r="O115" s="19">
        <v>44718</v>
      </c>
      <c r="P115" s="18">
        <f>(PrevPeak[[#This Row],[Chine]]-Indices!B379)/PrevPeak[[#This Row],[Chine]]</f>
        <v>0.12457770387595607</v>
      </c>
      <c r="Q115" s="18">
        <f>(PrevPeak[[#This Row],[DM]]-Indices!C379)/PrevPeak[[#This Row],[DM]]</f>
        <v>9.3902908913598634E-2</v>
      </c>
      <c r="R115" s="18">
        <f>(PrevPeak[[#This Row],[EM ex China]]-Indices!D379)/PrevPeak[[#This Row],[EM ex China]]</f>
        <v>8.7029957240609898E-2</v>
      </c>
      <c r="S115" s="18">
        <f>(PrevPeak[[#This Row],[EM]]-Indices!E379)/PrevPeak[[#This Row],[EM]]</f>
        <v>9.9463118045199028E-2</v>
      </c>
      <c r="T115" s="18">
        <f>(PrevPeak[[#This Row],[Japon]]-Indices!F379)/PrevPeak[[#This Row],[Japon]]</f>
        <v>0.1187837453822108</v>
      </c>
      <c r="U115" s="18">
        <f>(PrevPeak[[#This Row],[Monde]]-Indices!G379)/PrevPeak[[#This Row],[Monde]]</f>
        <v>9.2919540070315138E-2</v>
      </c>
      <c r="V115" s="18">
        <f>(PrevPeak[[#This Row],[RU]]-Indices!H379)/PrevPeak[[#This Row],[RU]]</f>
        <v>3.1410244457289897E-2</v>
      </c>
      <c r="W115" s="18">
        <f>(PrevPeak[[#This Row],[US]]-Indices!I379)/PrevPeak[[#This Row],[US]]</f>
        <v>0.15005331454266915</v>
      </c>
      <c r="X115" s="18">
        <f>(PrevPeak[[#This Row],[France]]-Indices!J379)/PrevPeak[[#This Row],[France]]</f>
        <v>0.11219479484803631</v>
      </c>
      <c r="Y115" s="18">
        <f>(PrevPeak[[#This Row],[Europe]]-Indices!K379)/PrevPeak[[#This Row],[Europe]]</f>
        <v>0.10976031018800073</v>
      </c>
      <c r="Z115" s="18">
        <f>(PrevPeak[[#This Row],[Allemagne]]-Indices!L379)/PrevPeak[[#This Row],[Allemagne]]</f>
        <v>9.9432478375097985E-2</v>
      </c>
      <c r="AA115" s="27">
        <f>YEAR(DD[[#This Row],[Date]])</f>
        <v>2022</v>
      </c>
    </row>
    <row r="116" spans="1:27" x14ac:dyDescent="0.25">
      <c r="A116" s="1">
        <v>44719</v>
      </c>
      <c r="B116">
        <f>IF($A115="Date",Indices!B380,IF(Indices!B380&gt;=B115,Indices!B380,B115))</f>
        <v>2879.4960000000001</v>
      </c>
      <c r="C116">
        <f>IF($A115="Date",Indices!C380,IF(Indices!C380&gt;=C115,Indices!C380,C115))</f>
        <v>293.27100000000002</v>
      </c>
      <c r="D116">
        <f>IF($A115="Date",Indices!D380,IF(Indices!D380&gt;=D115,Indices!D380,D115))</f>
        <v>4363.4859999999999</v>
      </c>
      <c r="E116">
        <f>IF($A115="Date",Indices!E380,IF(Indices!E380&gt;=E115,Indices!E380,E115))</f>
        <v>435.85</v>
      </c>
      <c r="F116">
        <f>IF($A115="Date",Indices!F380,IF(Indices!F380&gt;=F115,Indices!F380,F115))</f>
        <v>182.988</v>
      </c>
      <c r="G116">
        <f>IF($A115="Date",Indices!G380,IF(Indices!G380&gt;=G115,Indices!G380,G115))</f>
        <v>288.13099999999997</v>
      </c>
      <c r="H116">
        <f>IF($A115="Date",Indices!H380,IF(Indices!H380&gt;=H115,Indices!H380,H115))</f>
        <v>107.258</v>
      </c>
      <c r="I116">
        <f>IF($A115="Date",Indices!I380,IF(Indices!I380&gt;=I115,Indices!I380,I115))</f>
        <v>5355.2011460000003</v>
      </c>
      <c r="J116">
        <f>IF($A115="Date",Indices!J380,IF(Indices!J380&gt;=J115,Indices!J380,J115))</f>
        <v>7376.3701170000004</v>
      </c>
      <c r="K116">
        <f>IF($A115="Date",Indices!K380,IF(Indices!K380&gt;=K115,Indices!K380,K115))</f>
        <v>494.35000600000001</v>
      </c>
      <c r="L116">
        <f>IF($A115="Date",Indices!L380,IF(Indices!L380&gt;=L115,Indices!L380,L115))</f>
        <v>16271.75</v>
      </c>
      <c r="O116" s="20">
        <v>44719</v>
      </c>
      <c r="P116" s="17">
        <f>(PrevPeak[[#This Row],[Chine]]-Indices!B380)/PrevPeak[[#This Row],[Chine]]</f>
        <v>0.12196162106146356</v>
      </c>
      <c r="Q116" s="17">
        <f>(PrevPeak[[#This Row],[DM]]-Indices!C380)/PrevPeak[[#This Row],[DM]]</f>
        <v>8.7594750248064152E-2</v>
      </c>
      <c r="R116" s="17">
        <f>(PrevPeak[[#This Row],[EM ex China]]-Indices!D380)/PrevPeak[[#This Row],[EM ex China]]</f>
        <v>9.9622182814382773E-2</v>
      </c>
      <c r="S116" s="17">
        <f>(PrevPeak[[#This Row],[EM]]-Indices!E380)/PrevPeak[[#This Row],[EM]]</f>
        <v>0.10688310198462782</v>
      </c>
      <c r="T116" s="17">
        <f>(PrevPeak[[#This Row],[Japon]]-Indices!F380)/PrevPeak[[#This Row],[Japon]]</f>
        <v>0.12169103984960764</v>
      </c>
      <c r="U116" s="17">
        <f>(PrevPeak[[#This Row],[Monde]]-Indices!G380)/PrevPeak[[#This Row],[Monde]]</f>
        <v>8.8182111608955518E-2</v>
      </c>
      <c r="V116" s="17">
        <f>(PrevPeak[[#This Row],[RU]]-Indices!H380)/PrevPeak[[#This Row],[RU]]</f>
        <v>2.8678513490835122E-2</v>
      </c>
      <c r="W116" s="17">
        <f>(PrevPeak[[#This Row],[US]]-Indices!I380)/PrevPeak[[#This Row],[US]]</f>
        <v>0.14129353433627312</v>
      </c>
      <c r="X116" s="17">
        <f>(PrevPeak[[#This Row],[France]]-Indices!J380)/PrevPeak[[#This Row],[France]]</f>
        <v>0.1187603123358839</v>
      </c>
      <c r="Y116" s="17">
        <f>(PrevPeak[[#This Row],[Europe]]-Indices!K380)/PrevPeak[[#This Row],[Europe]]</f>
        <v>0.10411651739719009</v>
      </c>
      <c r="Z116" s="17">
        <f>(PrevPeak[[#This Row],[Allemagne]]-Indices!L380)/PrevPeak[[#This Row],[Allemagne]]</f>
        <v>0.10540537311598325</v>
      </c>
      <c r="AA116" s="27">
        <f>YEAR(DD[[#This Row],[Date]])</f>
        <v>2022</v>
      </c>
    </row>
    <row r="117" spans="1:27" x14ac:dyDescent="0.25">
      <c r="A117" s="1">
        <v>44720</v>
      </c>
      <c r="B117">
        <f>IF($A116="Date",Indices!B381,IF(Indices!B381&gt;=B116,Indices!B381,B116))</f>
        <v>2879.4960000000001</v>
      </c>
      <c r="C117">
        <f>IF($A116="Date",Indices!C381,IF(Indices!C381&gt;=C116,Indices!C381,C116))</f>
        <v>293.27100000000002</v>
      </c>
      <c r="D117">
        <f>IF($A116="Date",Indices!D381,IF(Indices!D381&gt;=D116,Indices!D381,D116))</f>
        <v>4363.4859999999999</v>
      </c>
      <c r="E117">
        <f>IF($A116="Date",Indices!E381,IF(Indices!E381&gt;=E116,Indices!E381,E116))</f>
        <v>435.85</v>
      </c>
      <c r="F117">
        <f>IF($A116="Date",Indices!F381,IF(Indices!F381&gt;=F116,Indices!F381,F116))</f>
        <v>182.988</v>
      </c>
      <c r="G117">
        <f>IF($A116="Date",Indices!G381,IF(Indices!G381&gt;=G116,Indices!G381,G116))</f>
        <v>288.13099999999997</v>
      </c>
      <c r="H117">
        <f>IF($A116="Date",Indices!H381,IF(Indices!H381&gt;=H116,Indices!H381,H116))</f>
        <v>107.258</v>
      </c>
      <c r="I117">
        <f>IF($A116="Date",Indices!I381,IF(Indices!I381&gt;=I116,Indices!I381,I116))</f>
        <v>5355.2011460000003</v>
      </c>
      <c r="J117">
        <f>IF($A116="Date",Indices!J381,IF(Indices!J381&gt;=J116,Indices!J381,J116))</f>
        <v>7376.3701170000004</v>
      </c>
      <c r="K117">
        <f>IF($A116="Date",Indices!K381,IF(Indices!K381&gt;=K116,Indices!K381,K116))</f>
        <v>494.35000600000001</v>
      </c>
      <c r="L117">
        <f>IF($A116="Date",Indices!L381,IF(Indices!L381&gt;=L116,Indices!L381,L116))</f>
        <v>16271.75</v>
      </c>
      <c r="O117" s="19">
        <v>44720</v>
      </c>
      <c r="P117" s="18">
        <f>(PrevPeak[[#This Row],[Chine]]-Indices!B381)/PrevPeak[[#This Row],[Chine]]</f>
        <v>0.10320868652014113</v>
      </c>
      <c r="Q117" s="18">
        <f>(PrevPeak[[#This Row],[DM]]-Indices!C381)/PrevPeak[[#This Row],[DM]]</f>
        <v>9.6954693781519566E-2</v>
      </c>
      <c r="R117" s="18">
        <f>(PrevPeak[[#This Row],[EM ex China]]-Indices!D381)/PrevPeak[[#This Row],[EM ex China]]</f>
        <v>0.1010568155827703</v>
      </c>
      <c r="S117" s="18">
        <f>(PrevPeak[[#This Row],[EM]]-Indices!E381)/PrevPeak[[#This Row],[EM]]</f>
        <v>9.8366410462315118E-2</v>
      </c>
      <c r="T117" s="18">
        <f>(PrevPeak[[#This Row],[Japon]]-Indices!F381)/PrevPeak[[#This Row],[Japon]]</f>
        <v>0.12262552735698512</v>
      </c>
      <c r="U117" s="18">
        <f>(PrevPeak[[#This Row],[Monde]]-Indices!G381)/PrevPeak[[#This Row],[Monde]]</f>
        <v>9.5494757592900409E-2</v>
      </c>
      <c r="V117" s="18">
        <f>(PrevPeak[[#This Row],[RU]]-Indices!H381)/PrevPeak[[#This Row],[RU]]</f>
        <v>3.3908892576777497E-2</v>
      </c>
      <c r="W117" s="18">
        <f>(PrevPeak[[#This Row],[US]]-Indices!I381)/PrevPeak[[#This Row],[US]]</f>
        <v>0.15073437411458154</v>
      </c>
      <c r="X117" s="18">
        <f>(PrevPeak[[#This Row],[France]]-Indices!J381)/PrevPeak[[#This Row],[France]]</f>
        <v>0.12577192023782513</v>
      </c>
      <c r="Y117" s="18">
        <f>(PrevPeak[[#This Row],[Europe]]-Indices!K381)/PrevPeak[[#This Row],[Europe]]</f>
        <v>0.1091939118940761</v>
      </c>
      <c r="Z117" s="18">
        <f>(PrevPeak[[#This Row],[Allemagne]]-Indices!L381)/PrevPeak[[#This Row],[Allemagne]]</f>
        <v>0.11220426628973532</v>
      </c>
      <c r="AA117" s="27">
        <f>YEAR(DD[[#This Row],[Date]])</f>
        <v>2022</v>
      </c>
    </row>
    <row r="118" spans="1:27" x14ac:dyDescent="0.25">
      <c r="A118" s="1">
        <v>44721</v>
      </c>
      <c r="B118">
        <f>IF($A117="Date",Indices!B382,IF(Indices!B382&gt;=B117,Indices!B382,B117))</f>
        <v>2879.4960000000001</v>
      </c>
      <c r="C118">
        <f>IF($A117="Date",Indices!C382,IF(Indices!C382&gt;=C117,Indices!C382,C117))</f>
        <v>293.27100000000002</v>
      </c>
      <c r="D118">
        <f>IF($A117="Date",Indices!D382,IF(Indices!D382&gt;=D117,Indices!D382,D117))</f>
        <v>4363.4859999999999</v>
      </c>
      <c r="E118">
        <f>IF($A117="Date",Indices!E382,IF(Indices!E382&gt;=E117,Indices!E382,E117))</f>
        <v>435.85</v>
      </c>
      <c r="F118">
        <f>IF($A117="Date",Indices!F382,IF(Indices!F382&gt;=F117,Indices!F382,F117))</f>
        <v>182.988</v>
      </c>
      <c r="G118">
        <f>IF($A117="Date",Indices!G382,IF(Indices!G382&gt;=G117,Indices!G382,G117))</f>
        <v>288.13099999999997</v>
      </c>
      <c r="H118">
        <f>IF($A117="Date",Indices!H382,IF(Indices!H382&gt;=H117,Indices!H382,H117))</f>
        <v>107.258</v>
      </c>
      <c r="I118">
        <f>IF($A117="Date",Indices!I382,IF(Indices!I382&gt;=I117,Indices!I382,I117))</f>
        <v>5355.2011460000003</v>
      </c>
      <c r="J118">
        <f>IF($A117="Date",Indices!J382,IF(Indices!J382&gt;=J117,Indices!J382,J117))</f>
        <v>7376.3701170000004</v>
      </c>
      <c r="K118">
        <f>IF($A117="Date",Indices!K382,IF(Indices!K382&gt;=K117,Indices!K382,K117))</f>
        <v>494.35000600000001</v>
      </c>
      <c r="L118">
        <f>IF($A117="Date",Indices!L382,IF(Indices!L382&gt;=L117,Indices!L382,L117))</f>
        <v>16271.75</v>
      </c>
      <c r="O118" s="20">
        <v>44721</v>
      </c>
      <c r="P118" s="17">
        <f>(PrevPeak[[#This Row],[Chine]]-Indices!B382)/PrevPeak[[#This Row],[Chine]]</f>
        <v>0.10636409982858114</v>
      </c>
      <c r="Q118" s="17">
        <f>(PrevPeak[[#This Row],[DM]]-Indices!C382)/PrevPeak[[#This Row],[DM]]</f>
        <v>0.11017454845518321</v>
      </c>
      <c r="R118" s="17">
        <f>(PrevPeak[[#This Row],[EM ex China]]-Indices!D382)/PrevPeak[[#This Row],[EM ex China]]</f>
        <v>9.7707658509732814E-2</v>
      </c>
      <c r="S118" s="17">
        <f>(PrevPeak[[#This Row],[EM]]-Indices!E382)/PrevPeak[[#This Row],[EM]]</f>
        <v>9.7086153493174246E-2</v>
      </c>
      <c r="T118" s="17">
        <f>(PrevPeak[[#This Row],[Japon]]-Indices!F382)/PrevPeak[[#This Row],[Japon]]</f>
        <v>0.11893129604127049</v>
      </c>
      <c r="U118" s="17">
        <f>(PrevPeak[[#This Row],[Monde]]-Indices!G382)/PrevPeak[[#This Row],[Monde]]</f>
        <v>0.10706241258316515</v>
      </c>
      <c r="V118" s="17">
        <f>(PrevPeak[[#This Row],[RU]]-Indices!H382)/PrevPeak[[#This Row],[RU]]</f>
        <v>4.2486341345167745E-2</v>
      </c>
      <c r="W118" s="17">
        <f>(PrevPeak[[#This Row],[US]]-Indices!I382)/PrevPeak[[#This Row],[US]]</f>
        <v>0.17128825173731391</v>
      </c>
      <c r="X118" s="17">
        <f>(PrevPeak[[#This Row],[France]]-Indices!J382)/PrevPeak[[#This Row],[France]]</f>
        <v>0.13799607935264357</v>
      </c>
      <c r="Y118" s="17">
        <f>(PrevPeak[[#This Row],[Europe]]-Indices!K382)/PrevPeak[[#This Row],[Europe]]</f>
        <v>0.12131081272809779</v>
      </c>
      <c r="Z118" s="17">
        <f>(PrevPeak[[#This Row],[Allemagne]]-Indices!L382)/PrevPeak[[#This Row],[Allemagne]]</f>
        <v>0.12739565135895031</v>
      </c>
      <c r="AA118" s="27">
        <f>YEAR(DD[[#This Row],[Date]])</f>
        <v>2022</v>
      </c>
    </row>
    <row r="119" spans="1:27" x14ac:dyDescent="0.25">
      <c r="A119" s="1">
        <v>44722</v>
      </c>
      <c r="B119">
        <f>IF($A118="Date",Indices!B383,IF(Indices!B383&gt;=B118,Indices!B383,B118))</f>
        <v>2879.4960000000001</v>
      </c>
      <c r="C119">
        <f>IF($A118="Date",Indices!C383,IF(Indices!C383&gt;=C118,Indices!C383,C118))</f>
        <v>293.27100000000002</v>
      </c>
      <c r="D119">
        <f>IF($A118="Date",Indices!D383,IF(Indices!D383&gt;=D118,Indices!D383,D118))</f>
        <v>4363.4859999999999</v>
      </c>
      <c r="E119">
        <f>IF($A118="Date",Indices!E383,IF(Indices!E383&gt;=E118,Indices!E383,E118))</f>
        <v>435.85</v>
      </c>
      <c r="F119">
        <f>IF($A118="Date",Indices!F383,IF(Indices!F383&gt;=F118,Indices!F383,F118))</f>
        <v>182.988</v>
      </c>
      <c r="G119">
        <f>IF($A118="Date",Indices!G383,IF(Indices!G383&gt;=G118,Indices!G383,G118))</f>
        <v>288.13099999999997</v>
      </c>
      <c r="H119">
        <f>IF($A118="Date",Indices!H383,IF(Indices!H383&gt;=H118,Indices!H383,H118))</f>
        <v>107.258</v>
      </c>
      <c r="I119">
        <f>IF($A118="Date",Indices!I383,IF(Indices!I383&gt;=I118,Indices!I383,I118))</f>
        <v>5355.2011460000003</v>
      </c>
      <c r="J119">
        <f>IF($A118="Date",Indices!J383,IF(Indices!J383&gt;=J118,Indices!J383,J118))</f>
        <v>7376.3701170000004</v>
      </c>
      <c r="K119">
        <f>IF($A118="Date",Indices!K383,IF(Indices!K383&gt;=K118,Indices!K383,K118))</f>
        <v>494.35000600000001</v>
      </c>
      <c r="L119">
        <f>IF($A118="Date",Indices!L383,IF(Indices!L383&gt;=L118,Indices!L383,L118))</f>
        <v>16271.75</v>
      </c>
      <c r="O119" s="19">
        <v>44722</v>
      </c>
      <c r="P119" s="18">
        <f>(PrevPeak[[#This Row],[Chine]]-Indices!B383)/PrevPeak[[#This Row],[Chine]]</f>
        <v>8.8980502143430673E-2</v>
      </c>
      <c r="Q119" s="18">
        <f>(PrevPeak[[#This Row],[DM]]-Indices!C383)/PrevPeak[[#This Row],[DM]]</f>
        <v>0.12653484319963459</v>
      </c>
      <c r="R119" s="18">
        <f>(PrevPeak[[#This Row],[EM ex China]]-Indices!D383)/PrevPeak[[#This Row],[EM ex China]]</f>
        <v>0.10444928664833575</v>
      </c>
      <c r="S119" s="18">
        <f>(PrevPeak[[#This Row],[EM]]-Indices!E383)/PrevPeak[[#This Row],[EM]]</f>
        <v>9.7501433979580207E-2</v>
      </c>
      <c r="T119" s="18">
        <f>(PrevPeak[[#This Row],[Japon]]-Indices!F383)/PrevPeak[[#This Row],[Japon]]</f>
        <v>0.12060353684394599</v>
      </c>
      <c r="U119" s="18">
        <f>(PrevPeak[[#This Row],[Monde]]-Indices!G383)/PrevPeak[[#This Row],[Monde]]</f>
        <v>0.12161135039270321</v>
      </c>
      <c r="V119" s="18">
        <f>(PrevPeak[[#This Row],[RU]]-Indices!H383)/PrevPeak[[#This Row],[RU]]</f>
        <v>6.5925152436181897E-2</v>
      </c>
      <c r="W119" s="18">
        <f>(PrevPeak[[#This Row],[US]]-Indices!I383)/PrevPeak[[#This Row],[US]]</f>
        <v>0.19582930209508895</v>
      </c>
      <c r="X119" s="18">
        <f>(PrevPeak[[#This Row],[France]]-Indices!J383)/PrevPeak[[#This Row],[France]]</f>
        <v>0.16120939135896131</v>
      </c>
      <c r="Y119" s="18">
        <f>(PrevPeak[[#This Row],[Europe]]-Indices!K383)/PrevPeak[[#This Row],[Europe]]</f>
        <v>0.14491759710831278</v>
      </c>
      <c r="Z119" s="18">
        <f>(PrevPeak[[#This Row],[Allemagne]]-Indices!L383)/PrevPeak[[#This Row],[Allemagne]]</f>
        <v>0.15425015256502836</v>
      </c>
      <c r="AA119" s="27">
        <f>YEAR(DD[[#This Row],[Date]])</f>
        <v>2022</v>
      </c>
    </row>
    <row r="120" spans="1:27" x14ac:dyDescent="0.25">
      <c r="A120" s="1">
        <v>44725</v>
      </c>
      <c r="B120">
        <f>IF($A119="Date",Indices!B384,IF(Indices!B384&gt;=B119,Indices!B384,B119))</f>
        <v>2879.4960000000001</v>
      </c>
      <c r="C120">
        <f>IF($A119="Date",Indices!C384,IF(Indices!C384&gt;=C119,Indices!C384,C119))</f>
        <v>293.27100000000002</v>
      </c>
      <c r="D120">
        <f>IF($A119="Date",Indices!D384,IF(Indices!D384&gt;=D119,Indices!D384,D119))</f>
        <v>4363.4859999999999</v>
      </c>
      <c r="E120">
        <f>IF($A119="Date",Indices!E384,IF(Indices!E384&gt;=E119,Indices!E384,E119))</f>
        <v>435.85</v>
      </c>
      <c r="F120">
        <f>IF($A119="Date",Indices!F384,IF(Indices!F384&gt;=F119,Indices!F384,F119))</f>
        <v>182.988</v>
      </c>
      <c r="G120">
        <f>IF($A119="Date",Indices!G384,IF(Indices!G384&gt;=G119,Indices!G384,G119))</f>
        <v>288.13099999999997</v>
      </c>
      <c r="H120">
        <f>IF($A119="Date",Indices!H384,IF(Indices!H384&gt;=H119,Indices!H384,H119))</f>
        <v>107.258</v>
      </c>
      <c r="I120">
        <f>IF($A119="Date",Indices!I384,IF(Indices!I384&gt;=I119,Indices!I384,I119))</f>
        <v>5355.2011460000003</v>
      </c>
      <c r="J120">
        <f>IF($A119="Date",Indices!J384,IF(Indices!J384&gt;=J119,Indices!J384,J119))</f>
        <v>7376.3701170000004</v>
      </c>
      <c r="K120">
        <f>IF($A119="Date",Indices!K384,IF(Indices!K384&gt;=K119,Indices!K384,K119))</f>
        <v>494.35000600000001</v>
      </c>
      <c r="L120">
        <f>IF($A119="Date",Indices!L384,IF(Indices!L384&gt;=L119,Indices!L384,L119))</f>
        <v>16271.75</v>
      </c>
      <c r="O120" s="20">
        <v>44725</v>
      </c>
      <c r="P120" s="17">
        <f>(PrevPeak[[#This Row],[Chine]]-Indices!B384)/PrevPeak[[#This Row],[Chine]]</f>
        <v>0.10744310809947298</v>
      </c>
      <c r="Q120" s="17">
        <f>(PrevPeak[[#This Row],[DM]]-Indices!C384)/PrevPeak[[#This Row],[DM]]</f>
        <v>0.14977273579726602</v>
      </c>
      <c r="R120" s="17">
        <f>(PrevPeak[[#This Row],[EM ex China]]-Indices!D384)/PrevPeak[[#This Row],[EM ex China]]</f>
        <v>0.12616357655324206</v>
      </c>
      <c r="S120" s="17">
        <f>(PrevPeak[[#This Row],[EM]]-Indices!E384)/PrevPeak[[#This Row],[EM]]</f>
        <v>0.12116324423540215</v>
      </c>
      <c r="T120" s="17">
        <f>(PrevPeak[[#This Row],[Japon]]-Indices!F384)/PrevPeak[[#This Row],[Japon]]</f>
        <v>0.13037466937722691</v>
      </c>
      <c r="U120" s="17">
        <f>(PrevPeak[[#This Row],[Monde]]-Indices!G384)/PrevPeak[[#This Row],[Monde]]</f>
        <v>0.14494101641267332</v>
      </c>
      <c r="V120" s="17">
        <f>(PrevPeak[[#This Row],[RU]]-Indices!H384)/PrevPeak[[#This Row],[RU]]</f>
        <v>8.5401555128754941E-2</v>
      </c>
      <c r="W120" s="17">
        <f>(PrevPeak[[#This Row],[US]]-Indices!I384)/PrevPeak[[#This Row],[US]]</f>
        <v>0.22885655208589617</v>
      </c>
      <c r="X120" s="17">
        <f>(PrevPeak[[#This Row],[France]]-Indices!J384)/PrevPeak[[#This Row],[France]]</f>
        <v>0.18356593711036534</v>
      </c>
      <c r="Y120" s="17">
        <f>(PrevPeak[[#This Row],[Europe]]-Indices!K384)/PrevPeak[[#This Row],[Europe]]</f>
        <v>0.16553052696837633</v>
      </c>
      <c r="Z120" s="17">
        <f>(PrevPeak[[#This Row],[Allemagne]]-Indices!L384)/PrevPeak[[#This Row],[Allemagne]]</f>
        <v>0.17482567824603995</v>
      </c>
      <c r="AA120" s="27">
        <f>YEAR(DD[[#This Row],[Date]])</f>
        <v>2022</v>
      </c>
    </row>
    <row r="121" spans="1:27" x14ac:dyDescent="0.25">
      <c r="A121" s="1">
        <v>44726</v>
      </c>
      <c r="B121">
        <f>IF($A120="Date",Indices!B385,IF(Indices!B385&gt;=B120,Indices!B385,B120))</f>
        <v>2879.4960000000001</v>
      </c>
      <c r="C121">
        <f>IF($A120="Date",Indices!C385,IF(Indices!C385&gt;=C120,Indices!C385,C120))</f>
        <v>293.27100000000002</v>
      </c>
      <c r="D121">
        <f>IF($A120="Date",Indices!D385,IF(Indices!D385&gt;=D120,Indices!D385,D120))</f>
        <v>4363.4859999999999</v>
      </c>
      <c r="E121">
        <f>IF($A120="Date",Indices!E385,IF(Indices!E385&gt;=E120,Indices!E385,E120))</f>
        <v>435.85</v>
      </c>
      <c r="F121">
        <f>IF($A120="Date",Indices!F385,IF(Indices!F385&gt;=F120,Indices!F385,F120))</f>
        <v>182.988</v>
      </c>
      <c r="G121">
        <f>IF($A120="Date",Indices!G385,IF(Indices!G385&gt;=G120,Indices!G385,G120))</f>
        <v>288.13099999999997</v>
      </c>
      <c r="H121">
        <f>IF($A120="Date",Indices!H385,IF(Indices!H385&gt;=H120,Indices!H385,H120))</f>
        <v>107.258</v>
      </c>
      <c r="I121">
        <f>IF($A120="Date",Indices!I385,IF(Indices!I385&gt;=I120,Indices!I385,I120))</f>
        <v>5355.2011460000003</v>
      </c>
      <c r="J121">
        <f>IF($A120="Date",Indices!J385,IF(Indices!J385&gt;=J120,Indices!J385,J120))</f>
        <v>7376.3701170000004</v>
      </c>
      <c r="K121">
        <f>IF($A120="Date",Indices!K385,IF(Indices!K385&gt;=K120,Indices!K385,K120))</f>
        <v>494.35000600000001</v>
      </c>
      <c r="L121">
        <f>IF($A120="Date",Indices!L385,IF(Indices!L385&gt;=L120,Indices!L385,L120))</f>
        <v>16271.75</v>
      </c>
      <c r="O121" s="19">
        <v>44726</v>
      </c>
      <c r="P121" s="18">
        <f>(PrevPeak[[#This Row],[Chine]]-Indices!B385)/PrevPeak[[#This Row],[Chine]]</f>
        <v>0.10075652128011296</v>
      </c>
      <c r="Q121" s="18">
        <f>(PrevPeak[[#This Row],[DM]]-Indices!C385)/PrevPeak[[#This Row],[DM]]</f>
        <v>0.15520116206512072</v>
      </c>
      <c r="R121" s="18">
        <f>(PrevPeak[[#This Row],[EM ex China]]-Indices!D385)/PrevPeak[[#This Row],[EM ex China]]</f>
        <v>0.12594448567040201</v>
      </c>
      <c r="S121" s="18">
        <f>(PrevPeak[[#This Row],[EM]]-Indices!E385)/PrevPeak[[#This Row],[EM]]</f>
        <v>0.11892853045772636</v>
      </c>
      <c r="T121" s="18">
        <f>(PrevPeak[[#This Row],[Japon]]-Indices!F385)/PrevPeak[[#This Row],[Japon]]</f>
        <v>0.1454904146720003</v>
      </c>
      <c r="U121" s="18">
        <f>(PrevPeak[[#This Row],[Monde]]-Indices!G385)/PrevPeak[[#This Row],[Monde]]</f>
        <v>0.14949450076527687</v>
      </c>
      <c r="V121" s="18">
        <f>(PrevPeak[[#This Row],[RU]]-Indices!H385)/PrevPeak[[#This Row],[RU]]</f>
        <v>9.6123366089242782E-2</v>
      </c>
      <c r="W121" s="18">
        <f>(PrevPeak[[#This Row],[US]]-Indices!I385)/PrevPeak[[#This Row],[US]]</f>
        <v>0.23170713782185923</v>
      </c>
      <c r="X121" s="18">
        <f>(PrevPeak[[#This Row],[France]]-Indices!J385)/PrevPeak[[#This Row],[France]]</f>
        <v>0.19339190555424243</v>
      </c>
      <c r="Y121" s="18">
        <f>(PrevPeak[[#This Row],[Europe]]-Indices!K385)/PrevPeak[[#This Row],[Europe]]</f>
        <v>0.17604935358289453</v>
      </c>
      <c r="Z121" s="18">
        <f>(PrevPeak[[#This Row],[Allemagne]]-Indices!L385)/PrevPeak[[#This Row],[Allemagne]]</f>
        <v>0.18236270530213411</v>
      </c>
      <c r="AA121" s="27">
        <f>YEAR(DD[[#This Row],[Date]])</f>
        <v>2022</v>
      </c>
    </row>
    <row r="122" spans="1:27" x14ac:dyDescent="0.25">
      <c r="A122" s="1">
        <v>44727</v>
      </c>
      <c r="B122">
        <f>IF($A121="Date",Indices!B386,IF(Indices!B386&gt;=B121,Indices!B386,B121))</f>
        <v>2879.4960000000001</v>
      </c>
      <c r="C122">
        <f>IF($A121="Date",Indices!C386,IF(Indices!C386&gt;=C121,Indices!C386,C121))</f>
        <v>293.27100000000002</v>
      </c>
      <c r="D122">
        <f>IF($A121="Date",Indices!D386,IF(Indices!D386&gt;=D121,Indices!D386,D121))</f>
        <v>4363.4859999999999</v>
      </c>
      <c r="E122">
        <f>IF($A121="Date",Indices!E386,IF(Indices!E386&gt;=E121,Indices!E386,E121))</f>
        <v>435.85</v>
      </c>
      <c r="F122">
        <f>IF($A121="Date",Indices!F386,IF(Indices!F386&gt;=F121,Indices!F386,F121))</f>
        <v>182.988</v>
      </c>
      <c r="G122">
        <f>IF($A121="Date",Indices!G386,IF(Indices!G386&gt;=G121,Indices!G386,G121))</f>
        <v>288.13099999999997</v>
      </c>
      <c r="H122">
        <f>IF($A121="Date",Indices!H386,IF(Indices!H386&gt;=H121,Indices!H386,H121))</f>
        <v>107.258</v>
      </c>
      <c r="I122">
        <f>IF($A121="Date",Indices!I386,IF(Indices!I386&gt;=I121,Indices!I386,I121))</f>
        <v>5355.2011460000003</v>
      </c>
      <c r="J122">
        <f>IF($A121="Date",Indices!J386,IF(Indices!J386&gt;=J121,Indices!J386,J121))</f>
        <v>7376.3701170000004</v>
      </c>
      <c r="K122">
        <f>IF($A121="Date",Indices!K386,IF(Indices!K386&gt;=K121,Indices!K386,K121))</f>
        <v>494.35000600000001</v>
      </c>
      <c r="L122">
        <f>IF($A121="Date",Indices!L386,IF(Indices!L386&gt;=L121,Indices!L386,L121))</f>
        <v>16271.75</v>
      </c>
      <c r="O122" s="20">
        <v>44727</v>
      </c>
      <c r="P122" s="17">
        <f>(PrevPeak[[#This Row],[Chine]]-Indices!B386)/PrevPeak[[#This Row],[Chine]]</f>
        <v>8.8386995501990695E-2</v>
      </c>
      <c r="Q122" s="17">
        <f>(PrevPeak[[#This Row],[DM]]-Indices!C386)/PrevPeak[[#This Row],[DM]]</f>
        <v>0.1449035192705723</v>
      </c>
      <c r="R122" s="17">
        <f>(PrevPeak[[#This Row],[EM ex China]]-Indices!D386)/PrevPeak[[#This Row],[EM ex China]]</f>
        <v>0.13025044654663726</v>
      </c>
      <c r="S122" s="17">
        <f>(PrevPeak[[#This Row],[EM]]-Indices!E386)/PrevPeak[[#This Row],[EM]]</f>
        <v>0.11699896753470236</v>
      </c>
      <c r="T122" s="17">
        <f>(PrevPeak[[#This Row],[Japon]]-Indices!F386)/PrevPeak[[#This Row],[Japon]]</f>
        <v>0.1554910704527073</v>
      </c>
      <c r="U122" s="17">
        <f>(PrevPeak[[#This Row],[Monde]]-Indices!G386)/PrevPeak[[#This Row],[Monde]]</f>
        <v>0.14014458701076932</v>
      </c>
      <c r="V122" s="17">
        <f>(PrevPeak[[#This Row],[RU]]-Indices!H386)/PrevPeak[[#This Row],[RU]]</f>
        <v>8.1634936321766216E-2</v>
      </c>
      <c r="W122" s="17">
        <f>(PrevPeak[[#This Row],[US]]-Indices!I386)/PrevPeak[[#This Row],[US]]</f>
        <v>0.22001003993660259</v>
      </c>
      <c r="X122" s="17">
        <f>(PrevPeak[[#This Row],[France]]-Indices!J386)/PrevPeak[[#This Row],[France]]</f>
        <v>0.18250714276082478</v>
      </c>
      <c r="Y122" s="17">
        <f>(PrevPeak[[#This Row],[Europe]]-Indices!K386)/PrevPeak[[#This Row],[Europe]]</f>
        <v>0.16435723478073549</v>
      </c>
      <c r="Z122" s="17">
        <f>(PrevPeak[[#This Row],[Allemagne]]-Indices!L386)/PrevPeak[[#This Row],[Allemagne]]</f>
        <v>0.17124525389094597</v>
      </c>
      <c r="AA122" s="27">
        <f>YEAR(DD[[#This Row],[Date]])</f>
        <v>2022</v>
      </c>
    </row>
    <row r="123" spans="1:27" x14ac:dyDescent="0.25">
      <c r="A123" s="1">
        <v>44728</v>
      </c>
      <c r="B123">
        <f>IF($A122="Date",Indices!B387,IF(Indices!B387&gt;=B122,Indices!B387,B122))</f>
        <v>2879.4960000000001</v>
      </c>
      <c r="C123">
        <f>IF($A122="Date",Indices!C387,IF(Indices!C387&gt;=C122,Indices!C387,C122))</f>
        <v>293.27100000000002</v>
      </c>
      <c r="D123">
        <f>IF($A122="Date",Indices!D387,IF(Indices!D387&gt;=D122,Indices!D387,D122))</f>
        <v>4363.4859999999999</v>
      </c>
      <c r="E123">
        <f>IF($A122="Date",Indices!E387,IF(Indices!E387&gt;=E122,Indices!E387,E122))</f>
        <v>435.85</v>
      </c>
      <c r="F123">
        <f>IF($A122="Date",Indices!F387,IF(Indices!F387&gt;=F122,Indices!F387,F122))</f>
        <v>182.988</v>
      </c>
      <c r="G123">
        <f>IF($A122="Date",Indices!G387,IF(Indices!G387&gt;=G122,Indices!G387,G122))</f>
        <v>288.13099999999997</v>
      </c>
      <c r="H123">
        <f>IF($A122="Date",Indices!H387,IF(Indices!H387&gt;=H122,Indices!H387,H122))</f>
        <v>107.258</v>
      </c>
      <c r="I123">
        <f>IF($A122="Date",Indices!I387,IF(Indices!I387&gt;=I122,Indices!I387,I122))</f>
        <v>5355.2011460000003</v>
      </c>
      <c r="J123">
        <f>IF($A122="Date",Indices!J387,IF(Indices!J387&gt;=J122,Indices!J387,J122))</f>
        <v>7376.3701170000004</v>
      </c>
      <c r="K123">
        <f>IF($A122="Date",Indices!K387,IF(Indices!K387&gt;=K122,Indices!K387,K122))</f>
        <v>494.35000600000001</v>
      </c>
      <c r="L123">
        <f>IF($A122="Date",Indices!L387,IF(Indices!L387&gt;=L122,Indices!L387,L122))</f>
        <v>16271.75</v>
      </c>
      <c r="O123" s="19">
        <v>44728</v>
      </c>
      <c r="P123" s="18">
        <f>(PrevPeak[[#This Row],[Chine]]-Indices!B387)/PrevPeak[[#This Row],[Chine]]</f>
        <v>0.1099970272575478</v>
      </c>
      <c r="Q123" s="18">
        <f>(PrevPeak[[#This Row],[DM]]-Indices!C387)/PrevPeak[[#This Row],[DM]]</f>
        <v>0.17380852522070034</v>
      </c>
      <c r="R123" s="18">
        <f>(PrevPeak[[#This Row],[EM ex China]]-Indices!D387)/PrevPeak[[#This Row],[EM ex China]]</f>
        <v>0.14212489738708911</v>
      </c>
      <c r="S123" s="18">
        <f>(PrevPeak[[#This Row],[EM]]-Indices!E387)/PrevPeak[[#This Row],[EM]]</f>
        <v>0.13447975220832856</v>
      </c>
      <c r="T123" s="18">
        <f>(PrevPeak[[#This Row],[Japon]]-Indices!F387)/PrevPeak[[#This Row],[Japon]]</f>
        <v>0.14384549806544694</v>
      </c>
      <c r="U123" s="18">
        <f>(PrevPeak[[#This Row],[Monde]]-Indices!G387)/PrevPeak[[#This Row],[Monde]]</f>
        <v>0.16778132169048093</v>
      </c>
      <c r="V123" s="18">
        <f>(PrevPeak[[#This Row],[RU]]-Indices!H387)/PrevPeak[[#This Row],[RU]]</f>
        <v>0.10205299371608643</v>
      </c>
      <c r="W123" s="18">
        <f>(PrevPeak[[#This Row],[US]]-Indices!I387)/PrevPeak[[#This Row],[US]]</f>
        <v>0.24742664596076036</v>
      </c>
      <c r="X123" s="18">
        <f>(PrevPeak[[#This Row],[France]]-Indices!J387)/PrevPeak[[#This Row],[France]]</f>
        <v>0.20201397968978846</v>
      </c>
      <c r="Y123" s="18">
        <f>(PrevPeak[[#This Row],[Europe]]-Indices!K387)/PrevPeak[[#This Row],[Europe]]</f>
        <v>0.18503084836616757</v>
      </c>
      <c r="Z123" s="18">
        <f>(PrevPeak[[#This Row],[Allemagne]]-Indices!L387)/PrevPeak[[#This Row],[Allemagne]]</f>
        <v>0.1987038745064299</v>
      </c>
      <c r="AA123" s="27">
        <f>YEAR(DD[[#This Row],[Date]])</f>
        <v>2022</v>
      </c>
    </row>
    <row r="124" spans="1:27" x14ac:dyDescent="0.25">
      <c r="A124" s="1">
        <v>44729</v>
      </c>
      <c r="B124">
        <f>IF($A123="Date",Indices!B388,IF(Indices!B388&gt;=B123,Indices!B388,B123))</f>
        <v>2879.4960000000001</v>
      </c>
      <c r="C124">
        <f>IF($A123="Date",Indices!C388,IF(Indices!C388&gt;=C123,Indices!C388,C123))</f>
        <v>293.27100000000002</v>
      </c>
      <c r="D124">
        <f>IF($A123="Date",Indices!D388,IF(Indices!D388&gt;=D123,Indices!D388,D123))</f>
        <v>4363.4859999999999</v>
      </c>
      <c r="E124">
        <f>IF($A123="Date",Indices!E388,IF(Indices!E388&gt;=E123,Indices!E388,E123))</f>
        <v>435.85</v>
      </c>
      <c r="F124">
        <f>IF($A123="Date",Indices!F388,IF(Indices!F388&gt;=F123,Indices!F388,F123))</f>
        <v>182.988</v>
      </c>
      <c r="G124">
        <f>IF($A123="Date",Indices!G388,IF(Indices!G388&gt;=G123,Indices!G388,G123))</f>
        <v>288.13099999999997</v>
      </c>
      <c r="H124">
        <f>IF($A123="Date",Indices!H388,IF(Indices!H388&gt;=H123,Indices!H388,H123))</f>
        <v>107.258</v>
      </c>
      <c r="I124">
        <f>IF($A123="Date",Indices!I388,IF(Indices!I388&gt;=I123,Indices!I388,I123))</f>
        <v>5355.2011460000003</v>
      </c>
      <c r="J124">
        <f>IF($A123="Date",Indices!J388,IF(Indices!J388&gt;=J123,Indices!J388,J123))</f>
        <v>7376.3701170000004</v>
      </c>
      <c r="K124">
        <f>IF($A123="Date",Indices!K388,IF(Indices!K388&gt;=K123,Indices!K388,K123))</f>
        <v>494.35000600000001</v>
      </c>
      <c r="L124">
        <f>IF($A123="Date",Indices!L388,IF(Indices!L388&gt;=L123,Indices!L388,L123))</f>
        <v>16271.75</v>
      </c>
      <c r="O124" s="20">
        <v>44729</v>
      </c>
      <c r="P124" s="17">
        <f>(PrevPeak[[#This Row],[Chine]]-Indices!B388)/PrevPeak[[#This Row],[Chine]]</f>
        <v>9.3018361546603992E-2</v>
      </c>
      <c r="Q124" s="17">
        <f>(PrevPeak[[#This Row],[DM]]-Indices!C388)/PrevPeak[[#This Row],[DM]]</f>
        <v>0.17235253400438508</v>
      </c>
      <c r="R124" s="17">
        <f>(PrevPeak[[#This Row],[EM ex China]]-Indices!D388)/PrevPeak[[#This Row],[EM ex China]]</f>
        <v>0.14947590069041128</v>
      </c>
      <c r="S124" s="17">
        <f>(PrevPeak[[#This Row],[EM]]-Indices!E388)/PrevPeak[[#This Row],[EM]]</f>
        <v>0.13429161408741541</v>
      </c>
      <c r="T124" s="17">
        <f>(PrevPeak[[#This Row],[Japon]]-Indices!F388)/PrevPeak[[#This Row],[Japon]]</f>
        <v>0.17317529018296277</v>
      </c>
      <c r="U124" s="17">
        <f>(PrevPeak[[#This Row],[Monde]]-Indices!G388)/PrevPeak[[#This Row],[Monde]]</f>
        <v>0.16646941842425833</v>
      </c>
      <c r="V124" s="17">
        <f>(PrevPeak[[#This Row],[RU]]-Indices!H388)/PrevPeak[[#This Row],[RU]]</f>
        <v>0.10985660743254584</v>
      </c>
      <c r="W124" s="17">
        <f>(PrevPeak[[#This Row],[US]]-Indices!I388)/PrevPeak[[#This Row],[US]]</f>
        <v>0.24415515745409874</v>
      </c>
      <c r="X124" s="17">
        <f>(PrevPeak[[#This Row],[France]]-Indices!J388)/PrevPeak[[#This Row],[France]]</f>
        <v>0.20250071394295793</v>
      </c>
      <c r="Y124" s="17">
        <f>(PrevPeak[[#This Row],[Europe]]-Indices!K388)/PrevPeak[[#This Row],[Europe]]</f>
        <v>0.18428240091899586</v>
      </c>
      <c r="Z124" s="17">
        <f>(PrevPeak[[#This Row],[Allemagne]]-Indices!L388)/PrevPeak[[#This Row],[Allemagne]]</f>
        <v>0.19330989168343907</v>
      </c>
      <c r="AA124" s="27">
        <f>YEAR(DD[[#This Row],[Date]])</f>
        <v>2022</v>
      </c>
    </row>
    <row r="125" spans="1:27" x14ac:dyDescent="0.25">
      <c r="A125" s="1">
        <v>44732</v>
      </c>
      <c r="B125">
        <f>IF($A124="Date",Indices!B389,IF(Indices!B389&gt;=B124,Indices!B389,B124))</f>
        <v>2879.4960000000001</v>
      </c>
      <c r="C125">
        <f>IF($A124="Date",Indices!C389,IF(Indices!C389&gt;=C124,Indices!C389,C124))</f>
        <v>293.27100000000002</v>
      </c>
      <c r="D125">
        <f>IF($A124="Date",Indices!D389,IF(Indices!D389&gt;=D124,Indices!D389,D124))</f>
        <v>4363.4859999999999</v>
      </c>
      <c r="E125">
        <f>IF($A124="Date",Indices!E389,IF(Indices!E389&gt;=E124,Indices!E389,E124))</f>
        <v>435.85</v>
      </c>
      <c r="F125">
        <f>IF($A124="Date",Indices!F389,IF(Indices!F389&gt;=F124,Indices!F389,F124))</f>
        <v>182.988</v>
      </c>
      <c r="G125">
        <f>IF($A124="Date",Indices!G389,IF(Indices!G389&gt;=G124,Indices!G389,G124))</f>
        <v>288.13099999999997</v>
      </c>
      <c r="H125">
        <f>IF($A124="Date",Indices!H389,IF(Indices!H389&gt;=H124,Indices!H389,H124))</f>
        <v>107.258</v>
      </c>
      <c r="I125">
        <f>IF($A124="Date",Indices!I389,IF(Indices!I389&gt;=I124,Indices!I389,I124))</f>
        <v>5355.2011460000003</v>
      </c>
      <c r="J125">
        <f>IF($A124="Date",Indices!J389,IF(Indices!J389&gt;=J124,Indices!J389,J124))</f>
        <v>7376.3701170000004</v>
      </c>
      <c r="K125">
        <f>IF($A124="Date",Indices!K389,IF(Indices!K389&gt;=K124,Indices!K389,K124))</f>
        <v>494.35000600000001</v>
      </c>
      <c r="L125">
        <f>IF($A124="Date",Indices!L389,IF(Indices!L389&gt;=L124,Indices!L389,L124))</f>
        <v>16271.75</v>
      </c>
      <c r="O125" s="19">
        <v>44732</v>
      </c>
      <c r="P125" s="18">
        <f>(PrevPeak[[#This Row],[Chine]]-Indices!B389)/PrevPeak[[#This Row],[Chine]]</f>
        <v>9.5280215704414903E-2</v>
      </c>
      <c r="Q125" s="18">
        <f>(PrevPeak[[#This Row],[DM]]-Indices!C389)/PrevPeak[[#This Row],[DM]]</f>
        <v>0.17551002315264724</v>
      </c>
      <c r="R125" s="18">
        <f>(PrevPeak[[#This Row],[EM ex China]]-Indices!D389)/PrevPeak[[#This Row],[EM ex China]]</f>
        <v>0.16325272958364015</v>
      </c>
      <c r="S125" s="18">
        <f>(PrevPeak[[#This Row],[EM]]-Indices!E389)/PrevPeak[[#This Row],[EM]]</f>
        <v>0.14438453596420789</v>
      </c>
      <c r="T125" s="18">
        <f>(PrevPeak[[#This Row],[Japon]]-Indices!F389)/PrevPeak[[#This Row],[Japon]]</f>
        <v>0.18423612477320914</v>
      </c>
      <c r="U125" s="18">
        <f>(PrevPeak[[#This Row],[Monde]]-Indices!G389)/PrevPeak[[#This Row],[Monde]]</f>
        <v>0.17043289337141779</v>
      </c>
      <c r="V125" s="18">
        <f>(PrevPeak[[#This Row],[RU]]-Indices!H389)/PrevPeak[[#This Row],[RU]]</f>
        <v>9.7270133696320954E-2</v>
      </c>
      <c r="W125" s="18">
        <f>(PrevPeak[[#This Row],[US]]-Indices!I389)/PrevPeak[[#This Row],[US]]</f>
        <v>0.24415515745409874</v>
      </c>
      <c r="X125" s="18">
        <f>(PrevPeak[[#This Row],[France]]-Indices!J389)/PrevPeak[[#This Row],[France]]</f>
        <v>0.19742505458664206</v>
      </c>
      <c r="Y125" s="18">
        <f>(PrevPeak[[#This Row],[Europe]]-Indices!K389)/PrevPeak[[#This Row],[Europe]]</f>
        <v>0.17641345188938867</v>
      </c>
      <c r="Z125" s="18">
        <f>(PrevPeak[[#This Row],[Allemagne]]-Indices!L389)/PrevPeak[[#This Row],[Allemagne]]</f>
        <v>0.18474659394349105</v>
      </c>
      <c r="AA125" s="27">
        <f>YEAR(DD[[#This Row],[Date]])</f>
        <v>2022</v>
      </c>
    </row>
    <row r="126" spans="1:27" x14ac:dyDescent="0.25">
      <c r="A126" s="1">
        <v>44733</v>
      </c>
      <c r="B126">
        <f>IF($A125="Date",Indices!B390,IF(Indices!B390&gt;=B125,Indices!B390,B125))</f>
        <v>2879.4960000000001</v>
      </c>
      <c r="C126">
        <f>IF($A125="Date",Indices!C390,IF(Indices!C390&gt;=C125,Indices!C390,C125))</f>
        <v>293.27100000000002</v>
      </c>
      <c r="D126">
        <f>IF($A125="Date",Indices!D390,IF(Indices!D390&gt;=D125,Indices!D390,D125))</f>
        <v>4363.4859999999999</v>
      </c>
      <c r="E126">
        <f>IF($A125="Date",Indices!E390,IF(Indices!E390&gt;=E125,Indices!E390,E125))</f>
        <v>435.85</v>
      </c>
      <c r="F126">
        <f>IF($A125="Date",Indices!F390,IF(Indices!F390&gt;=F125,Indices!F390,F125))</f>
        <v>182.988</v>
      </c>
      <c r="G126">
        <f>IF($A125="Date",Indices!G390,IF(Indices!G390&gt;=G125,Indices!G390,G125))</f>
        <v>288.13099999999997</v>
      </c>
      <c r="H126">
        <f>IF($A125="Date",Indices!H390,IF(Indices!H390&gt;=H125,Indices!H390,H125))</f>
        <v>107.258</v>
      </c>
      <c r="I126">
        <f>IF($A125="Date",Indices!I390,IF(Indices!I390&gt;=I125,Indices!I390,I125))</f>
        <v>5355.2011460000003</v>
      </c>
      <c r="J126">
        <f>IF($A125="Date",Indices!J390,IF(Indices!J390&gt;=J125,Indices!J390,J125))</f>
        <v>7376.3701170000004</v>
      </c>
      <c r="K126">
        <f>IF($A125="Date",Indices!K390,IF(Indices!K390&gt;=K125,Indices!K390,K125))</f>
        <v>494.35000600000001</v>
      </c>
      <c r="L126">
        <f>IF($A125="Date",Indices!L390,IF(Indices!L390&gt;=L125,Indices!L390,L125))</f>
        <v>16271.75</v>
      </c>
      <c r="O126" s="20">
        <v>44733</v>
      </c>
      <c r="P126" s="17">
        <f>(PrevPeak[[#This Row],[Chine]]-Indices!B390)/PrevPeak[[#This Row],[Chine]]</f>
        <v>8.9791755223830941E-2</v>
      </c>
      <c r="Q126" s="17">
        <f>(PrevPeak[[#This Row],[DM]]-Indices!C390)/PrevPeak[[#This Row],[DM]]</f>
        <v>0.16175823726178182</v>
      </c>
      <c r="R126" s="17">
        <f>(PrevPeak[[#This Row],[EM ex China]]-Indices!D390)/PrevPeak[[#This Row],[EM ex China]]</f>
        <v>0.15284155833203086</v>
      </c>
      <c r="S126" s="17">
        <f>(PrevPeak[[#This Row],[EM]]-Indices!E390)/PrevPeak[[#This Row],[EM]]</f>
        <v>0.13252724561202248</v>
      </c>
      <c r="T126" s="17">
        <f>(PrevPeak[[#This Row],[Japon]]-Indices!F390)/PrevPeak[[#This Row],[Japon]]</f>
        <v>0.17686952149867755</v>
      </c>
      <c r="U126" s="17">
        <f>(PrevPeak[[#This Row],[Monde]]-Indices!G390)/PrevPeak[[#This Row],[Monde]]</f>
        <v>0.15687308897688887</v>
      </c>
      <c r="V126" s="17">
        <f>(PrevPeak[[#This Row],[RU]]-Indices!H390)/PrevPeak[[#This Row],[RU]]</f>
        <v>9.3960357269387729E-2</v>
      </c>
      <c r="W126" s="17">
        <f>(PrevPeak[[#This Row],[US]]-Indices!I390)/PrevPeak[[#This Row],[US]]</f>
        <v>0.22649970410653938</v>
      </c>
      <c r="X126" s="17">
        <f>(PrevPeak[[#This Row],[France]]-Indices!J390)/PrevPeak[[#This Row],[France]]</f>
        <v>0.19138274498272445</v>
      </c>
      <c r="Y126" s="17">
        <f>(PrevPeak[[#This Row],[Europe]]-Indices!K390)/PrevPeak[[#This Row],[Europe]]</f>
        <v>0.17350059261453712</v>
      </c>
      <c r="Z126" s="17">
        <f>(PrevPeak[[#This Row],[Allemagne]]-Indices!L390)/PrevPeak[[#This Row],[Allemagne]]</f>
        <v>0.18309951971975966</v>
      </c>
      <c r="AA126" s="27">
        <f>YEAR(DD[[#This Row],[Date]])</f>
        <v>2022</v>
      </c>
    </row>
    <row r="127" spans="1:27" x14ac:dyDescent="0.25">
      <c r="A127" s="1">
        <v>44734</v>
      </c>
      <c r="B127">
        <f>IF($A126="Date",Indices!B391,IF(Indices!B391&gt;=B126,Indices!B391,B126))</f>
        <v>2879.4960000000001</v>
      </c>
      <c r="C127">
        <f>IF($A126="Date",Indices!C391,IF(Indices!C391&gt;=C126,Indices!C391,C126))</f>
        <v>293.27100000000002</v>
      </c>
      <c r="D127">
        <f>IF($A126="Date",Indices!D391,IF(Indices!D391&gt;=D126,Indices!D391,D126))</f>
        <v>4363.4859999999999</v>
      </c>
      <c r="E127">
        <f>IF($A126="Date",Indices!E391,IF(Indices!E391&gt;=E126,Indices!E391,E126))</f>
        <v>435.85</v>
      </c>
      <c r="F127">
        <f>IF($A126="Date",Indices!F391,IF(Indices!F391&gt;=F126,Indices!F391,F126))</f>
        <v>182.988</v>
      </c>
      <c r="G127">
        <f>IF($A126="Date",Indices!G391,IF(Indices!G391&gt;=G126,Indices!G391,G126))</f>
        <v>288.13099999999997</v>
      </c>
      <c r="H127">
        <f>IF($A126="Date",Indices!H391,IF(Indices!H391&gt;=H126,Indices!H391,H126))</f>
        <v>107.258</v>
      </c>
      <c r="I127">
        <f>IF($A126="Date",Indices!I391,IF(Indices!I391&gt;=I126,Indices!I391,I126))</f>
        <v>5355.2011460000003</v>
      </c>
      <c r="J127">
        <f>IF($A126="Date",Indices!J391,IF(Indices!J391&gt;=J126,Indices!J391,J126))</f>
        <v>7376.3701170000004</v>
      </c>
      <c r="K127">
        <f>IF($A126="Date",Indices!K391,IF(Indices!K391&gt;=K126,Indices!K391,K126))</f>
        <v>494.35000600000001</v>
      </c>
      <c r="L127">
        <f>IF($A126="Date",Indices!L391,IF(Indices!L391&gt;=L126,Indices!L391,L126))</f>
        <v>16271.75</v>
      </c>
      <c r="O127" s="19">
        <v>44734</v>
      </c>
      <c r="P127" s="18">
        <f>(PrevPeak[[#This Row],[Chine]]-Indices!B391)/PrevPeak[[#This Row],[Chine]]</f>
        <v>0.11156674640284282</v>
      </c>
      <c r="Q127" s="18">
        <f>(PrevPeak[[#This Row],[DM]]-Indices!C391)/PrevPeak[[#This Row],[DM]]</f>
        <v>0.16629329186997693</v>
      </c>
      <c r="R127" s="18">
        <f>(PrevPeak[[#This Row],[EM ex China]]-Indices!D391)/PrevPeak[[#This Row],[EM ex China]]</f>
        <v>0.17375557066070565</v>
      </c>
      <c r="S127" s="18">
        <f>(PrevPeak[[#This Row],[EM]]-Indices!E391)/PrevPeak[[#This Row],[EM]]</f>
        <v>0.15503957783641162</v>
      </c>
      <c r="T127" s="18">
        <f>(PrevPeak[[#This Row],[Japon]]-Indices!F391)/PrevPeak[[#This Row],[Japon]]</f>
        <v>0.17935602334579312</v>
      </c>
      <c r="U127" s="18">
        <f>(PrevPeak[[#This Row],[Monde]]-Indices!G391)/PrevPeak[[#This Row],[Monde]]</f>
        <v>0.16349507689210804</v>
      </c>
      <c r="V127" s="18">
        <f>(PrevPeak[[#This Row],[RU]]-Indices!H391)/PrevPeak[[#This Row],[RU]]</f>
        <v>0.10280818214025995</v>
      </c>
      <c r="W127" s="18">
        <f>(PrevPeak[[#This Row],[US]]-Indices!I391)/PrevPeak[[#This Row],[US]]</f>
        <v>0.2274796994151973</v>
      </c>
      <c r="X127" s="18">
        <f>(PrevPeak[[#This Row],[France]]-Indices!J391)/PrevPeak[[#This Row],[France]]</f>
        <v>0.19789411469955945</v>
      </c>
      <c r="Y127" s="18">
        <f>(PrevPeak[[#This Row],[Europe]]-Indices!K391)/PrevPeak[[#This Row],[Europe]]</f>
        <v>0.17924550404475981</v>
      </c>
      <c r="Z127" s="18">
        <f>(PrevPeak[[#This Row],[Allemagne]]-Indices!L391)/PrevPeak[[#This Row],[Allemagne]]</f>
        <v>0.19220242014534397</v>
      </c>
      <c r="AA127" s="27">
        <f>YEAR(DD[[#This Row],[Date]])</f>
        <v>2022</v>
      </c>
    </row>
    <row r="128" spans="1:27" x14ac:dyDescent="0.25">
      <c r="A128" s="1">
        <v>44735</v>
      </c>
      <c r="B128">
        <f>IF($A127="Date",Indices!B392,IF(Indices!B392&gt;=B127,Indices!B392,B127))</f>
        <v>2879.4960000000001</v>
      </c>
      <c r="C128">
        <f>IF($A127="Date",Indices!C392,IF(Indices!C392&gt;=C127,Indices!C392,C127))</f>
        <v>293.27100000000002</v>
      </c>
      <c r="D128">
        <f>IF($A127="Date",Indices!D392,IF(Indices!D392&gt;=D127,Indices!D392,D127))</f>
        <v>4363.4859999999999</v>
      </c>
      <c r="E128">
        <f>IF($A127="Date",Indices!E392,IF(Indices!E392&gt;=E127,Indices!E392,E127))</f>
        <v>435.85</v>
      </c>
      <c r="F128">
        <f>IF($A127="Date",Indices!F392,IF(Indices!F392&gt;=F127,Indices!F392,F127))</f>
        <v>182.988</v>
      </c>
      <c r="G128">
        <f>IF($A127="Date",Indices!G392,IF(Indices!G392&gt;=G127,Indices!G392,G127))</f>
        <v>288.13099999999997</v>
      </c>
      <c r="H128">
        <f>IF($A127="Date",Indices!H392,IF(Indices!H392&gt;=H127,Indices!H392,H127))</f>
        <v>107.258</v>
      </c>
      <c r="I128">
        <f>IF($A127="Date",Indices!I392,IF(Indices!I392&gt;=I127,Indices!I392,I127))</f>
        <v>5355.2011460000003</v>
      </c>
      <c r="J128">
        <f>IF($A127="Date",Indices!J392,IF(Indices!J392&gt;=J127,Indices!J392,J127))</f>
        <v>7376.3701170000004</v>
      </c>
      <c r="K128">
        <f>IF($A127="Date",Indices!K392,IF(Indices!K392&gt;=K127,Indices!K392,K127))</f>
        <v>494.35000600000001</v>
      </c>
      <c r="L128">
        <f>IF($A127="Date",Indices!L392,IF(Indices!L392&gt;=L127,Indices!L392,L127))</f>
        <v>16271.75</v>
      </c>
      <c r="O128" s="20">
        <v>44735</v>
      </c>
      <c r="P128" s="17">
        <f>(PrevPeak[[#This Row],[Chine]]-Indices!B392)/PrevPeak[[#This Row],[Chine]]</f>
        <v>8.8306773129742139E-2</v>
      </c>
      <c r="Q128" s="17">
        <f>(PrevPeak[[#This Row],[DM]]-Indices!C392)/PrevPeak[[#This Row],[DM]]</f>
        <v>0.15700495446191412</v>
      </c>
      <c r="R128" s="17">
        <f>(PrevPeak[[#This Row],[EM ex China]]-Indices!D392)/PrevPeak[[#This Row],[EM ex China]]</f>
        <v>0.17493398626694337</v>
      </c>
      <c r="S128" s="17">
        <f>(PrevPeak[[#This Row],[EM]]-Indices!E392)/PrevPeak[[#This Row],[EM]]</f>
        <v>0.14808535046460938</v>
      </c>
      <c r="T128" s="17">
        <f>(PrevPeak[[#This Row],[Japon]]-Indices!F392)/PrevPeak[[#This Row],[Japon]]</f>
        <v>0.16687433055719503</v>
      </c>
      <c r="U128" s="17">
        <f>(PrevPeak[[#This Row],[Monde]]-Indices!G392)/PrevPeak[[#This Row],[Monde]]</f>
        <v>0.15446099170169114</v>
      </c>
      <c r="V128" s="17">
        <f>(PrevPeak[[#This Row],[RU]]-Indices!H392)/PrevPeak[[#This Row],[RU]]</f>
        <v>0.10833690727032008</v>
      </c>
      <c r="W128" s="17">
        <f>(PrevPeak[[#This Row],[US]]-Indices!I392)/PrevPeak[[#This Row],[US]]</f>
        <v>0.21913602906896301</v>
      </c>
      <c r="X128" s="17">
        <f>(PrevPeak[[#This Row],[France]]-Indices!J392)/PrevPeak[[#This Row],[France]]</f>
        <v>0.20240850381938616</v>
      </c>
      <c r="Y128" s="17">
        <f>(PrevPeak[[#This Row],[Europe]]-Indices!K392)/PrevPeak[[#This Row],[Europe]]</f>
        <v>0.1860018425892363</v>
      </c>
      <c r="Z128" s="17">
        <f>(PrevPeak[[#This Row],[Allemagne]]-Indices!L392)/PrevPeak[[#This Row],[Allemagne]]</f>
        <v>0.20644123465515385</v>
      </c>
      <c r="AA128" s="27">
        <f>YEAR(DD[[#This Row],[Date]])</f>
        <v>2022</v>
      </c>
    </row>
    <row r="129" spans="1:27" x14ac:dyDescent="0.25">
      <c r="A129" s="1">
        <v>44736</v>
      </c>
      <c r="B129">
        <f>IF($A128="Date",Indices!B393,IF(Indices!B393&gt;=B128,Indices!B393,B128))</f>
        <v>2879.4960000000001</v>
      </c>
      <c r="C129">
        <f>IF($A128="Date",Indices!C393,IF(Indices!C393&gt;=C128,Indices!C393,C128))</f>
        <v>293.27100000000002</v>
      </c>
      <c r="D129">
        <f>IF($A128="Date",Indices!D393,IF(Indices!D393&gt;=D128,Indices!D393,D128))</f>
        <v>4363.4859999999999</v>
      </c>
      <c r="E129">
        <f>IF($A128="Date",Indices!E393,IF(Indices!E393&gt;=E128,Indices!E393,E128))</f>
        <v>435.85</v>
      </c>
      <c r="F129">
        <f>IF($A128="Date",Indices!F393,IF(Indices!F393&gt;=F128,Indices!F393,F128))</f>
        <v>182.988</v>
      </c>
      <c r="G129">
        <f>IF($A128="Date",Indices!G393,IF(Indices!G393&gt;=G128,Indices!G393,G128))</f>
        <v>288.13099999999997</v>
      </c>
      <c r="H129">
        <f>IF($A128="Date",Indices!H393,IF(Indices!H393&gt;=H128,Indices!H393,H128))</f>
        <v>107.258</v>
      </c>
      <c r="I129">
        <f>IF($A128="Date",Indices!I393,IF(Indices!I393&gt;=I128,Indices!I393,I128))</f>
        <v>5355.2011460000003</v>
      </c>
      <c r="J129">
        <f>IF($A128="Date",Indices!J393,IF(Indices!J393&gt;=J128,Indices!J393,J128))</f>
        <v>7376.3701170000004</v>
      </c>
      <c r="K129">
        <f>IF($A128="Date",Indices!K393,IF(Indices!K393&gt;=K128,Indices!K393,K128))</f>
        <v>494.35000600000001</v>
      </c>
      <c r="L129">
        <f>IF($A128="Date",Indices!L393,IF(Indices!L393&gt;=L128,Indices!L393,L128))</f>
        <v>16271.75</v>
      </c>
      <c r="O129" s="19">
        <v>44736</v>
      </c>
      <c r="P129" s="18">
        <f>(PrevPeak[[#This Row],[Chine]]-Indices!B393)/PrevPeak[[#This Row],[Chine]]</f>
        <v>7.0298413333444457E-2</v>
      </c>
      <c r="Q129" s="18">
        <f>(PrevPeak[[#This Row],[DM]]-Indices!C393)/PrevPeak[[#This Row],[DM]]</f>
        <v>0.13503210341288441</v>
      </c>
      <c r="R129" s="18">
        <f>(PrevPeak[[#This Row],[EM ex China]]-Indices!D393)/PrevPeak[[#This Row],[EM ex China]]</f>
        <v>0.16765013111076782</v>
      </c>
      <c r="S129" s="18">
        <f>(PrevPeak[[#This Row],[EM]]-Indices!E393)/PrevPeak[[#This Row],[EM]]</f>
        <v>0.13584031203395666</v>
      </c>
      <c r="T129" s="18">
        <f>(PrevPeak[[#This Row],[Japon]]-Indices!F393)/PrevPeak[[#This Row],[Japon]]</f>
        <v>0.16636063567009862</v>
      </c>
      <c r="U129" s="18">
        <f>(PrevPeak[[#This Row],[Monde]]-Indices!G393)/PrevPeak[[#This Row],[Monde]]</f>
        <v>0.13357118810541027</v>
      </c>
      <c r="V129" s="18">
        <f>(PrevPeak[[#This Row],[RU]]-Indices!H393)/PrevPeak[[#This Row],[RU]]</f>
        <v>8.4450577113129033E-2</v>
      </c>
      <c r="W129" s="18">
        <f>(PrevPeak[[#This Row],[US]]-Indices!I393)/PrevPeak[[#This Row],[US]]</f>
        <v>0.1947898940787984</v>
      </c>
      <c r="X129" s="18">
        <f>(PrevPeak[[#This Row],[France]]-Indices!J393)/PrevPeak[[#This Row],[France]]</f>
        <v>0.17664786315385486</v>
      </c>
      <c r="Y129" s="18">
        <f>(PrevPeak[[#This Row],[Europe]]-Indices!K393)/PrevPeak[[#This Row],[Europe]]</f>
        <v>0.16470114698451119</v>
      </c>
      <c r="Z129" s="18">
        <f>(PrevPeak[[#This Row],[Allemagne]]-Indices!L393)/PrevPeak[[#This Row],[Allemagne]]</f>
        <v>0.1938095238680535</v>
      </c>
      <c r="AA129" s="27">
        <f>YEAR(DD[[#This Row],[Date]])</f>
        <v>2022</v>
      </c>
    </row>
    <row r="130" spans="1:27" x14ac:dyDescent="0.25">
      <c r="A130" s="1">
        <v>44739</v>
      </c>
      <c r="B130">
        <f>IF($A129="Date",Indices!B394,IF(Indices!B394&gt;=B129,Indices!B394,B129))</f>
        <v>2879.4960000000001</v>
      </c>
      <c r="C130">
        <f>IF($A129="Date",Indices!C394,IF(Indices!C394&gt;=C129,Indices!C394,C129))</f>
        <v>293.27100000000002</v>
      </c>
      <c r="D130">
        <f>IF($A129="Date",Indices!D394,IF(Indices!D394&gt;=D129,Indices!D394,D129))</f>
        <v>4363.4859999999999</v>
      </c>
      <c r="E130">
        <f>IF($A129="Date",Indices!E394,IF(Indices!E394&gt;=E129,Indices!E394,E129))</f>
        <v>435.85</v>
      </c>
      <c r="F130">
        <f>IF($A129="Date",Indices!F394,IF(Indices!F394&gt;=F129,Indices!F394,F129))</f>
        <v>182.988</v>
      </c>
      <c r="G130">
        <f>IF($A129="Date",Indices!G394,IF(Indices!G394&gt;=G129,Indices!G394,G129))</f>
        <v>288.13099999999997</v>
      </c>
      <c r="H130">
        <f>IF($A129="Date",Indices!H394,IF(Indices!H394&gt;=H129,Indices!H394,H129))</f>
        <v>107.258</v>
      </c>
      <c r="I130">
        <f>IF($A129="Date",Indices!I394,IF(Indices!I394&gt;=I129,Indices!I394,I129))</f>
        <v>5355.2011460000003</v>
      </c>
      <c r="J130">
        <f>IF($A129="Date",Indices!J394,IF(Indices!J394&gt;=J129,Indices!J394,J129))</f>
        <v>7376.3701170000004</v>
      </c>
      <c r="K130">
        <f>IF($A129="Date",Indices!K394,IF(Indices!K394&gt;=K129,Indices!K394,K129))</f>
        <v>494.35000600000001</v>
      </c>
      <c r="L130">
        <f>IF($A129="Date",Indices!L394,IF(Indices!L394&gt;=L129,Indices!L394,L129))</f>
        <v>16271.75</v>
      </c>
      <c r="O130" s="20">
        <v>44739</v>
      </c>
      <c r="P130" s="17">
        <f>(PrevPeak[[#This Row],[Chine]]-Indices!B394)/PrevPeak[[#This Row],[Chine]]</f>
        <v>6.1379491410996988E-2</v>
      </c>
      <c r="Q130" s="17">
        <f>(PrevPeak[[#This Row],[DM]]-Indices!C394)/PrevPeak[[#This Row],[DM]]</f>
        <v>0.13813503551322845</v>
      </c>
      <c r="R130" s="17">
        <f>(PrevPeak[[#This Row],[EM ex China]]-Indices!D394)/PrevPeak[[#This Row],[EM ex China]]</f>
        <v>0.15845404339557864</v>
      </c>
      <c r="S130" s="17">
        <f>(PrevPeak[[#This Row],[EM]]-Indices!E394)/PrevPeak[[#This Row],[EM]]</f>
        <v>0.12624297350005742</v>
      </c>
      <c r="T130" s="17">
        <f>(PrevPeak[[#This Row],[Japon]]-Indices!F394)/PrevPeak[[#This Row],[Japon]]</f>
        <v>0.16016350798959492</v>
      </c>
      <c r="U130" s="17">
        <f>(PrevPeak[[#This Row],[Monde]]-Indices!G394)/PrevPeak[[#This Row],[Monde]]</f>
        <v>0.13521280250996934</v>
      </c>
      <c r="V130" s="17">
        <f>(PrevPeak[[#This Row],[RU]]-Indices!H394)/PrevPeak[[#This Row],[RU]]</f>
        <v>8.1690876205038329E-2</v>
      </c>
      <c r="W130" s="17">
        <f>(PrevPeak[[#This Row],[US]]-Indices!I394)/PrevPeak[[#This Row],[US]]</f>
        <v>0.19695794914964723</v>
      </c>
      <c r="X130" s="17">
        <f>(PrevPeak[[#This Row],[France]]-Indices!J394)/PrevPeak[[#This Row],[France]]</f>
        <v>0.18017806006466147</v>
      </c>
      <c r="Y130" s="17">
        <f>(PrevPeak[[#This Row],[Europe]]-Indices!K394)/PrevPeak[[#This Row],[Europe]]</f>
        <v>0.16033176704361166</v>
      </c>
      <c r="Z130" s="17">
        <f>(PrevPeak[[#This Row],[Allemagne]]-Indices!L394)/PrevPeak[[#This Row],[Allemagne]]</f>
        <v>0.1896341628896708</v>
      </c>
      <c r="AA130" s="27">
        <f>YEAR(DD[[#This Row],[Date]])</f>
        <v>2022</v>
      </c>
    </row>
    <row r="131" spans="1:27" x14ac:dyDescent="0.25">
      <c r="A131" s="1">
        <v>44740</v>
      </c>
      <c r="B131">
        <f>IF($A130="Date",Indices!B395,IF(Indices!B395&gt;=B130,Indices!B395,B130))</f>
        <v>2879.4960000000001</v>
      </c>
      <c r="C131">
        <f>IF($A130="Date",Indices!C395,IF(Indices!C395&gt;=C130,Indices!C395,C130))</f>
        <v>293.27100000000002</v>
      </c>
      <c r="D131">
        <f>IF($A130="Date",Indices!D395,IF(Indices!D395&gt;=D130,Indices!D395,D130))</f>
        <v>4363.4859999999999</v>
      </c>
      <c r="E131">
        <f>IF($A130="Date",Indices!E395,IF(Indices!E395&gt;=E130,Indices!E395,E130))</f>
        <v>435.85</v>
      </c>
      <c r="F131">
        <f>IF($A130="Date",Indices!F395,IF(Indices!F395&gt;=F130,Indices!F395,F130))</f>
        <v>182.988</v>
      </c>
      <c r="G131">
        <f>IF($A130="Date",Indices!G395,IF(Indices!G395&gt;=G130,Indices!G395,G130))</f>
        <v>288.13099999999997</v>
      </c>
      <c r="H131">
        <f>IF($A130="Date",Indices!H395,IF(Indices!H395&gt;=H130,Indices!H395,H130))</f>
        <v>107.258</v>
      </c>
      <c r="I131">
        <f>IF($A130="Date",Indices!I395,IF(Indices!I395&gt;=I130,Indices!I395,I130))</f>
        <v>5355.2011460000003</v>
      </c>
      <c r="J131">
        <f>IF($A130="Date",Indices!J395,IF(Indices!J395&gt;=J130,Indices!J395,J130))</f>
        <v>7376.3701170000004</v>
      </c>
      <c r="K131">
        <f>IF($A130="Date",Indices!K395,IF(Indices!K395&gt;=K130,Indices!K395,K130))</f>
        <v>494.35000600000001</v>
      </c>
      <c r="L131">
        <f>IF($A130="Date",Indices!L395,IF(Indices!L395&gt;=L130,Indices!L395,L130))</f>
        <v>16271.75</v>
      </c>
      <c r="O131" s="19">
        <v>44740</v>
      </c>
      <c r="P131" s="18">
        <f>(PrevPeak[[#This Row],[Chine]]-Indices!B395)/PrevPeak[[#This Row],[Chine]]</f>
        <v>4.7960476416706366E-2</v>
      </c>
      <c r="Q131" s="18">
        <f>(PrevPeak[[#This Row],[DM]]-Indices!C395)/PrevPeak[[#This Row],[DM]]</f>
        <v>0.14422496598709053</v>
      </c>
      <c r="R131" s="18">
        <f>(PrevPeak[[#This Row],[EM ex China]]-Indices!D395)/PrevPeak[[#This Row],[EM ex China]]</f>
        <v>0.15005364976534818</v>
      </c>
      <c r="S131" s="18">
        <f>(PrevPeak[[#This Row],[EM]]-Indices!E395)/PrevPeak[[#This Row],[EM]]</f>
        <v>0.11718022255363092</v>
      </c>
      <c r="T131" s="18">
        <f>(PrevPeak[[#This Row],[Japon]]-Indices!F395)/PrevPeak[[#This Row],[Japon]]</f>
        <v>0.15173672590552381</v>
      </c>
      <c r="U131" s="18">
        <f>(PrevPeak[[#This Row],[Monde]]-Indices!G395)/PrevPeak[[#This Row],[Monde]]</f>
        <v>0.13956498953600954</v>
      </c>
      <c r="V131" s="18">
        <f>(PrevPeak[[#This Row],[RU]]-Indices!H395)/PrevPeak[[#This Row],[RU]]</f>
        <v>7.3523653247310181E-2</v>
      </c>
      <c r="W131" s="18">
        <f>(PrevPeak[[#This Row],[US]]-Indices!I395)/PrevPeak[[#This Row],[US]]</f>
        <v>0.2132214770033215</v>
      </c>
      <c r="X131" s="18">
        <f>(PrevPeak[[#This Row],[France]]-Indices!J395)/PrevPeak[[#This Row],[France]]</f>
        <v>0.1749302267284808</v>
      </c>
      <c r="Y131" s="18">
        <f>(PrevPeak[[#This Row],[Europe]]-Indices!K395)/PrevPeak[[#This Row],[Europe]]</f>
        <v>0.15810661080481511</v>
      </c>
      <c r="Z131" s="18">
        <f>(PrevPeak[[#This Row],[Allemagne]]-Indices!L395)/PrevPeak[[#This Row],[Allemagne]]</f>
        <v>0.18682254152134839</v>
      </c>
      <c r="AA131" s="27">
        <f>YEAR(DD[[#This Row],[Date]])</f>
        <v>2022</v>
      </c>
    </row>
    <row r="132" spans="1:27" x14ac:dyDescent="0.25">
      <c r="A132" s="1">
        <v>44741</v>
      </c>
      <c r="B132">
        <f>IF($A131="Date",Indices!B396,IF(Indices!B396&gt;=B131,Indices!B396,B131))</f>
        <v>2879.4960000000001</v>
      </c>
      <c r="C132">
        <f>IF($A131="Date",Indices!C396,IF(Indices!C396&gt;=C131,Indices!C396,C131))</f>
        <v>293.27100000000002</v>
      </c>
      <c r="D132">
        <f>IF($A131="Date",Indices!D396,IF(Indices!D396&gt;=D131,Indices!D396,D131))</f>
        <v>4363.4859999999999</v>
      </c>
      <c r="E132">
        <f>IF($A131="Date",Indices!E396,IF(Indices!E396&gt;=E131,Indices!E396,E131))</f>
        <v>435.85</v>
      </c>
      <c r="F132">
        <f>IF($A131="Date",Indices!F396,IF(Indices!F396&gt;=F131,Indices!F396,F131))</f>
        <v>182.988</v>
      </c>
      <c r="G132">
        <f>IF($A131="Date",Indices!G396,IF(Indices!G396&gt;=G131,Indices!G396,G131))</f>
        <v>288.13099999999997</v>
      </c>
      <c r="H132">
        <f>IF($A131="Date",Indices!H396,IF(Indices!H396&gt;=H131,Indices!H396,H131))</f>
        <v>107.258</v>
      </c>
      <c r="I132">
        <f>IF($A131="Date",Indices!I396,IF(Indices!I396&gt;=I131,Indices!I396,I131))</f>
        <v>5355.2011460000003</v>
      </c>
      <c r="J132">
        <f>IF($A131="Date",Indices!J396,IF(Indices!J396&gt;=J131,Indices!J396,J131))</f>
        <v>7376.3701170000004</v>
      </c>
      <c r="K132">
        <f>IF($A131="Date",Indices!K396,IF(Indices!K396&gt;=K131,Indices!K396,K131))</f>
        <v>494.35000600000001</v>
      </c>
      <c r="L132">
        <f>IF($A131="Date",Indices!L396,IF(Indices!L396&gt;=L131,Indices!L396,L131))</f>
        <v>16271.75</v>
      </c>
      <c r="O132" s="20">
        <v>44741</v>
      </c>
      <c r="P132" s="17">
        <f>(PrevPeak[[#This Row],[Chine]]-Indices!B396)/PrevPeak[[#This Row],[Chine]]</f>
        <v>6.3800401181317912E-2</v>
      </c>
      <c r="Q132" s="17">
        <f>(PrevPeak[[#This Row],[DM]]-Indices!C396)/PrevPeak[[#This Row],[DM]]</f>
        <v>0.14454548864360955</v>
      </c>
      <c r="R132" s="17">
        <f>(PrevPeak[[#This Row],[EM ex China]]-Indices!D396)/PrevPeak[[#This Row],[EM ex China]]</f>
        <v>0.1591301083583172</v>
      </c>
      <c r="S132" s="17">
        <f>(PrevPeak[[#This Row],[EM]]-Indices!E396)/PrevPeak[[#This Row],[EM]]</f>
        <v>0.1286543535620053</v>
      </c>
      <c r="T132" s="17">
        <f>(PrevPeak[[#This Row],[Japon]]-Indices!F396)/PrevPeak[[#This Row],[Japon]]</f>
        <v>0.15939843049817479</v>
      </c>
      <c r="U132" s="17">
        <f>(PrevPeak[[#This Row],[Monde]]-Indices!G396)/PrevPeak[[#This Row],[Monde]]</f>
        <v>0.14117189750495421</v>
      </c>
      <c r="V132" s="17">
        <f>(PrevPeak[[#This Row],[RU]]-Indices!H396)/PrevPeak[[#This Row],[RU]]</f>
        <v>7.7392828506964537E-2</v>
      </c>
      <c r="W132" s="17">
        <f>(PrevPeak[[#This Row],[US]]-Indices!I396)/PrevPeak[[#This Row],[US]]</f>
        <v>0.21493021113870228</v>
      </c>
      <c r="X132" s="17">
        <f>(PrevPeak[[#This Row],[France]]-Indices!J396)/PrevPeak[[#This Row],[France]]</f>
        <v>0.18232411276387694</v>
      </c>
      <c r="Y132" s="17">
        <f>(PrevPeak[[#This Row],[Europe]]-Indices!K396)/PrevPeak[[#This Row],[Europe]]</f>
        <v>0.1637099059729758</v>
      </c>
      <c r="Z132" s="17">
        <f>(PrevPeak[[#This Row],[Allemagne]]-Indices!L396)/PrevPeak[[#This Row],[Allemagne]]</f>
        <v>0.20086348364496756</v>
      </c>
      <c r="AA132" s="27">
        <f>YEAR(DD[[#This Row],[Date]])</f>
        <v>2022</v>
      </c>
    </row>
    <row r="133" spans="1:27" x14ac:dyDescent="0.25">
      <c r="A133" s="1">
        <v>44742</v>
      </c>
      <c r="B133">
        <f>IF($A132="Date",Indices!B397,IF(Indices!B397&gt;=B132,Indices!B397,B132))</f>
        <v>2879.4960000000001</v>
      </c>
      <c r="C133">
        <f>IF($A132="Date",Indices!C397,IF(Indices!C397&gt;=C132,Indices!C397,C132))</f>
        <v>293.27100000000002</v>
      </c>
      <c r="D133">
        <f>IF($A132="Date",Indices!D397,IF(Indices!D397&gt;=D132,Indices!D397,D132))</f>
        <v>4363.4859999999999</v>
      </c>
      <c r="E133">
        <f>IF($A132="Date",Indices!E397,IF(Indices!E397&gt;=E132,Indices!E397,E132))</f>
        <v>435.85</v>
      </c>
      <c r="F133">
        <f>IF($A132="Date",Indices!F397,IF(Indices!F397&gt;=F132,Indices!F397,F132))</f>
        <v>182.988</v>
      </c>
      <c r="G133">
        <f>IF($A132="Date",Indices!G397,IF(Indices!G397&gt;=G132,Indices!G397,G132))</f>
        <v>288.13099999999997</v>
      </c>
      <c r="H133">
        <f>IF($A132="Date",Indices!H397,IF(Indices!H397&gt;=H132,Indices!H397,H132))</f>
        <v>107.258</v>
      </c>
      <c r="I133">
        <f>IF($A132="Date",Indices!I397,IF(Indices!I397&gt;=I132,Indices!I397,I132))</f>
        <v>5355.2011460000003</v>
      </c>
      <c r="J133">
        <f>IF($A132="Date",Indices!J397,IF(Indices!J397&gt;=J132,Indices!J397,J132))</f>
        <v>7376.3701170000004</v>
      </c>
      <c r="K133">
        <f>IF($A132="Date",Indices!K397,IF(Indices!K397&gt;=K132,Indices!K397,K132))</f>
        <v>494.35000600000001</v>
      </c>
      <c r="L133">
        <f>IF($A132="Date",Indices!L397,IF(Indices!L397&gt;=L132,Indices!L397,L132))</f>
        <v>16271.75</v>
      </c>
      <c r="O133" s="19">
        <v>44742</v>
      </c>
      <c r="P133" s="18">
        <f>(PrevPeak[[#This Row],[Chine]]-Indices!B397)/PrevPeak[[#This Row],[Chine]]</f>
        <v>5.7727463417209163E-2</v>
      </c>
      <c r="Q133" s="18">
        <f>(PrevPeak[[#This Row],[DM]]-Indices!C397)/PrevPeak[[#This Row],[DM]]</f>
        <v>0.15199593549993018</v>
      </c>
      <c r="R133" s="18">
        <f>(PrevPeak[[#This Row],[EM ex China]]-Indices!D397)/PrevPeak[[#This Row],[EM ex China]]</f>
        <v>0.17150140965274097</v>
      </c>
      <c r="S133" s="18">
        <f>(PrevPeak[[#This Row],[EM]]-Indices!E397)/PrevPeak[[#This Row],[EM]]</f>
        <v>0.13746013536767243</v>
      </c>
      <c r="T133" s="18">
        <f>(PrevPeak[[#This Row],[Japon]]-Indices!F397)/PrevPeak[[#This Row],[Japon]]</f>
        <v>0.16224561173410273</v>
      </c>
      <c r="U133" s="18">
        <f>(PrevPeak[[#This Row],[Monde]]-Indices!G397)/PrevPeak[[#This Row],[Monde]]</f>
        <v>0.14879343076586687</v>
      </c>
      <c r="V133" s="18">
        <f>(PrevPeak[[#This Row],[RU]]-Indices!H397)/PrevPeak[[#This Row],[RU]]</f>
        <v>9.148035577765759E-2</v>
      </c>
      <c r="W133" s="18">
        <f>(PrevPeak[[#This Row],[US]]-Indices!I397)/PrevPeak[[#This Row],[US]]</f>
        <v>0.22231632025423828</v>
      </c>
      <c r="X133" s="18">
        <f>(PrevPeak[[#This Row],[France]]-Indices!J397)/PrevPeak[[#This Row],[France]]</f>
        <v>0.19704952855472349</v>
      </c>
      <c r="Y133" s="18">
        <f>(PrevPeak[[#This Row],[Europe]]-Indices!K397)/PrevPeak[[#This Row],[Europe]]</f>
        <v>0.17629208646151001</v>
      </c>
      <c r="Z133" s="18">
        <f>(PrevPeak[[#This Row],[Allemagne]]-Indices!L397)/PrevPeak[[#This Row],[Allemagne]]</f>
        <v>0.214358042005316</v>
      </c>
      <c r="AA133" s="27">
        <f>YEAR(DD[[#This Row],[Date]])</f>
        <v>2022</v>
      </c>
    </row>
    <row r="134" spans="1:27" x14ac:dyDescent="0.25">
      <c r="A134" s="1">
        <v>44743</v>
      </c>
      <c r="B134">
        <f>IF($A133="Date",Indices!B398,IF(Indices!B398&gt;=B133,Indices!B398,B133))</f>
        <v>2879.4960000000001</v>
      </c>
      <c r="C134">
        <f>IF($A133="Date",Indices!C398,IF(Indices!C398&gt;=C133,Indices!C398,C133))</f>
        <v>293.27100000000002</v>
      </c>
      <c r="D134">
        <f>IF($A133="Date",Indices!D398,IF(Indices!D398&gt;=D133,Indices!D398,D133))</f>
        <v>4363.4859999999999</v>
      </c>
      <c r="E134">
        <f>IF($A133="Date",Indices!E398,IF(Indices!E398&gt;=E133,Indices!E398,E133))</f>
        <v>435.85</v>
      </c>
      <c r="F134">
        <f>IF($A133="Date",Indices!F398,IF(Indices!F398&gt;=F133,Indices!F398,F133))</f>
        <v>182.988</v>
      </c>
      <c r="G134">
        <f>IF($A133="Date",Indices!G398,IF(Indices!G398&gt;=G133,Indices!G398,G133))</f>
        <v>288.13099999999997</v>
      </c>
      <c r="H134">
        <f>IF($A133="Date",Indices!H398,IF(Indices!H398&gt;=H133,Indices!H398,H133))</f>
        <v>107.258</v>
      </c>
      <c r="I134">
        <f>IF($A133="Date",Indices!I398,IF(Indices!I398&gt;=I133,Indices!I398,I133))</f>
        <v>5355.2011460000003</v>
      </c>
      <c r="J134">
        <f>IF($A133="Date",Indices!J398,IF(Indices!J398&gt;=J133,Indices!J398,J133))</f>
        <v>7376.3701170000004</v>
      </c>
      <c r="K134">
        <f>IF($A133="Date",Indices!K398,IF(Indices!K398&gt;=K133,Indices!K398,K133))</f>
        <v>494.35000600000001</v>
      </c>
      <c r="L134">
        <f>IF($A133="Date",Indices!L398,IF(Indices!L398&gt;=L133,Indices!L398,L133))</f>
        <v>16271.75</v>
      </c>
      <c r="O134" s="19">
        <v>44743</v>
      </c>
      <c r="P134" s="18">
        <f>(PrevPeak[[#This Row],[Chine]]-Indices!B398)/PrevPeak[[#This Row],[Chine]]</f>
        <v>5.3641678960484836E-2</v>
      </c>
      <c r="Q134" s="18">
        <f>(PrevPeak[[#This Row],[DM]]-Indices!C398)/PrevPeak[[#This Row],[DM]]</f>
        <v>0.14224045336906821</v>
      </c>
      <c r="R134" s="18">
        <f>(PrevPeak[[#This Row],[EM ex China]]-Indices!D398)/PrevPeak[[#This Row],[EM ex China]]</f>
        <v>0.17667456707779053</v>
      </c>
      <c r="S134" s="18">
        <f>(PrevPeak[[#This Row],[EM]]-Indices!E398)/PrevPeak[[#This Row],[EM]]</f>
        <v>0.13902259951818288</v>
      </c>
      <c r="T134" s="18">
        <f>(PrevPeak[[#This Row],[Japon]]-Indices!F398)/PrevPeak[[#This Row],[Japon]]</f>
        <v>0.16463374647517873</v>
      </c>
      <c r="U134" s="18">
        <f>(PrevPeak[[#This Row],[Monde]]-Indices!G398)/PrevPeak[[#This Row],[Monde]]</f>
        <v>0.1403285311195254</v>
      </c>
      <c r="V134" s="18">
        <f>(PrevPeak[[#This Row],[RU]]-Indices!H398)/PrevPeak[[#This Row],[RU]]</f>
        <v>9.6561561841540952E-2</v>
      </c>
      <c r="W134" s="18">
        <f>(PrevPeak[[#This Row],[US]]-Indices!I398)/PrevPeak[[#This Row],[US]]</f>
        <v>0.21357144368970835</v>
      </c>
      <c r="X134" s="18">
        <f>(PrevPeak[[#This Row],[France]]-Indices!J398)/PrevPeak[[#This Row],[France]]</f>
        <v>0.19593784409882803</v>
      </c>
      <c r="Y134" s="18">
        <f>(PrevPeak[[#This Row],[Europe]]-Indices!K398)/PrevPeak[[#This Row],[Europe]]</f>
        <v>0.17643370070071371</v>
      </c>
      <c r="Z134" s="18">
        <f>(PrevPeak[[#This Row],[Allemagne]]-Indices!L398)/PrevPeak[[#This Row],[Allemagne]]</f>
        <v>0.21255978797609357</v>
      </c>
      <c r="AA134" s="54">
        <f>YEAR(DD[[#This Row],[Date]])</f>
        <v>2022</v>
      </c>
    </row>
    <row r="135" spans="1:27" x14ac:dyDescent="0.25">
      <c r="A135" s="1">
        <v>44746</v>
      </c>
      <c r="B135">
        <f>IF($A134="Date",Indices!B399,IF(Indices!B399&gt;=B134,Indices!B399,B134))</f>
        <v>2879.4960000000001</v>
      </c>
      <c r="C135">
        <f>IF($A134="Date",Indices!C399,IF(Indices!C399&gt;=C134,Indices!C399,C134))</f>
        <v>293.27100000000002</v>
      </c>
      <c r="D135">
        <f>IF($A134="Date",Indices!D399,IF(Indices!D399&gt;=D134,Indices!D399,D134))</f>
        <v>4363.4859999999999</v>
      </c>
      <c r="E135">
        <f>IF($A134="Date",Indices!E399,IF(Indices!E399&gt;=E134,Indices!E399,E134))</f>
        <v>435.85</v>
      </c>
      <c r="F135">
        <f>IF($A134="Date",Indices!F399,IF(Indices!F399&gt;=F134,Indices!F399,F134))</f>
        <v>182.988</v>
      </c>
      <c r="G135">
        <f>IF($A134="Date",Indices!G399,IF(Indices!G399&gt;=G134,Indices!G399,G134))</f>
        <v>288.13099999999997</v>
      </c>
      <c r="H135">
        <f>IF($A134="Date",Indices!H399,IF(Indices!H399&gt;=H134,Indices!H399,H134))</f>
        <v>107.258</v>
      </c>
      <c r="I135">
        <f>IF($A134="Date",Indices!I399,IF(Indices!I399&gt;=I134,Indices!I399,I134))</f>
        <v>5355.2011460000003</v>
      </c>
      <c r="J135">
        <f>IF($A134="Date",Indices!J399,IF(Indices!J399&gt;=J134,Indices!J399,J134))</f>
        <v>7376.3701170000004</v>
      </c>
      <c r="K135">
        <f>IF($A134="Date",Indices!K399,IF(Indices!K399&gt;=K134,Indices!K399,K134))</f>
        <v>494.35000600000001</v>
      </c>
      <c r="L135">
        <f>IF($A134="Date",Indices!L399,IF(Indices!L399&gt;=L134,Indices!L399,L134))</f>
        <v>16271.75</v>
      </c>
      <c r="O135" s="52">
        <v>44746</v>
      </c>
      <c r="P135" s="53">
        <f>(PrevPeak[[#This Row],[Chine]]-Indices!B399)/PrevPeak[[#This Row],[Chine]]</f>
        <v>5.2295262782098076E-2</v>
      </c>
      <c r="Q135" s="53">
        <f>(PrevPeak[[#This Row],[DM]]-Indices!C399)/PrevPeak[[#This Row],[DM]]</f>
        <v>0.1422711417085222</v>
      </c>
      <c r="R135" s="53">
        <f>(PrevPeak[[#This Row],[EM ex China]]-Indices!D399)/PrevPeak[[#This Row],[EM ex China]]</f>
        <v>0.18019400085161266</v>
      </c>
      <c r="S135" s="53">
        <f>(PrevPeak[[#This Row],[EM]]-Indices!E399)/PrevPeak[[#This Row],[EM]]</f>
        <v>0.1417391304347827</v>
      </c>
      <c r="T135" s="53">
        <f>(PrevPeak[[#This Row],[Japon]]-Indices!F399)/PrevPeak[[#This Row],[Japon]]</f>
        <v>0.15953505147878555</v>
      </c>
      <c r="U135" s="53">
        <f>(PrevPeak[[#This Row],[Monde]]-Indices!G399)/PrevPeak[[#This Row],[Monde]]</f>
        <v>0.14067212483210756</v>
      </c>
      <c r="V135" s="53">
        <f>(PrevPeak[[#This Row],[RU]]-Indices!H399)/PrevPeak[[#This Row],[RU]]</f>
        <v>8.2688470790057617E-2</v>
      </c>
      <c r="W135" s="53">
        <f>(PrevPeak[[#This Row],[US]]-Indices!I399)/PrevPeak[[#This Row],[US]]</f>
        <v>0.21357144368970835</v>
      </c>
      <c r="X135" s="53">
        <f>(PrevPeak[[#This Row],[France]]-Indices!J399)/PrevPeak[[#This Row],[France]]</f>
        <v>0.19273981544437735</v>
      </c>
      <c r="Y135" s="53">
        <f>(PrevPeak[[#This Row],[Europe]]-Indices!K399)/PrevPeak[[#This Row],[Europe]]</f>
        <v>0.17202388382291231</v>
      </c>
      <c r="Z135" s="18">
        <f>(PrevPeak[[#This Row],[Allemagne]]-Indices!L399)/PrevPeak[[#This Row],[Allemagne]]</f>
        <v>0.2149965504632261</v>
      </c>
      <c r="AA135" s="54">
        <f>YEAR(DD[[#This Row],[Date]])</f>
        <v>2022</v>
      </c>
    </row>
    <row r="136" spans="1:27" x14ac:dyDescent="0.25">
      <c r="A136" s="1">
        <v>44747</v>
      </c>
      <c r="B136">
        <f>IF($A135="Date",Indices!B400,IF(Indices!B400&gt;=B135,Indices!B400,B135))</f>
        <v>2879.4960000000001</v>
      </c>
      <c r="C136">
        <f>IF($A135="Date",Indices!C400,IF(Indices!C400&gt;=C135,Indices!C400,C135))</f>
        <v>293.27100000000002</v>
      </c>
      <c r="D136">
        <f>IF($A135="Date",Indices!D400,IF(Indices!D400&gt;=D135,Indices!D400,D135))</f>
        <v>4363.4859999999999</v>
      </c>
      <c r="E136">
        <f>IF($A135="Date",Indices!E400,IF(Indices!E400&gt;=E135,Indices!E400,E135))</f>
        <v>435.85</v>
      </c>
      <c r="F136">
        <f>IF($A135="Date",Indices!F400,IF(Indices!F400&gt;=F135,Indices!F400,F135))</f>
        <v>182.988</v>
      </c>
      <c r="G136">
        <f>IF($A135="Date",Indices!G400,IF(Indices!G400&gt;=G135,Indices!G400,G135))</f>
        <v>288.13099999999997</v>
      </c>
      <c r="H136">
        <f>IF($A135="Date",Indices!H400,IF(Indices!H400&gt;=H135,Indices!H400,H135))</f>
        <v>107.258</v>
      </c>
      <c r="I136">
        <f>IF($A135="Date",Indices!I400,IF(Indices!I400&gt;=I135,Indices!I400,I135))</f>
        <v>5355.2011460000003</v>
      </c>
      <c r="J136">
        <f>IF($A135="Date",Indices!J400,IF(Indices!J400&gt;=J135,Indices!J400,J135))</f>
        <v>7376.3701170000004</v>
      </c>
      <c r="K136">
        <f>IF($A135="Date",Indices!K400,IF(Indices!K400&gt;=K135,Indices!K400,K135))</f>
        <v>494.35000600000001</v>
      </c>
      <c r="L136">
        <f>IF($A135="Date",Indices!L400,IF(Indices!L400&gt;=L135,Indices!L400,L135))</f>
        <v>16271.75</v>
      </c>
      <c r="O136" s="52">
        <v>44747</v>
      </c>
      <c r="P136" s="53">
        <f>(PrevPeak[[#This Row],[Chine]]-Indices!B400)/PrevPeak[[#This Row],[Chine]]</f>
        <v>3.4857836232451804E-2</v>
      </c>
      <c r="Q136" s="53">
        <f>(PrevPeak[[#This Row],[DM]]-Indices!C400)/PrevPeak[[#This Row],[DM]]</f>
        <v>0.13175868053779616</v>
      </c>
      <c r="R136" s="53">
        <f>(PrevPeak[[#This Row],[EM ex China]]-Indices!D400)/PrevPeak[[#This Row],[EM ex China]]</f>
        <v>0.16814216889890324</v>
      </c>
      <c r="S136" s="53">
        <f>(PrevPeak[[#This Row],[EM]]-Indices!E400)/PrevPeak[[#This Row],[EM]]</f>
        <v>0.12765630377423426</v>
      </c>
      <c r="T136" s="53">
        <f>(PrevPeak[[#This Row],[Japon]]-Indices!F400)/PrevPeak[[#This Row],[Japon]]</f>
        <v>0.141102148774783</v>
      </c>
      <c r="U136" s="53">
        <f>(PrevPeak[[#This Row],[Monde]]-Indices!G400)/PrevPeak[[#This Row],[Monde]]</f>
        <v>0.12972571503933972</v>
      </c>
      <c r="V136" s="53">
        <f>(PrevPeak[[#This Row],[RU]]-Indices!H400)/PrevPeak[[#This Row],[RU]]</f>
        <v>0.10807585448171697</v>
      </c>
      <c r="W136" s="53">
        <f>(PrevPeak[[#This Row],[US]]-Indices!I400)/PrevPeak[[#This Row],[US]]</f>
        <v>0.21103809272302543</v>
      </c>
      <c r="X136" s="53">
        <f>(PrevPeak[[#This Row],[France]]-Indices!J400)/PrevPeak[[#This Row],[France]]</f>
        <v>0.21438866690750691</v>
      </c>
      <c r="Y136" s="53">
        <f>(PrevPeak[[#This Row],[Europe]]-Indices!K400)/PrevPeak[[#This Row],[Europe]]</f>
        <v>0.18948116084376052</v>
      </c>
      <c r="Z136" s="18">
        <f>(PrevPeak[[#This Row],[Allemagne]]-Indices!L400)/PrevPeak[[#This Row],[Allemagne]]</f>
        <v>0.23786930108931126</v>
      </c>
      <c r="AA136" s="54">
        <f>YEAR(DD[[#This Row],[Date]])</f>
        <v>2022</v>
      </c>
    </row>
    <row r="137" spans="1:27" x14ac:dyDescent="0.25">
      <c r="A137" s="1">
        <v>44748</v>
      </c>
      <c r="B137">
        <f>IF($A136="Date",Indices!B401,IF(Indices!B401&gt;=B136,Indices!B401,B136))</f>
        <v>2879.4960000000001</v>
      </c>
      <c r="C137">
        <f>IF($A136="Date",Indices!C401,IF(Indices!C401&gt;=C136,Indices!C401,C136))</f>
        <v>293.27100000000002</v>
      </c>
      <c r="D137">
        <f>IF($A136="Date",Indices!D401,IF(Indices!D401&gt;=D136,Indices!D401,D136))</f>
        <v>4363.4859999999999</v>
      </c>
      <c r="E137">
        <f>IF($A136="Date",Indices!E401,IF(Indices!E401&gt;=E136,Indices!E401,E136))</f>
        <v>435.85</v>
      </c>
      <c r="F137">
        <f>IF($A136="Date",Indices!F401,IF(Indices!F401&gt;=F136,Indices!F401,F136))</f>
        <v>182.988</v>
      </c>
      <c r="G137">
        <f>IF($A136="Date",Indices!G401,IF(Indices!G401&gt;=G136,Indices!G401,G136))</f>
        <v>288.13099999999997</v>
      </c>
      <c r="H137">
        <f>IF($A136="Date",Indices!H401,IF(Indices!H401&gt;=H136,Indices!H401,H136))</f>
        <v>107.258</v>
      </c>
      <c r="I137">
        <f>IF($A136="Date",Indices!I401,IF(Indices!I401&gt;=I136,Indices!I401,I136))</f>
        <v>5355.2011460000003</v>
      </c>
      <c r="J137">
        <f>IF($A136="Date",Indices!J401,IF(Indices!J401&gt;=J136,Indices!J401,J136))</f>
        <v>7376.3701170000004</v>
      </c>
      <c r="K137">
        <f>IF($A136="Date",Indices!K401,IF(Indices!K401&gt;=K136,Indices!K401,K136))</f>
        <v>494.35000600000001</v>
      </c>
      <c r="L137">
        <f>IF($A136="Date",Indices!L401,IF(Indices!L401&gt;=L136,Indices!L401,L136))</f>
        <v>16271.75</v>
      </c>
      <c r="O137" s="52">
        <v>44748</v>
      </c>
      <c r="P137" s="53">
        <f>(PrevPeak[[#This Row],[Chine]]-Indices!B401)/PrevPeak[[#This Row],[Chine]]</f>
        <v>4.4144878131450863E-2</v>
      </c>
      <c r="Q137" s="53">
        <f>(PrevPeak[[#This Row],[DM]]-Indices!C401)/PrevPeak[[#This Row],[DM]]</f>
        <v>0.12523911331157886</v>
      </c>
      <c r="R137" s="53">
        <f>(PrevPeak[[#This Row],[EM ex China]]-Indices!D401)/PrevPeak[[#This Row],[EM ex China]]</f>
        <v>0.17184975498947402</v>
      </c>
      <c r="S137" s="53">
        <f>(PrevPeak[[#This Row],[EM]]-Indices!E401)/PrevPeak[[#This Row],[EM]]</f>
        <v>0.13283469083400254</v>
      </c>
      <c r="T137" s="53">
        <f>(PrevPeak[[#This Row],[Japon]]-Indices!F401)/PrevPeak[[#This Row],[Japon]]</f>
        <v>0.14598771504142347</v>
      </c>
      <c r="U137" s="53">
        <f>(PrevPeak[[#This Row],[Monde]]-Indices!G401)/PrevPeak[[#This Row],[Monde]]</f>
        <v>0.12454751484567773</v>
      </c>
      <c r="V137" s="53">
        <f>(PrevPeak[[#This Row],[RU]]-Indices!H401)/PrevPeak[[#This Row],[RU]]</f>
        <v>9.451043278823025E-2</v>
      </c>
      <c r="W137" s="53">
        <f>(PrevPeak[[#This Row],[US]]-Indices!I401)/PrevPeak[[#This Row],[US]]</f>
        <v>0.20967253281208506</v>
      </c>
      <c r="X137" s="53">
        <f>(PrevPeak[[#This Row],[France]]-Indices!J401)/PrevPeak[[#This Row],[France]]</f>
        <v>0.1984702788470451</v>
      </c>
      <c r="Y137" s="53">
        <f>(PrevPeak[[#This Row],[Europe]]-Indices!K401)/PrevPeak[[#This Row],[Europe]]</f>
        <v>0.17600891866885104</v>
      </c>
      <c r="Z137" s="18">
        <f>(PrevPeak[[#This Row],[Allemagne]]-Indices!L401)/PrevPeak[[#This Row],[Allemagne]]</f>
        <v>0.22598862875843104</v>
      </c>
      <c r="AA137" s="54">
        <f>YEAR(DD[[#This Row],[Date]])</f>
        <v>2022</v>
      </c>
    </row>
    <row r="138" spans="1:27" x14ac:dyDescent="0.25">
      <c r="A138" s="1">
        <v>44749</v>
      </c>
      <c r="B138">
        <f>IF($A137="Date",Indices!B402,IF(Indices!B402&gt;=B137,Indices!B402,B137))</f>
        <v>2879.4960000000001</v>
      </c>
      <c r="C138">
        <f>IF($A137="Date",Indices!C402,IF(Indices!C402&gt;=C137,Indices!C402,C137))</f>
        <v>293.27100000000002</v>
      </c>
      <c r="D138">
        <f>IF($A137="Date",Indices!D402,IF(Indices!D402&gt;=D137,Indices!D402,D137))</f>
        <v>4363.4859999999999</v>
      </c>
      <c r="E138">
        <f>IF($A137="Date",Indices!E402,IF(Indices!E402&gt;=E137,Indices!E402,E137))</f>
        <v>435.85</v>
      </c>
      <c r="F138">
        <f>IF($A137="Date",Indices!F402,IF(Indices!F402&gt;=F137,Indices!F402,F137))</f>
        <v>182.988</v>
      </c>
      <c r="G138">
        <f>IF($A137="Date",Indices!G402,IF(Indices!G402&gt;=G137,Indices!G402,G137))</f>
        <v>288.13099999999997</v>
      </c>
      <c r="H138">
        <f>IF($A137="Date",Indices!H402,IF(Indices!H402&gt;=H137,Indices!H402,H137))</f>
        <v>107.258</v>
      </c>
      <c r="I138">
        <f>IF($A137="Date",Indices!I402,IF(Indices!I402&gt;=I137,Indices!I402,I137))</f>
        <v>5355.2011460000003</v>
      </c>
      <c r="J138">
        <f>IF($A137="Date",Indices!J402,IF(Indices!J402&gt;=J137,Indices!J402,J137))</f>
        <v>7376.3701170000004</v>
      </c>
      <c r="K138">
        <f>IF($A137="Date",Indices!K402,IF(Indices!K402&gt;=K137,Indices!K402,K137))</f>
        <v>494.35000600000001</v>
      </c>
      <c r="L138">
        <f>IF($A137="Date",Indices!L402,IF(Indices!L402&gt;=L137,Indices!L402,L137))</f>
        <v>16271.75</v>
      </c>
      <c r="O138" s="52">
        <v>44749</v>
      </c>
      <c r="P138" s="53">
        <f>(PrevPeak[[#This Row],[Chine]]-Indices!B402)/PrevPeak[[#This Row],[Chine]]</f>
        <v>3.8033044671706463E-2</v>
      </c>
      <c r="Q138" s="53">
        <f>(PrevPeak[[#This Row],[DM]]-Indices!C402)/PrevPeak[[#This Row],[DM]]</f>
        <v>0.10915160380671809</v>
      </c>
      <c r="R138" s="53">
        <f>(PrevPeak[[#This Row],[EM ex China]]-Indices!D402)/PrevPeak[[#This Row],[EM ex China]]</f>
        <v>0.15420560533481711</v>
      </c>
      <c r="S138" s="53">
        <f>(PrevPeak[[#This Row],[EM]]-Indices!E402)/PrevPeak[[#This Row],[EM]]</f>
        <v>0.11893770792703912</v>
      </c>
      <c r="T138" s="53">
        <f>(PrevPeak[[#This Row],[Japon]]-Indices!F402)/PrevPeak[[#This Row],[Japon]]</f>
        <v>0.13227643342732864</v>
      </c>
      <c r="U138" s="53">
        <f>(PrevPeak[[#This Row],[Monde]]-Indices!G402)/PrevPeak[[#This Row],[Monde]]</f>
        <v>0.10868320312635572</v>
      </c>
      <c r="V138" s="53">
        <f>(PrevPeak[[#This Row],[RU]]-Indices!H402)/PrevPeak[[#This Row],[RU]]</f>
        <v>7.5201849745473559E-2</v>
      </c>
      <c r="W138" s="53">
        <f>(PrevPeak[[#This Row],[US]]-Indices!I402)/PrevPeak[[#This Row],[US]]</f>
        <v>0.1965433451152761</v>
      </c>
      <c r="X138" s="53">
        <f>(PrevPeak[[#This Row],[France]]-Indices!J402)/PrevPeak[[#This Row],[France]]</f>
        <v>0.18568345951667761</v>
      </c>
      <c r="Y138" s="53">
        <f>(PrevPeak[[#This Row],[Europe]]-Indices!K402)/PrevPeak[[#This Row],[Europe]]</f>
        <v>0.16049356738553369</v>
      </c>
      <c r="Z138" s="18">
        <f>(PrevPeak[[#This Row],[Allemagne]]-Indices!L402)/PrevPeak[[#This Row],[Allemagne]]</f>
        <v>0.21070445834037516</v>
      </c>
      <c r="AA138" s="54">
        <f>YEAR(DD[[#This Row],[Date]])</f>
        <v>2022</v>
      </c>
    </row>
    <row r="139" spans="1:27" x14ac:dyDescent="0.25">
      <c r="A139" s="1">
        <v>44750</v>
      </c>
      <c r="B139">
        <f>IF($A138="Date",Indices!B403,IF(Indices!B403&gt;=B138,Indices!B403,B138))</f>
        <v>2879.4960000000001</v>
      </c>
      <c r="C139">
        <f>IF($A138="Date",Indices!C403,IF(Indices!C403&gt;=C138,Indices!C403,C138))</f>
        <v>293.27100000000002</v>
      </c>
      <c r="D139">
        <f>IF($A138="Date",Indices!D403,IF(Indices!D403&gt;=D138,Indices!D403,D138))</f>
        <v>4363.4859999999999</v>
      </c>
      <c r="E139">
        <f>IF($A138="Date",Indices!E403,IF(Indices!E403&gt;=E138,Indices!E403,E138))</f>
        <v>435.85</v>
      </c>
      <c r="F139">
        <f>IF($A138="Date",Indices!F403,IF(Indices!F403&gt;=F138,Indices!F403,F138))</f>
        <v>182.988</v>
      </c>
      <c r="G139">
        <f>IF($A138="Date",Indices!G403,IF(Indices!G403&gt;=G138,Indices!G403,G138))</f>
        <v>288.13099999999997</v>
      </c>
      <c r="H139">
        <f>IF($A138="Date",Indices!H403,IF(Indices!H403&gt;=H138,Indices!H403,H138))</f>
        <v>107.258</v>
      </c>
      <c r="I139">
        <f>IF($A138="Date",Indices!I403,IF(Indices!I403&gt;=I138,Indices!I403,I138))</f>
        <v>5355.2011460000003</v>
      </c>
      <c r="J139">
        <f>IF($A138="Date",Indices!J403,IF(Indices!J403&gt;=J138,Indices!J403,J138))</f>
        <v>7376.3701170000004</v>
      </c>
      <c r="K139">
        <f>IF($A138="Date",Indices!K403,IF(Indices!K403&gt;=K138,Indices!K403,K138))</f>
        <v>494.35000600000001</v>
      </c>
      <c r="L139">
        <f>IF($A138="Date",Indices!L403,IF(Indices!L403&gt;=L138,Indices!L403,L138))</f>
        <v>16271.75</v>
      </c>
      <c r="O139" s="52">
        <v>44750</v>
      </c>
      <c r="P139" s="53">
        <f>(PrevPeak[[#This Row],[Chine]]-Indices!B403)/PrevPeak[[#This Row],[Chine]]</f>
        <v>3.8167790474444137E-2</v>
      </c>
      <c r="Q139" s="53">
        <f>(PrevPeak[[#This Row],[DM]]-Indices!C403)/PrevPeak[[#This Row],[DM]]</f>
        <v>0.10891632653757106</v>
      </c>
      <c r="R139" s="53">
        <f>(PrevPeak[[#This Row],[EM ex China]]-Indices!D403)/PrevPeak[[#This Row],[EM ex China]]</f>
        <v>0.14930172802204469</v>
      </c>
      <c r="S139" s="53">
        <f>(PrevPeak[[#This Row],[EM]]-Indices!E403)/PrevPeak[[#This Row],[EM]]</f>
        <v>0.11460594241138011</v>
      </c>
      <c r="T139" s="53">
        <f>(PrevPeak[[#This Row],[Japon]]-Indices!F403)/PrevPeak[[#This Row],[Japon]]</f>
        <v>0.13141845366909308</v>
      </c>
      <c r="U139" s="53">
        <f>(PrevPeak[[#This Row],[Monde]]-Indices!G403)/PrevPeak[[#This Row],[Monde]]</f>
        <v>0.10797172119626128</v>
      </c>
      <c r="V139" s="53">
        <f>(PrevPeak[[#This Row],[RU]]-Indices!H403)/PrevPeak[[#This Row],[RU]]</f>
        <v>7.3029517611739911E-2</v>
      </c>
      <c r="W139" s="53">
        <f>(PrevPeak[[#This Row],[US]]-Indices!I403)/PrevPeak[[#This Row],[US]]</f>
        <v>0.19743348684292358</v>
      </c>
      <c r="X139" s="53">
        <f>(PrevPeak[[#This Row],[France]]-Indices!J403)/PrevPeak[[#This Row],[France]]</f>
        <v>0.18210043865671724</v>
      </c>
      <c r="Y139" s="53">
        <f>(PrevPeak[[#This Row],[Europe]]-Indices!K403)/PrevPeak[[#This Row],[Europe]]</f>
        <v>0.15622536676979426</v>
      </c>
      <c r="Z139" s="18">
        <f>(PrevPeak[[#This Row],[Allemagne]]-Indices!L403)/PrevPeak[[#This Row],[Allemagne]]</f>
        <v>0.20013333107993914</v>
      </c>
      <c r="AA139" s="54">
        <f>YEAR(DD[[#This Row],[Date]])</f>
        <v>2022</v>
      </c>
    </row>
    <row r="140" spans="1:27" x14ac:dyDescent="0.25">
      <c r="A140" s="1">
        <v>44753</v>
      </c>
      <c r="B140">
        <f>IF($A139="Date",Indices!B404,IF(Indices!B404&gt;=B139,Indices!B404,B139))</f>
        <v>2879.4960000000001</v>
      </c>
      <c r="C140">
        <f>IF($A139="Date",Indices!C404,IF(Indices!C404&gt;=C139,Indices!C404,C139))</f>
        <v>293.27100000000002</v>
      </c>
      <c r="D140">
        <f>IF($A139="Date",Indices!D404,IF(Indices!D404&gt;=D139,Indices!D404,D139))</f>
        <v>4363.4859999999999</v>
      </c>
      <c r="E140">
        <f>IF($A139="Date",Indices!E404,IF(Indices!E404&gt;=E139,Indices!E404,E139))</f>
        <v>435.85</v>
      </c>
      <c r="F140">
        <f>IF($A139="Date",Indices!F404,IF(Indices!F404&gt;=F139,Indices!F404,F139))</f>
        <v>182.988</v>
      </c>
      <c r="G140">
        <f>IF($A139="Date",Indices!G404,IF(Indices!G404&gt;=G139,Indices!G404,G139))</f>
        <v>288.13099999999997</v>
      </c>
      <c r="H140">
        <f>IF($A139="Date",Indices!H404,IF(Indices!H404&gt;=H139,Indices!H404,H139))</f>
        <v>107.258</v>
      </c>
      <c r="I140">
        <f>IF($A139="Date",Indices!I404,IF(Indices!I404&gt;=I139,Indices!I404,I139))</f>
        <v>5355.2011460000003</v>
      </c>
      <c r="J140">
        <f>IF($A139="Date",Indices!J404,IF(Indices!J404&gt;=J139,Indices!J404,J139))</f>
        <v>7376.3701170000004</v>
      </c>
      <c r="K140">
        <f>IF($A139="Date",Indices!K404,IF(Indices!K404&gt;=K139,Indices!K404,K139))</f>
        <v>494.35000600000001</v>
      </c>
      <c r="L140">
        <f>IF($A139="Date",Indices!L404,IF(Indices!L404&gt;=L139,Indices!L404,L139))</f>
        <v>16271.75</v>
      </c>
      <c r="O140" s="52">
        <v>44753</v>
      </c>
      <c r="P140" s="53">
        <f>(PrevPeak[[#This Row],[Chine]]-Indices!B404)/PrevPeak[[#This Row],[Chine]]</f>
        <v>5.5366980888322148E-2</v>
      </c>
      <c r="Q140" s="53">
        <f>(PrevPeak[[#This Row],[DM]]-Indices!C404)/PrevPeak[[#This Row],[DM]]</f>
        <v>0.11176352247579878</v>
      </c>
      <c r="R140" s="53">
        <f>(PrevPeak[[#This Row],[EM ex China]]-Indices!D404)/PrevPeak[[#This Row],[EM ex China]]</f>
        <v>0.15020742589755071</v>
      </c>
      <c r="S140" s="53">
        <f>(PrevPeak[[#This Row],[EM]]-Indices!E404)/PrevPeak[[#This Row],[EM]]</f>
        <v>0.12316852128025707</v>
      </c>
      <c r="T140" s="53">
        <f>(PrevPeak[[#This Row],[Japon]]-Indices!F404)/PrevPeak[[#This Row],[Japon]]</f>
        <v>0.12004612324305426</v>
      </c>
      <c r="U140" s="53">
        <f>(PrevPeak[[#This Row],[Monde]]-Indices!G404)/PrevPeak[[#This Row],[Monde]]</f>
        <v>0.11148748312399566</v>
      </c>
      <c r="V140" s="53">
        <f>(PrevPeak[[#This Row],[RU]]-Indices!H404)/PrevPeak[[#This Row],[RU]]</f>
        <v>7.47356840515392E-2</v>
      </c>
      <c r="W140" s="53">
        <f>(PrevPeak[[#This Row],[US]]-Indices!I404)/PrevPeak[[#This Row],[US]]</f>
        <v>0.2076921065478127</v>
      </c>
      <c r="X140" s="53">
        <f>(PrevPeak[[#This Row],[France]]-Indices!J404)/PrevPeak[[#This Row],[France]]</f>
        <v>0.18709341994911732</v>
      </c>
      <c r="Y140" s="53">
        <f>(PrevPeak[[#This Row],[Europe]]-Indices!K404)/PrevPeak[[#This Row],[Europe]]</f>
        <v>0.16047338128281524</v>
      </c>
      <c r="Z140" s="18">
        <f>(PrevPeak[[#This Row],[Allemagne]]-Indices!L404)/PrevPeak[[#This Row],[Allemagne]]</f>
        <v>0.21136691320847478</v>
      </c>
      <c r="AA140" s="54">
        <f>YEAR(DD[[#This Row],[Date]])</f>
        <v>2022</v>
      </c>
    </row>
    <row r="141" spans="1:27" x14ac:dyDescent="0.25">
      <c r="A141" s="1">
        <v>44754</v>
      </c>
      <c r="B141">
        <f>IF($A140="Date",Indices!B405,IF(Indices!B405&gt;=B140,Indices!B405,B140))</f>
        <v>2879.4960000000001</v>
      </c>
      <c r="C141">
        <f>IF($A140="Date",Indices!C405,IF(Indices!C405&gt;=C140,Indices!C405,C140))</f>
        <v>293.27100000000002</v>
      </c>
      <c r="D141">
        <f>IF($A140="Date",Indices!D405,IF(Indices!D405&gt;=D140,Indices!D405,D140))</f>
        <v>4363.4859999999999</v>
      </c>
      <c r="E141">
        <f>IF($A140="Date",Indices!E405,IF(Indices!E405&gt;=E140,Indices!E405,E140))</f>
        <v>435.85</v>
      </c>
      <c r="F141">
        <f>IF($A140="Date",Indices!F405,IF(Indices!F405&gt;=F140,Indices!F405,F140))</f>
        <v>182.988</v>
      </c>
      <c r="G141">
        <f>IF($A140="Date",Indices!G405,IF(Indices!G405&gt;=G140,Indices!G405,G140))</f>
        <v>288.13099999999997</v>
      </c>
      <c r="H141">
        <f>IF($A140="Date",Indices!H405,IF(Indices!H405&gt;=H140,Indices!H405,H140))</f>
        <v>107.258</v>
      </c>
      <c r="I141">
        <f>IF($A140="Date",Indices!I405,IF(Indices!I405&gt;=I140,Indices!I405,I140))</f>
        <v>5355.2011460000003</v>
      </c>
      <c r="J141">
        <f>IF($A140="Date",Indices!J405,IF(Indices!J405&gt;=J140,Indices!J405,J140))</f>
        <v>7376.3701170000004</v>
      </c>
      <c r="K141">
        <f>IF($A140="Date",Indices!K405,IF(Indices!K405&gt;=K140,Indices!K405,K140))</f>
        <v>494.35000600000001</v>
      </c>
      <c r="L141">
        <f>IF($A140="Date",Indices!L405,IF(Indices!L405&gt;=L140,Indices!L405,L140))</f>
        <v>16271.75</v>
      </c>
      <c r="O141" s="52">
        <v>44754</v>
      </c>
      <c r="P141" s="53">
        <f>(PrevPeak[[#This Row],[Chine]]-Indices!B405)/PrevPeak[[#This Row],[Chine]]</f>
        <v>6.6901985625262284E-2</v>
      </c>
      <c r="Q141" s="53">
        <f>(PrevPeak[[#This Row],[DM]]-Indices!C405)/PrevPeak[[#This Row],[DM]]</f>
        <v>0.11504717479737174</v>
      </c>
      <c r="R141" s="53">
        <f>(PrevPeak[[#This Row],[EM ex China]]-Indices!D405)/PrevPeak[[#This Row],[EM ex China]]</f>
        <v>0.15835343576214064</v>
      </c>
      <c r="S141" s="53">
        <f>(PrevPeak[[#This Row],[EM]]-Indices!E405)/PrevPeak[[#This Row],[EM]]</f>
        <v>0.13261213720316631</v>
      </c>
      <c r="T141" s="53">
        <f>(PrevPeak[[#This Row],[Japon]]-Indices!F405)/PrevPeak[[#This Row],[Japon]]</f>
        <v>0.12624325092355781</v>
      </c>
      <c r="U141" s="53">
        <f>(PrevPeak[[#This Row],[Monde]]-Indices!G405)/PrevPeak[[#This Row],[Monde]]</f>
        <v>0.11548913515033088</v>
      </c>
      <c r="V141" s="53">
        <f>(PrevPeak[[#This Row],[RU]]-Indices!H405)/PrevPeak[[#This Row],[RU]]</f>
        <v>6.9747711126442735E-2</v>
      </c>
      <c r="W141" s="53">
        <f>(PrevPeak[[#This Row],[US]]-Indices!I405)/PrevPeak[[#This Row],[US]]</f>
        <v>0.21446686309026269</v>
      </c>
      <c r="X141" s="53">
        <f>(PrevPeak[[#This Row],[France]]-Indices!J405)/PrevPeak[[#This Row],[France]]</f>
        <v>0.18059965821533355</v>
      </c>
      <c r="Y141" s="53">
        <f>(PrevPeak[[#This Row],[Europe]]-Indices!K405)/PrevPeak[[#This Row],[Europe]]</f>
        <v>0.15638716711171641</v>
      </c>
      <c r="Z141" s="18">
        <f>(PrevPeak[[#This Row],[Allemagne]]-Indices!L405)/PrevPeak[[#This Row],[Allemagne]]</f>
        <v>0.20687814955367428</v>
      </c>
      <c r="AA141" s="54">
        <f>YEAR(DD[[#This Row],[Date]])</f>
        <v>2022</v>
      </c>
    </row>
    <row r="142" spans="1:27" x14ac:dyDescent="0.25">
      <c r="A142" s="1">
        <v>44755</v>
      </c>
      <c r="B142">
        <f>IF($A141="Date",Indices!B406,IF(Indices!B406&gt;=B141,Indices!B406,B141))</f>
        <v>2879.4960000000001</v>
      </c>
      <c r="C142">
        <f>IF($A141="Date",Indices!C406,IF(Indices!C406&gt;=C141,Indices!C406,C141))</f>
        <v>293.27100000000002</v>
      </c>
      <c r="D142">
        <f>IF($A141="Date",Indices!D406,IF(Indices!D406&gt;=D141,Indices!D406,D141))</f>
        <v>4363.4859999999999</v>
      </c>
      <c r="E142">
        <f>IF($A141="Date",Indices!E406,IF(Indices!E406&gt;=E141,Indices!E406,E141))</f>
        <v>435.85</v>
      </c>
      <c r="F142">
        <f>IF($A141="Date",Indices!F406,IF(Indices!F406&gt;=F141,Indices!F406,F141))</f>
        <v>182.988</v>
      </c>
      <c r="G142">
        <f>IF($A141="Date",Indices!G406,IF(Indices!G406&gt;=G141,Indices!G406,G141))</f>
        <v>288.13099999999997</v>
      </c>
      <c r="H142">
        <f>IF($A141="Date",Indices!H406,IF(Indices!H406&gt;=H141,Indices!H406,H141))</f>
        <v>107.258</v>
      </c>
      <c r="I142">
        <f>IF($A141="Date",Indices!I406,IF(Indices!I406&gt;=I141,Indices!I406,I141))</f>
        <v>5355.2011460000003</v>
      </c>
      <c r="J142">
        <f>IF($A141="Date",Indices!J406,IF(Indices!J406&gt;=J141,Indices!J406,J141))</f>
        <v>7376.3701170000004</v>
      </c>
      <c r="K142">
        <f>IF($A141="Date",Indices!K406,IF(Indices!K406&gt;=K141,Indices!K406,K141))</f>
        <v>494.35000600000001</v>
      </c>
      <c r="L142">
        <f>IF($A141="Date",Indices!L406,IF(Indices!L406&gt;=L141,Indices!L406,L141))</f>
        <v>16271.75</v>
      </c>
      <c r="O142" s="52">
        <v>44755</v>
      </c>
      <c r="P142" s="53">
        <f>(PrevPeak[[#This Row],[Chine]]-Indices!B406)/PrevPeak[[#This Row],[Chine]]</f>
        <v>7.125309429150109E-2</v>
      </c>
      <c r="Q142" s="53">
        <f>(PrevPeak[[#This Row],[DM]]-Indices!C406)/PrevPeak[[#This Row],[DM]]</f>
        <v>0.12357512335007567</v>
      </c>
      <c r="R142" s="53">
        <f>(PrevPeak[[#This Row],[EM ex China]]-Indices!D406)/PrevPeak[[#This Row],[EM ex China]]</f>
        <v>0.15883309812383947</v>
      </c>
      <c r="S142" s="53">
        <f>(PrevPeak[[#This Row],[EM]]-Indices!E406)/PrevPeak[[#This Row],[EM]]</f>
        <v>0.1349523918779397</v>
      </c>
      <c r="T142" s="53">
        <f>(PrevPeak[[#This Row],[Japon]]-Indices!F406)/PrevPeak[[#This Row],[Japon]]</f>
        <v>0.13218899599973766</v>
      </c>
      <c r="U142" s="53">
        <f>(PrevPeak[[#This Row],[Monde]]-Indices!G406)/PrevPeak[[#This Row],[Monde]]</f>
        <v>0.12331543638136813</v>
      </c>
      <c r="V142" s="53">
        <f>(PrevPeak[[#This Row],[RU]]-Indices!H406)/PrevPeak[[#This Row],[RU]]</f>
        <v>7.7346211937571019E-2</v>
      </c>
      <c r="W142" s="53">
        <f>(PrevPeak[[#This Row],[US]]-Indices!I406)/PrevPeak[[#This Row],[US]]</f>
        <v>0.21768513921661764</v>
      </c>
      <c r="X142" s="53">
        <f>(PrevPeak[[#This Row],[France]]-Indices!J406)/PrevPeak[[#This Row],[France]]</f>
        <v>0.18655922373370251</v>
      </c>
      <c r="Y142" s="53">
        <f>(PrevPeak[[#This Row],[Europe]]-Indices!K406)/PrevPeak[[#This Row],[Europe]]</f>
        <v>0.16494387986312678</v>
      </c>
      <c r="Z142" s="18">
        <f>(PrevPeak[[#This Row],[Allemagne]]-Indices!L406)/PrevPeak[[#This Row],[Allemagne]]</f>
        <v>0.21604496689046973</v>
      </c>
      <c r="AA142" s="54">
        <f>YEAR(DD[[#This Row],[Date]])</f>
        <v>2022</v>
      </c>
    </row>
    <row r="143" spans="1:27" x14ac:dyDescent="0.25">
      <c r="A143" s="1">
        <v>44756</v>
      </c>
      <c r="B143">
        <f>IF($A142="Date",Indices!B407,IF(Indices!B407&gt;=B142,Indices!B407,B142))</f>
        <v>2879.4960000000001</v>
      </c>
      <c r="C143">
        <f>IF($A142="Date",Indices!C407,IF(Indices!C407&gt;=C142,Indices!C407,C142))</f>
        <v>293.27100000000002</v>
      </c>
      <c r="D143">
        <f>IF($A142="Date",Indices!D407,IF(Indices!D407&gt;=D142,Indices!D407,D142))</f>
        <v>4363.4859999999999</v>
      </c>
      <c r="E143">
        <f>IF($A142="Date",Indices!E407,IF(Indices!E407&gt;=E142,Indices!E407,E142))</f>
        <v>435.85</v>
      </c>
      <c r="F143">
        <f>IF($A142="Date",Indices!F407,IF(Indices!F407&gt;=F142,Indices!F407,F142))</f>
        <v>182.988</v>
      </c>
      <c r="G143">
        <f>IF($A142="Date",Indices!G407,IF(Indices!G407&gt;=G142,Indices!G407,G142))</f>
        <v>288.13099999999997</v>
      </c>
      <c r="H143">
        <f>IF($A142="Date",Indices!H407,IF(Indices!H407&gt;=H142,Indices!H407,H142))</f>
        <v>107.258</v>
      </c>
      <c r="I143">
        <f>IF($A142="Date",Indices!I407,IF(Indices!I407&gt;=I142,Indices!I407,I142))</f>
        <v>5355.2011460000003</v>
      </c>
      <c r="J143">
        <f>IF($A142="Date",Indices!J407,IF(Indices!J407&gt;=J142,Indices!J407,J142))</f>
        <v>7376.3701170000004</v>
      </c>
      <c r="K143">
        <f>IF($A142="Date",Indices!K407,IF(Indices!K407&gt;=K142,Indices!K407,K142))</f>
        <v>494.35000600000001</v>
      </c>
      <c r="L143">
        <f>IF($A142="Date",Indices!L407,IF(Indices!L407&gt;=L142,Indices!L407,L142))</f>
        <v>16271.75</v>
      </c>
      <c r="O143" s="52">
        <v>44756</v>
      </c>
      <c r="P143" s="53">
        <f>(PrevPeak[[#This Row],[Chine]]-Indices!B407)/PrevPeak[[#This Row],[Chine]]</f>
        <v>6.1555911173344219E-2</v>
      </c>
      <c r="Q143" s="53">
        <f>(PrevPeak[[#This Row],[DM]]-Indices!C407)/PrevPeak[[#This Row],[DM]]</f>
        <v>0.12194523154352128</v>
      </c>
      <c r="R143" s="53">
        <f>(PrevPeak[[#This Row],[EM ex China]]-Indices!D407)/PrevPeak[[#This Row],[EM ex China]]</f>
        <v>0.1555112128238752</v>
      </c>
      <c r="S143" s="53">
        <f>(PrevPeak[[#This Row],[EM]]-Indices!E407)/PrevPeak[[#This Row],[EM]]</f>
        <v>0.12968681885969943</v>
      </c>
      <c r="T143" s="53">
        <f>(PrevPeak[[#This Row],[Japon]]-Indices!F407)/PrevPeak[[#This Row],[Japon]]</f>
        <v>0.13332021771919464</v>
      </c>
      <c r="U143" s="53">
        <f>(PrevPeak[[#This Row],[Monde]]-Indices!G407)/PrevPeak[[#This Row],[Monde]]</f>
        <v>0.12126428603655967</v>
      </c>
      <c r="V143" s="53">
        <f>(PrevPeak[[#This Row],[RU]]-Indices!H407)/PrevPeak[[#This Row],[RU]]</f>
        <v>9.5191034701374203E-2</v>
      </c>
      <c r="W143" s="53">
        <f>(PrevPeak[[#This Row],[US]]-Indices!I407)/PrevPeak[[#This Row],[US]]</f>
        <v>0.22113676829572451</v>
      </c>
      <c r="X143" s="53">
        <f>(PrevPeak[[#This Row],[France]]-Indices!J407)/PrevPeak[[#This Row],[France]]</f>
        <v>0.19805947069182298</v>
      </c>
      <c r="Y143" s="53">
        <f>(PrevPeak[[#This Row],[Europe]]-Indices!K407)/PrevPeak[[#This Row],[Europe]]</f>
        <v>0.17770811152776644</v>
      </c>
      <c r="Z143" s="18">
        <f>(PrevPeak[[#This Row],[Allemagne]]-Indices!L407)/PrevPeak[[#This Row],[Allemagne]]</f>
        <v>0.23058920153025952</v>
      </c>
      <c r="AA143" s="54">
        <f>YEAR(DD[[#This Row],[Date]])</f>
        <v>2022</v>
      </c>
    </row>
    <row r="144" spans="1:27" x14ac:dyDescent="0.25">
      <c r="A144" s="1">
        <v>44757</v>
      </c>
      <c r="B144">
        <f>IF($A143="Date",Indices!B408,IF(Indices!B408&gt;=B143,Indices!B408,B143))</f>
        <v>2879.4960000000001</v>
      </c>
      <c r="C144">
        <f>IF($A143="Date",Indices!C408,IF(Indices!C408&gt;=C143,Indices!C408,C143))</f>
        <v>293.27100000000002</v>
      </c>
      <c r="D144">
        <f>IF($A143="Date",Indices!D408,IF(Indices!D408&gt;=D143,Indices!D408,D143))</f>
        <v>4363.4859999999999</v>
      </c>
      <c r="E144">
        <f>IF($A143="Date",Indices!E408,IF(Indices!E408&gt;=E143,Indices!E408,E143))</f>
        <v>435.85</v>
      </c>
      <c r="F144">
        <f>IF($A143="Date",Indices!F408,IF(Indices!F408&gt;=F143,Indices!F408,F143))</f>
        <v>182.988</v>
      </c>
      <c r="G144">
        <f>IF($A143="Date",Indices!G408,IF(Indices!G408&gt;=G143,Indices!G408,G143))</f>
        <v>288.13099999999997</v>
      </c>
      <c r="H144">
        <f>IF($A143="Date",Indices!H408,IF(Indices!H408&gt;=H143,Indices!H408,H143))</f>
        <v>107.258</v>
      </c>
      <c r="I144">
        <f>IF($A143="Date",Indices!I408,IF(Indices!I408&gt;=I143,Indices!I408,I143))</f>
        <v>5355.2011460000003</v>
      </c>
      <c r="J144">
        <f>IF($A143="Date",Indices!J408,IF(Indices!J408&gt;=J143,Indices!J408,J143))</f>
        <v>7376.3701170000004</v>
      </c>
      <c r="K144">
        <f>IF($A143="Date",Indices!K408,IF(Indices!K408&gt;=K143,Indices!K408,K143))</f>
        <v>494.35000600000001</v>
      </c>
      <c r="L144">
        <f>IF($A143="Date",Indices!L408,IF(Indices!L408&gt;=L143,Indices!L408,L143))</f>
        <v>16271.75</v>
      </c>
      <c r="O144" s="52">
        <v>44757</v>
      </c>
      <c r="P144" s="53">
        <f>(PrevPeak[[#This Row],[Chine]]-Indices!B408)/PrevPeak[[#This Row],[Chine]]</f>
        <v>9.0017489171716134E-2</v>
      </c>
      <c r="Q144" s="53">
        <f>(PrevPeak[[#This Row],[DM]]-Indices!C408)/PrevPeak[[#This Row],[DM]]</f>
        <v>0.11269099229040729</v>
      </c>
      <c r="R144" s="53">
        <f>(PrevPeak[[#This Row],[EM ex China]]-Indices!D408)/PrevPeak[[#This Row],[EM ex China]]</f>
        <v>0.15630530268688844</v>
      </c>
      <c r="S144" s="53">
        <f>(PrevPeak[[#This Row],[EM]]-Indices!E408)/PrevPeak[[#This Row],[EM]]</f>
        <v>0.14007112538717451</v>
      </c>
      <c r="T144" s="53">
        <f>(PrevPeak[[#This Row],[Japon]]-Indices!F408)/PrevPeak[[#This Row],[Japon]]</f>
        <v>0.13612368024132726</v>
      </c>
      <c r="U144" s="53">
        <f>(PrevPeak[[#This Row],[Monde]]-Indices!G408)/PrevPeak[[#This Row],[Monde]]</f>
        <v>0.11426052732958263</v>
      </c>
      <c r="V144" s="53">
        <f>(PrevPeak[[#This Row],[RU]]-Indices!H408)/PrevPeak[[#This Row],[RU]]</f>
        <v>8.2175688526729879E-2</v>
      </c>
      <c r="W144" s="53">
        <f>(PrevPeak[[#This Row],[US]]-Indices!I408)/PrevPeak[[#This Row],[US]]</f>
        <v>0.20587115496557676</v>
      </c>
      <c r="X144" s="53">
        <f>(PrevPeak[[#This Row],[France]]-Indices!J408)/PrevPeak[[#This Row],[France]]</f>
        <v>0.18171134253566093</v>
      </c>
      <c r="Y144" s="53">
        <f>(PrevPeak[[#This Row],[Europe]]-Indices!K408)/PrevPeak[[#This Row],[Europe]]</f>
        <v>0.16298170531427086</v>
      </c>
      <c r="Z144" s="18">
        <f>(PrevPeak[[#This Row],[Allemagne]]-Indices!L408)/PrevPeak[[#This Row],[Allemagne]]</f>
        <v>0.20938314993777554</v>
      </c>
      <c r="AA144" s="54">
        <f>YEAR(DD[[#This Row],[Date]])</f>
        <v>2022</v>
      </c>
    </row>
    <row r="145" spans="1:27" x14ac:dyDescent="0.25">
      <c r="A145" s="1">
        <v>44760</v>
      </c>
      <c r="B145">
        <f>IF($A144="Date",Indices!B409,IF(Indices!B409&gt;=B144,Indices!B409,B144))</f>
        <v>2879.4960000000001</v>
      </c>
      <c r="C145">
        <f>IF($A144="Date",Indices!C409,IF(Indices!C409&gt;=C144,Indices!C409,C144))</f>
        <v>293.27100000000002</v>
      </c>
      <c r="D145">
        <f>IF($A144="Date",Indices!D409,IF(Indices!D409&gt;=D144,Indices!D409,D144))</f>
        <v>4363.4859999999999</v>
      </c>
      <c r="E145">
        <f>IF($A144="Date",Indices!E409,IF(Indices!E409&gt;=E144,Indices!E409,E144))</f>
        <v>435.85</v>
      </c>
      <c r="F145">
        <f>IF($A144="Date",Indices!F409,IF(Indices!F409&gt;=F144,Indices!F409,F144))</f>
        <v>182.988</v>
      </c>
      <c r="G145">
        <f>IF($A144="Date",Indices!G409,IF(Indices!G409&gt;=G144,Indices!G409,G144))</f>
        <v>288.13099999999997</v>
      </c>
      <c r="H145">
        <f>IF($A144="Date",Indices!H409,IF(Indices!H409&gt;=H144,Indices!H409,H144))</f>
        <v>107.258</v>
      </c>
      <c r="I145">
        <f>IF($A144="Date",Indices!I409,IF(Indices!I409&gt;=I144,Indices!I409,I144))</f>
        <v>5355.2011460000003</v>
      </c>
      <c r="J145">
        <f>IF($A144="Date",Indices!J409,IF(Indices!J409&gt;=J144,Indices!J409,J144))</f>
        <v>7376.3701170000004</v>
      </c>
      <c r="K145">
        <f>IF($A144="Date",Indices!K409,IF(Indices!K409&gt;=K144,Indices!K409,K144))</f>
        <v>494.35000600000001</v>
      </c>
      <c r="L145">
        <f>IF($A144="Date",Indices!L409,IF(Indices!L409&gt;=L144,Indices!L409,L144))</f>
        <v>16271.75</v>
      </c>
      <c r="O145" s="19">
        <v>44760</v>
      </c>
      <c r="P145" s="18">
        <f>(PrevPeak[[#This Row],[Chine]]-Indices!B409)/PrevPeak[[#This Row],[Chine]]</f>
        <v>8.3115239611376401E-2</v>
      </c>
      <c r="Q145" s="18">
        <f>(PrevPeak[[#This Row],[DM]]-Indices!C409)/PrevPeak[[#This Row],[DM]]</f>
        <v>0.12311138844277142</v>
      </c>
      <c r="R145" s="18">
        <f>(PrevPeak[[#This Row],[EM ex China]]-Indices!D409)/PrevPeak[[#This Row],[EM ex China]]</f>
        <v>0.15105720517952848</v>
      </c>
      <c r="S145" s="18">
        <f>(PrevPeak[[#This Row],[EM]]-Indices!E409)/PrevPeak[[#This Row],[EM]]</f>
        <v>0.13339451646208567</v>
      </c>
      <c r="T145" s="18">
        <f>(PrevPeak[[#This Row],[Japon]]-Indices!F409)/PrevPeak[[#This Row],[Japon]]</f>
        <v>0.14248475309856387</v>
      </c>
      <c r="U145" s="18">
        <f>(PrevPeak[[#This Row],[Monde]]-Indices!G409)/PrevPeak[[#This Row],[Monde]]</f>
        <v>0.12272542697592402</v>
      </c>
      <c r="V145" s="18">
        <f>(PrevPeak[[#This Row],[RU]]-Indices!H409)/PrevPeak[[#This Row],[RU]]</f>
        <v>7.139793768297005E-2</v>
      </c>
      <c r="W145" s="18">
        <f>(PrevPeak[[#This Row],[US]]-Indices!I409)/PrevPeak[[#This Row],[US]]</f>
        <v>0.21164688087329603</v>
      </c>
      <c r="X145" s="18">
        <f>(PrevPeak[[#This Row],[France]]-Indices!J409)/PrevPeak[[#This Row],[France]]</f>
        <v>0.1741317125668303</v>
      </c>
      <c r="Y145" s="18">
        <f>(PrevPeak[[#This Row],[Europe]]-Indices!K409)/PrevPeak[[#This Row],[Europe]]</f>
        <v>0.15519368882135712</v>
      </c>
      <c r="Z145" s="18">
        <f>(PrevPeak[[#This Row],[Allemagne]]-Indices!L409)/PrevPeak[[#This Row],[Allemagne]]</f>
        <v>0.20353928925899184</v>
      </c>
      <c r="AA145" s="54">
        <f>YEAR(DD[[#This Row],[Date]])</f>
        <v>2022</v>
      </c>
    </row>
    <row r="146" spans="1:27" x14ac:dyDescent="0.25">
      <c r="A146" s="1">
        <v>44761</v>
      </c>
      <c r="B146">
        <f>IF($A145="Date",Indices!B410,IF(Indices!B410&gt;=B145,Indices!B410,B145))</f>
        <v>2879.4960000000001</v>
      </c>
      <c r="C146">
        <f>IF($A145="Date",Indices!C410,IF(Indices!C410&gt;=C145,Indices!C410,C145))</f>
        <v>293.27100000000002</v>
      </c>
      <c r="D146">
        <f>IF($A145="Date",Indices!D410,IF(Indices!D410&gt;=D145,Indices!D410,D145))</f>
        <v>4363.4859999999999</v>
      </c>
      <c r="E146">
        <f>IF($A145="Date",Indices!E410,IF(Indices!E410&gt;=E145,Indices!E410,E145))</f>
        <v>435.85</v>
      </c>
      <c r="F146">
        <f>IF($A145="Date",Indices!F410,IF(Indices!F410&gt;=F145,Indices!F410,F145))</f>
        <v>182.988</v>
      </c>
      <c r="G146">
        <f>IF($A145="Date",Indices!G410,IF(Indices!G410&gt;=G145,Indices!G410,G145))</f>
        <v>288.13099999999997</v>
      </c>
      <c r="H146">
        <f>IF($A145="Date",Indices!H410,IF(Indices!H410&gt;=H145,Indices!H410,H145))</f>
        <v>107.258</v>
      </c>
      <c r="I146">
        <f>IF($A145="Date",Indices!I410,IF(Indices!I410&gt;=I145,Indices!I410,I145))</f>
        <v>5355.2011460000003</v>
      </c>
      <c r="J146">
        <f>IF($A145="Date",Indices!J410,IF(Indices!J410&gt;=J145,Indices!J410,J145))</f>
        <v>7376.3701170000004</v>
      </c>
      <c r="K146">
        <f>IF($A145="Date",Indices!K410,IF(Indices!K410&gt;=K145,Indices!K410,K145))</f>
        <v>494.35000600000001</v>
      </c>
      <c r="L146">
        <f>IF($A145="Date",Indices!L410,IF(Indices!L410&gt;=L145,Indices!L410,L145))</f>
        <v>16271.75</v>
      </c>
      <c r="O146" s="52">
        <v>44761</v>
      </c>
      <c r="P146" s="53">
        <f>(PrevPeak[[#This Row],[Chine]]-Indices!B410)/PrevPeak[[#This Row],[Chine]]</f>
        <v>9.3466703895403971E-2</v>
      </c>
      <c r="Q146" s="53">
        <f>(PrevPeak[[#This Row],[DM]]-Indices!C410)/PrevPeak[[#This Row],[DM]]</f>
        <v>0.10695227281251825</v>
      </c>
      <c r="R146" s="53">
        <f>(PrevPeak[[#This Row],[EM ex China]]-Indices!D410)/PrevPeak[[#This Row],[EM ex China]]</f>
        <v>0.15264400985817303</v>
      </c>
      <c r="S146" s="53">
        <f>(PrevPeak[[#This Row],[EM]]-Indices!E410)/PrevPeak[[#This Row],[EM]]</f>
        <v>0.13826545829987388</v>
      </c>
      <c r="T146" s="53">
        <f>(PrevPeak[[#This Row],[Japon]]-Indices!F410)/PrevPeak[[#This Row],[Japon]]</f>
        <v>0.14088355520580584</v>
      </c>
      <c r="U146" s="53">
        <f>(PrevPeak[[#This Row],[Monde]]-Indices!G410)/PrevPeak[[#This Row],[Monde]]</f>
        <v>0.10896779589839342</v>
      </c>
      <c r="V146" s="53">
        <f>(PrevPeak[[#This Row],[RU]]-Indices!H410)/PrevPeak[[#This Row],[RU]]</f>
        <v>6.6344701560722738E-2</v>
      </c>
      <c r="W146" s="53">
        <f>(PrevPeak[[#This Row],[US]]-Indices!I410)/PrevPeak[[#This Row],[US]]</f>
        <v>0.18927208584071362</v>
      </c>
      <c r="X146" s="53">
        <f>(PrevPeak[[#This Row],[France]]-Indices!J410)/PrevPeak[[#This Row],[France]]</f>
        <v>0.15931276269498504</v>
      </c>
      <c r="Y146" s="53">
        <f>(PrevPeak[[#This Row],[Europe]]-Indices!K410)/PrevPeak[[#This Row],[Europe]]</f>
        <v>0.14350157001919808</v>
      </c>
      <c r="Z146" s="18">
        <f>(PrevPeak[[#This Row],[Allemagne]]-Indices!L410)/PrevPeak[[#This Row],[Allemagne]]</f>
        <v>0.18211562001628592</v>
      </c>
      <c r="AA146" s="54">
        <f>YEAR(DD[[#This Row],[Date]])</f>
        <v>2022</v>
      </c>
    </row>
    <row r="147" spans="1:27" x14ac:dyDescent="0.25">
      <c r="A147" s="1">
        <v>44762</v>
      </c>
      <c r="B147">
        <f>IF($A146="Date",Indices!B411,IF(Indices!B411&gt;=B146,Indices!B411,B146))</f>
        <v>2879.4960000000001</v>
      </c>
      <c r="C147">
        <f>IF($A146="Date",Indices!C411,IF(Indices!C411&gt;=C146,Indices!C411,C146))</f>
        <v>293.27100000000002</v>
      </c>
      <c r="D147">
        <f>IF($A146="Date",Indices!D411,IF(Indices!D411&gt;=D146,Indices!D411,D146))</f>
        <v>4363.4859999999999</v>
      </c>
      <c r="E147">
        <f>IF($A146="Date",Indices!E411,IF(Indices!E411&gt;=E146,Indices!E411,E146))</f>
        <v>435.85</v>
      </c>
      <c r="F147">
        <f>IF($A146="Date",Indices!F411,IF(Indices!F411&gt;=F146,Indices!F411,F146))</f>
        <v>182.988</v>
      </c>
      <c r="G147">
        <f>IF($A146="Date",Indices!G411,IF(Indices!G411&gt;=G146,Indices!G411,G146))</f>
        <v>288.13099999999997</v>
      </c>
      <c r="H147">
        <f>IF($A146="Date",Indices!H411,IF(Indices!H411&gt;=H146,Indices!H411,H146))</f>
        <v>107.258</v>
      </c>
      <c r="I147">
        <f>IF($A146="Date",Indices!I411,IF(Indices!I411&gt;=I146,Indices!I411,I146))</f>
        <v>5355.2011460000003</v>
      </c>
      <c r="J147">
        <f>IF($A146="Date",Indices!J411,IF(Indices!J411&gt;=J146,Indices!J411,J146))</f>
        <v>7376.3701170000004</v>
      </c>
      <c r="K147">
        <f>IF($A146="Date",Indices!K411,IF(Indices!K411&gt;=K146,Indices!K411,K146))</f>
        <v>494.35000600000001</v>
      </c>
      <c r="L147">
        <f>IF($A146="Date",Indices!L411,IF(Indices!L411&gt;=L146,Indices!L411,L146))</f>
        <v>16271.75</v>
      </c>
      <c r="O147" s="52">
        <v>44762</v>
      </c>
      <c r="P147" s="53">
        <f>(PrevPeak[[#This Row],[Chine]]-Indices!B411)/PrevPeak[[#This Row],[Chine]]</f>
        <v>8.3884818732167105E-2</v>
      </c>
      <c r="Q147" s="53">
        <f>(PrevPeak[[#This Row],[DM]]-Indices!C411)/PrevPeak[[#This Row],[DM]]</f>
        <v>9.8574356141589145E-2</v>
      </c>
      <c r="R147" s="53">
        <f>(PrevPeak[[#This Row],[EM ex China]]-Indices!D411)/PrevPeak[[#This Row],[EM ex China]]</f>
        <v>0.14511218782413871</v>
      </c>
      <c r="S147" s="53">
        <f>(PrevPeak[[#This Row],[EM]]-Indices!E411)/PrevPeak[[#This Row],[EM]]</f>
        <v>0.12946655959619133</v>
      </c>
      <c r="T147" s="53">
        <f>(PrevPeak[[#This Row],[Japon]]-Indices!F411)/PrevPeak[[#This Row],[Japon]]</f>
        <v>0.11893676088049496</v>
      </c>
      <c r="U147" s="53">
        <f>(PrevPeak[[#This Row],[Monde]]-Indices!G411)/PrevPeak[[#This Row],[Monde]]</f>
        <v>0.10052719075698199</v>
      </c>
      <c r="V147" s="53">
        <f>(PrevPeak[[#This Row],[RU]]-Indices!H411)/PrevPeak[[#This Row],[RU]]</f>
        <v>7.0493576236737521E-2</v>
      </c>
      <c r="W147" s="53">
        <f>(PrevPeak[[#This Row],[US]]-Indices!I411)/PrevPeak[[#This Row],[US]]</f>
        <v>0.18281328792500223</v>
      </c>
      <c r="X147" s="53">
        <f>(PrevPeak[[#This Row],[France]]-Indices!J411)/PrevPeak[[#This Row],[France]]</f>
        <v>0.16155777734817267</v>
      </c>
      <c r="Y147" s="53">
        <f>(PrevPeak[[#This Row],[Europe]]-Indices!K411)/PrevPeak[[#This Row],[Europe]]</f>
        <v>0.14532213032885041</v>
      </c>
      <c r="Z147" s="18">
        <f>(PrevPeak[[#This Row],[Allemagne]]-Indices!L411)/PrevPeak[[#This Row],[Allemagne]]</f>
        <v>0.18373988845698833</v>
      </c>
      <c r="AA147" s="54">
        <f>YEAR(DD[[#This Row],[Date]])</f>
        <v>2022</v>
      </c>
    </row>
    <row r="148" spans="1:27" x14ac:dyDescent="0.25">
      <c r="A148" s="1">
        <v>44763</v>
      </c>
      <c r="B148">
        <f>IF($A147="Date",Indices!B412,IF(Indices!B412&gt;=B147,Indices!B412,B147))</f>
        <v>2879.4960000000001</v>
      </c>
      <c r="C148">
        <f>IF($A147="Date",Indices!C412,IF(Indices!C412&gt;=C147,Indices!C412,C147))</f>
        <v>293.27100000000002</v>
      </c>
      <c r="D148">
        <f>IF($A147="Date",Indices!D412,IF(Indices!D412&gt;=D147,Indices!D412,D147))</f>
        <v>4363.4859999999999</v>
      </c>
      <c r="E148">
        <f>IF($A147="Date",Indices!E412,IF(Indices!E412&gt;=E147,Indices!E412,E147))</f>
        <v>435.85</v>
      </c>
      <c r="F148">
        <f>IF($A147="Date",Indices!F412,IF(Indices!F412&gt;=F147,Indices!F412,F147))</f>
        <v>182.988</v>
      </c>
      <c r="G148">
        <f>IF($A147="Date",Indices!G412,IF(Indices!G412&gt;=G147,Indices!G412,G147))</f>
        <v>288.13099999999997</v>
      </c>
      <c r="H148">
        <f>IF($A147="Date",Indices!H412,IF(Indices!H412&gt;=H147,Indices!H412,H147))</f>
        <v>107.258</v>
      </c>
      <c r="I148">
        <f>IF($A147="Date",Indices!I412,IF(Indices!I412&gt;=I147,Indices!I412,I147))</f>
        <v>5355.2011460000003</v>
      </c>
      <c r="J148">
        <f>IF($A147="Date",Indices!J412,IF(Indices!J412&gt;=J147,Indices!J412,J147))</f>
        <v>7376.3701170000004</v>
      </c>
      <c r="K148">
        <f>IF($A147="Date",Indices!K412,IF(Indices!K412&gt;=K147,Indices!K412,K147))</f>
        <v>494.35000600000001</v>
      </c>
      <c r="L148">
        <f>IF($A147="Date",Indices!L412,IF(Indices!L412&gt;=L147,Indices!L412,L147))</f>
        <v>16271.75</v>
      </c>
      <c r="O148" s="52">
        <v>44763</v>
      </c>
      <c r="P148" s="53">
        <f>(PrevPeak[[#This Row],[Chine]]-Indices!B412)/PrevPeak[[#This Row],[Chine]]</f>
        <v>9.0960709790880168E-2</v>
      </c>
      <c r="Q148" s="53">
        <f>(PrevPeak[[#This Row],[DM]]-Indices!C412)/PrevPeak[[#This Row],[DM]]</f>
        <v>8.99611622015134E-2</v>
      </c>
      <c r="R148" s="53">
        <f>(PrevPeak[[#This Row],[EM ex China]]-Indices!D412)/PrevPeak[[#This Row],[EM ex China]]</f>
        <v>0.13439231843530605</v>
      </c>
      <c r="S148" s="53">
        <f>(PrevPeak[[#This Row],[EM]]-Indices!E412)/PrevPeak[[#This Row],[EM]]</f>
        <v>0.1240679132729151</v>
      </c>
      <c r="T148" s="53">
        <f>(PrevPeak[[#This Row],[Japon]]-Indices!F412)/PrevPeak[[#This Row],[Japon]]</f>
        <v>0.11425339366515842</v>
      </c>
      <c r="U148" s="53">
        <f>(PrevPeak[[#This Row],[Monde]]-Indices!G412)/PrevPeak[[#This Row],[Monde]]</f>
        <v>9.2267059080765282E-2</v>
      </c>
      <c r="V148" s="53">
        <f>(PrevPeak[[#This Row],[RU]]-Indices!H412)/PrevPeak[[#This Row],[RU]]</f>
        <v>7.1556434018907655E-2</v>
      </c>
      <c r="W148" s="53">
        <f>(PrevPeak[[#This Row],[US]]-Indices!I412)/PrevPeak[[#This Row],[US]]</f>
        <v>0.1750158730639024</v>
      </c>
      <c r="X148" s="53">
        <f>(PrevPeak[[#This Row],[France]]-Indices!J412)/PrevPeak[[#This Row],[France]]</f>
        <v>0.15932772289875061</v>
      </c>
      <c r="Y148" s="53">
        <f>(PrevPeak[[#This Row],[Europe]]-Indices!K412)/PrevPeak[[#This Row],[Europe]]</f>
        <v>0.14151914665901713</v>
      </c>
      <c r="Z148" s="18">
        <f>(PrevPeak[[#This Row],[Allemagne]]-Indices!L412)/PrevPeak[[#This Row],[Allemagne]]</f>
        <v>0.1859118011277214</v>
      </c>
      <c r="AA148" s="54">
        <f>YEAR(DD[[#This Row],[Date]])</f>
        <v>2022</v>
      </c>
    </row>
    <row r="149" spans="1:27" x14ac:dyDescent="0.25">
      <c r="A149" s="1">
        <v>44764</v>
      </c>
      <c r="B149">
        <f>IF($A148="Date",Indices!B413,IF(Indices!B413&gt;=B148,Indices!B413,B148))</f>
        <v>2879.4960000000001</v>
      </c>
      <c r="C149">
        <f>IF($A148="Date",Indices!C413,IF(Indices!C413&gt;=C148,Indices!C413,C148))</f>
        <v>293.27100000000002</v>
      </c>
      <c r="D149">
        <f>IF($A148="Date",Indices!D413,IF(Indices!D413&gt;=D148,Indices!D413,D148))</f>
        <v>4363.4859999999999</v>
      </c>
      <c r="E149">
        <f>IF($A148="Date",Indices!E413,IF(Indices!E413&gt;=E148,Indices!E413,E148))</f>
        <v>435.85</v>
      </c>
      <c r="F149">
        <f>IF($A148="Date",Indices!F413,IF(Indices!F413&gt;=F148,Indices!F413,F148))</f>
        <v>182.988</v>
      </c>
      <c r="G149">
        <f>IF($A148="Date",Indices!G413,IF(Indices!G413&gt;=G148,Indices!G413,G148))</f>
        <v>288.13099999999997</v>
      </c>
      <c r="H149">
        <f>IF($A148="Date",Indices!H413,IF(Indices!H413&gt;=H148,Indices!H413,H148))</f>
        <v>107.258</v>
      </c>
      <c r="I149">
        <f>IF($A148="Date",Indices!I413,IF(Indices!I413&gt;=I148,Indices!I413,I148))</f>
        <v>5355.2011460000003</v>
      </c>
      <c r="J149">
        <f>IF($A148="Date",Indices!J413,IF(Indices!J413&gt;=J148,Indices!J413,J148))</f>
        <v>7376.3701170000004</v>
      </c>
      <c r="K149">
        <f>IF($A148="Date",Indices!K413,IF(Indices!K413&gt;=K148,Indices!K413,K148))</f>
        <v>494.35000600000001</v>
      </c>
      <c r="L149">
        <f>IF($A148="Date",Indices!L413,IF(Indices!L413&gt;=L148,Indices!L413,L148))</f>
        <v>16271.75</v>
      </c>
      <c r="O149" s="52">
        <v>44764</v>
      </c>
      <c r="P149" s="53">
        <f>(PrevPeak[[#This Row],[Chine]]-Indices!B413)/PrevPeak[[#This Row],[Chine]]</f>
        <v>9.7526094844375549E-2</v>
      </c>
      <c r="Q149" s="53">
        <f>(PrevPeak[[#This Row],[DM]]-Indices!C413)/PrevPeak[[#This Row],[DM]]</f>
        <v>9.7817377101725056E-2</v>
      </c>
      <c r="R149" s="53">
        <f>(PrevPeak[[#This Row],[EM ex China]]-Indices!D413)/PrevPeak[[#This Row],[EM ex China]]</f>
        <v>0.1364748276951043</v>
      </c>
      <c r="S149" s="53">
        <f>(PrevPeak[[#This Row],[EM]]-Indices!E413)/PrevPeak[[#This Row],[EM]]</f>
        <v>0.12764483193759324</v>
      </c>
      <c r="T149" s="53">
        <f>(PrevPeak[[#This Row],[Japon]]-Indices!F413)/PrevPeak[[#This Row],[Japon]]</f>
        <v>0.10349312523225561</v>
      </c>
      <c r="U149" s="53">
        <f>(PrevPeak[[#This Row],[Monde]]-Indices!G413)/PrevPeak[[#This Row],[Monde]]</f>
        <v>9.9642176648815931E-2</v>
      </c>
      <c r="V149" s="53">
        <f>(PrevPeak[[#This Row],[RU]]-Indices!H413)/PrevPeak[[#This Row],[RU]]</f>
        <v>6.6857483824050351E-2</v>
      </c>
      <c r="W149" s="53">
        <f>(PrevPeak[[#This Row],[US]]-Indices!I413)/PrevPeak[[#This Row],[US]]</f>
        <v>0.18381051993448311</v>
      </c>
      <c r="X149" s="53">
        <f>(PrevPeak[[#This Row],[France]]-Indices!J413)/PrevPeak[[#This Row],[France]]</f>
        <v>0.1571979543607275</v>
      </c>
      <c r="Y149" s="53">
        <f>(PrevPeak[[#This Row],[Europe]]-Indices!K413)/PrevPeak[[#This Row],[Europe]]</f>
        <v>0.13884902228563947</v>
      </c>
      <c r="Z149" s="18">
        <f>(PrevPeak[[#This Row],[Allemagne]]-Indices!L413)/PrevPeak[[#This Row],[Allemagne]]</f>
        <v>0.18547914698787771</v>
      </c>
      <c r="AA149" s="54">
        <f>YEAR(DD[[#This Row],[Date]])</f>
        <v>2022</v>
      </c>
    </row>
    <row r="150" spans="1:27" x14ac:dyDescent="0.25">
      <c r="A150" s="1">
        <v>44767</v>
      </c>
      <c r="B150">
        <f>IF($A149="Date",Indices!B414,IF(Indices!B414&gt;=B149,Indices!B414,B149))</f>
        <v>2879.4960000000001</v>
      </c>
      <c r="C150">
        <f>IF($A149="Date",Indices!C414,IF(Indices!C414&gt;=C149,Indices!C414,C149))</f>
        <v>293.27100000000002</v>
      </c>
      <c r="D150">
        <f>IF($A149="Date",Indices!D414,IF(Indices!D414&gt;=D149,Indices!D414,D149))</f>
        <v>4363.4859999999999</v>
      </c>
      <c r="E150">
        <f>IF($A149="Date",Indices!E414,IF(Indices!E414&gt;=E149,Indices!E414,E149))</f>
        <v>435.85</v>
      </c>
      <c r="F150">
        <f>IF($A149="Date",Indices!F414,IF(Indices!F414&gt;=F149,Indices!F414,F149))</f>
        <v>182.988</v>
      </c>
      <c r="G150">
        <f>IF($A149="Date",Indices!G414,IF(Indices!G414&gt;=G149,Indices!G414,G149))</f>
        <v>288.13099999999997</v>
      </c>
      <c r="H150">
        <f>IF($A149="Date",Indices!H414,IF(Indices!H414&gt;=H149,Indices!H414,H149))</f>
        <v>107.258</v>
      </c>
      <c r="I150">
        <f>IF($A149="Date",Indices!I414,IF(Indices!I414&gt;=I149,Indices!I414,I149))</f>
        <v>5355.2011460000003</v>
      </c>
      <c r="J150">
        <f>IF($A149="Date",Indices!J414,IF(Indices!J414&gt;=J149,Indices!J414,J149))</f>
        <v>7376.3701170000004</v>
      </c>
      <c r="K150">
        <f>IF($A149="Date",Indices!K414,IF(Indices!K414&gt;=K149,Indices!K414,K149))</f>
        <v>494.35000600000001</v>
      </c>
      <c r="L150">
        <f>IF($A149="Date",Indices!L414,IF(Indices!L414&gt;=L149,Indices!L414,L149))</f>
        <v>16271.75</v>
      </c>
      <c r="O150" s="52">
        <v>44767</v>
      </c>
      <c r="P150" s="53">
        <f>(PrevPeak[[#This Row],[Chine]]-Indices!B414)/PrevPeak[[#This Row],[Chine]]</f>
        <v>0.10195082750592464</v>
      </c>
      <c r="Q150" s="53">
        <f>(PrevPeak[[#This Row],[DM]]-Indices!C414)/PrevPeak[[#This Row],[DM]]</f>
        <v>9.653187666015392E-2</v>
      </c>
      <c r="R150" s="53">
        <f>(PrevPeak[[#This Row],[EM ex China]]-Indices!D414)/PrevPeak[[#This Row],[EM ex China]]</f>
        <v>0.13651241232354133</v>
      </c>
      <c r="S150" s="53">
        <f>(PrevPeak[[#This Row],[EM]]-Indices!E414)/PrevPeak[[#This Row],[EM]]</f>
        <v>0.12944132155558111</v>
      </c>
      <c r="T150" s="53">
        <f>(PrevPeak[[#This Row],[Japon]]-Indices!F414)/PrevPeak[[#This Row],[Japon]]</f>
        <v>0.1133407655146786</v>
      </c>
      <c r="U150" s="53">
        <f>(PrevPeak[[#This Row],[Monde]]-Indices!G414)/PrevPeak[[#This Row],[Monde]]</f>
        <v>9.8712044174351088E-2</v>
      </c>
      <c r="V150" s="53">
        <f>(PrevPeak[[#This Row],[RU]]-Indices!H414)/PrevPeak[[#This Row],[RU]]</f>
        <v>6.0946502824964034E-2</v>
      </c>
      <c r="W150" s="53">
        <f>(PrevPeak[[#This Row],[US]]-Indices!I414)/PrevPeak[[#This Row],[US]]</f>
        <v>0.18262881791667449</v>
      </c>
      <c r="X150" s="53">
        <f>(PrevPeak[[#This Row],[France]]-Indices!J414)/PrevPeak[[#This Row],[France]]</f>
        <v>0.15438763157713722</v>
      </c>
      <c r="Y150" s="53">
        <f>(PrevPeak[[#This Row],[Europe]]-Indices!K414)/PrevPeak[[#This Row],[Europe]]</f>
        <v>0.13775666061183381</v>
      </c>
      <c r="Z150" s="18">
        <f>(PrevPeak[[#This Row],[Allemagne]]-Indices!L414)/PrevPeak[[#This Row],[Allemagne]]</f>
        <v>0.188143849923948</v>
      </c>
      <c r="AA150" s="54">
        <f>YEAR(DD[[#This Row],[Date]])</f>
        <v>2022</v>
      </c>
    </row>
    <row r="151" spans="1:27" x14ac:dyDescent="0.25">
      <c r="A151" s="1">
        <v>44768</v>
      </c>
      <c r="B151">
        <f>IF($A150="Date",Indices!B415,IF(Indices!B415&gt;=B150,Indices!B415,B150))</f>
        <v>2879.4960000000001</v>
      </c>
      <c r="C151">
        <f>IF($A150="Date",Indices!C415,IF(Indices!C415&gt;=C150,Indices!C415,C150))</f>
        <v>293.27100000000002</v>
      </c>
      <c r="D151">
        <f>IF($A150="Date",Indices!D415,IF(Indices!D415&gt;=D150,Indices!D415,D150))</f>
        <v>4363.4859999999999</v>
      </c>
      <c r="E151">
        <f>IF($A150="Date",Indices!E415,IF(Indices!E415&gt;=E150,Indices!E415,E150))</f>
        <v>435.85</v>
      </c>
      <c r="F151">
        <f>IF($A150="Date",Indices!F415,IF(Indices!F415&gt;=F150,Indices!F415,F150))</f>
        <v>182.988</v>
      </c>
      <c r="G151">
        <f>IF($A150="Date",Indices!G415,IF(Indices!G415&gt;=G150,Indices!G415,G150))</f>
        <v>288.13099999999997</v>
      </c>
      <c r="H151">
        <f>IF($A150="Date",Indices!H415,IF(Indices!H415&gt;=H150,Indices!H415,H150))</f>
        <v>107.258</v>
      </c>
      <c r="I151">
        <f>IF($A150="Date",Indices!I415,IF(Indices!I415&gt;=I150,Indices!I415,I150))</f>
        <v>5355.2011460000003</v>
      </c>
      <c r="J151">
        <f>IF($A150="Date",Indices!J415,IF(Indices!J415&gt;=J150,Indices!J415,J150))</f>
        <v>7376.3701170000004</v>
      </c>
      <c r="K151">
        <f>IF($A150="Date",Indices!K415,IF(Indices!K415&gt;=K150,Indices!K415,K150))</f>
        <v>494.35000600000001</v>
      </c>
      <c r="L151">
        <f>IF($A150="Date",Indices!L415,IF(Indices!L415&gt;=L150,Indices!L415,L150))</f>
        <v>16271.75</v>
      </c>
      <c r="O151" s="52">
        <v>44768</v>
      </c>
      <c r="P151" s="53">
        <f>(PrevPeak[[#This Row],[Chine]]-Indices!B415)/PrevPeak[[#This Row],[Chine]]</f>
        <v>8.4630435326182155E-2</v>
      </c>
      <c r="Q151" s="53">
        <f>(PrevPeak[[#This Row],[DM]]-Indices!C415)/PrevPeak[[#This Row],[DM]]</f>
        <v>9.8226554961111101E-2</v>
      </c>
      <c r="R151" s="53">
        <f>(PrevPeak[[#This Row],[EM ex China]]-Indices!D415)/PrevPeak[[#This Row],[EM ex China]]</f>
        <v>0.1309879302924313</v>
      </c>
      <c r="S151" s="53">
        <f>(PrevPeak[[#This Row],[EM]]-Indices!E415)/PrevPeak[[#This Row],[EM]]</f>
        <v>0.11969255477801997</v>
      </c>
      <c r="T151" s="53">
        <f>(PrevPeak[[#This Row],[Japon]]-Indices!F415)/PrevPeak[[#This Row],[Japon]]</f>
        <v>0.10584300609876054</v>
      </c>
      <c r="U151" s="53">
        <f>(PrevPeak[[#This Row],[Monde]]-Indices!G415)/PrevPeak[[#This Row],[Monde]]</f>
        <v>9.9086873678986151E-2</v>
      </c>
      <c r="V151" s="53">
        <f>(PrevPeak[[#This Row],[RU]]-Indices!H415)/PrevPeak[[#This Row],[RU]]</f>
        <v>5.2499580450875466E-2</v>
      </c>
      <c r="W151" s="53">
        <f>(PrevPeak[[#This Row],[US]]-Indices!I415)/PrevPeak[[#This Row],[US]]</f>
        <v>0.19241864066481881</v>
      </c>
      <c r="X151" s="53">
        <f>(PrevPeak[[#This Row],[France]]-Indices!J415)/PrevPeak[[#This Row],[France]]</f>
        <v>0.15792590441133908</v>
      </c>
      <c r="Y151" s="53">
        <f>(PrevPeak[[#This Row],[Europe]]-Indices!K415)/PrevPeak[[#This Row],[Europe]]</f>
        <v>0.1379993934904494</v>
      </c>
      <c r="Z151" s="18">
        <f>(PrevPeak[[#This Row],[Allemagne]]-Indices!L415)/PrevPeak[[#This Row],[Allemagne]]</f>
        <v>0.19511240708590036</v>
      </c>
      <c r="AA151" s="54">
        <f>YEAR(DD[[#This Row],[Date]])</f>
        <v>2022</v>
      </c>
    </row>
    <row r="152" spans="1:27" x14ac:dyDescent="0.25">
      <c r="A152" s="1">
        <v>44769</v>
      </c>
      <c r="B152">
        <f>IF($A151="Date",Indices!B416,IF(Indices!B416&gt;=B151,Indices!B416,B151))</f>
        <v>2879.4960000000001</v>
      </c>
      <c r="C152">
        <f>IF($A151="Date",Indices!C416,IF(Indices!C416&gt;=C151,Indices!C416,C151))</f>
        <v>293.27100000000002</v>
      </c>
      <c r="D152">
        <f>IF($A151="Date",Indices!D416,IF(Indices!D416&gt;=D151,Indices!D416,D151))</f>
        <v>4363.4859999999999</v>
      </c>
      <c r="E152">
        <f>IF($A151="Date",Indices!E416,IF(Indices!E416&gt;=E151,Indices!E416,E151))</f>
        <v>435.85</v>
      </c>
      <c r="F152">
        <f>IF($A151="Date",Indices!F416,IF(Indices!F416&gt;=F151,Indices!F416,F151))</f>
        <v>182.988</v>
      </c>
      <c r="G152">
        <f>IF($A151="Date",Indices!G416,IF(Indices!G416&gt;=G151,Indices!G416,G151))</f>
        <v>288.13099999999997</v>
      </c>
      <c r="H152">
        <f>IF($A151="Date",Indices!H416,IF(Indices!H416&gt;=H151,Indices!H416,H151))</f>
        <v>107.258</v>
      </c>
      <c r="I152">
        <f>IF($A151="Date",Indices!I416,IF(Indices!I416&gt;=I151,Indices!I416,I151))</f>
        <v>5355.2011460000003</v>
      </c>
      <c r="J152">
        <f>IF($A151="Date",Indices!J416,IF(Indices!J416&gt;=J151,Indices!J416,J151))</f>
        <v>7376.3701170000004</v>
      </c>
      <c r="K152">
        <f>IF($A151="Date",Indices!K416,IF(Indices!K416&gt;=K151,Indices!K416,K151))</f>
        <v>494.35000600000001</v>
      </c>
      <c r="L152">
        <f>IF($A151="Date",Indices!L416,IF(Indices!L416&gt;=L151,Indices!L416,L151))</f>
        <v>16271.75</v>
      </c>
      <c r="O152" s="52">
        <v>44769</v>
      </c>
      <c r="P152" s="53">
        <f>(PrevPeak[[#This Row],[Chine]]-Indices!B416)/PrevPeak[[#This Row],[Chine]]</f>
        <v>9.1189222002739434E-2</v>
      </c>
      <c r="Q152" s="53">
        <f>(PrevPeak[[#This Row],[DM]]-Indices!C416)/PrevPeak[[#This Row],[DM]]</f>
        <v>7.9660109591470074E-2</v>
      </c>
      <c r="R152" s="53">
        <f>(PrevPeak[[#This Row],[EM ex China]]-Indices!D416)/PrevPeak[[#This Row],[EM ex China]]</f>
        <v>0.12471565166016339</v>
      </c>
      <c r="S152" s="53">
        <f>(PrevPeak[[#This Row],[EM]]-Indices!E416)/PrevPeak[[#This Row],[EM]]</f>
        <v>0.11859355282780777</v>
      </c>
      <c r="T152" s="53">
        <f>(PrevPeak[[#This Row],[Japon]]-Indices!F416)/PrevPeak[[#This Row],[Japon]]</f>
        <v>0.1073185126893567</v>
      </c>
      <c r="U152" s="53">
        <f>(PrevPeak[[#This Row],[Monde]]-Indices!G416)/PrevPeak[[#This Row],[Monde]]</f>
        <v>8.2507609386008346E-2</v>
      </c>
      <c r="V152" s="53">
        <f>(PrevPeak[[#This Row],[RU]]-Indices!H416)/PrevPeak[[#This Row],[RU]]</f>
        <v>4.8061683044621391E-2</v>
      </c>
      <c r="W152" s="53">
        <f>(PrevPeak[[#This Row],[US]]-Indices!I416)/PrevPeak[[#This Row],[US]]</f>
        <v>0.17128330309033002</v>
      </c>
      <c r="X152" s="53">
        <f>(PrevPeak[[#This Row],[France]]-Indices!J416)/PrevPeak[[#This Row],[France]]</f>
        <v>0.15162338091230038</v>
      </c>
      <c r="Y152" s="53">
        <f>(PrevPeak[[#This Row],[Europe]]-Indices!K416)/PrevPeak[[#This Row],[Europe]]</f>
        <v>0.13397392575332545</v>
      </c>
      <c r="Z152" s="18">
        <f>(PrevPeak[[#This Row],[Allemagne]]-Indices!L416)/PrevPeak[[#This Row],[Allemagne]]</f>
        <v>0.19084426198780091</v>
      </c>
      <c r="AA152" s="54">
        <f>YEAR(DD[[#This Row],[Date]])</f>
        <v>2022</v>
      </c>
    </row>
    <row r="153" spans="1:27" x14ac:dyDescent="0.25">
      <c r="A153" s="1">
        <v>44770</v>
      </c>
      <c r="B153">
        <f>IF($A152="Date",Indices!B417,IF(Indices!B417&gt;=B152,Indices!B417,B152))</f>
        <v>2879.4960000000001</v>
      </c>
      <c r="C153">
        <f>IF($A152="Date",Indices!C417,IF(Indices!C417&gt;=C152,Indices!C417,C152))</f>
        <v>293.27100000000002</v>
      </c>
      <c r="D153">
        <f>IF($A152="Date",Indices!D417,IF(Indices!D417&gt;=D152,Indices!D417,D152))</f>
        <v>4363.4859999999999</v>
      </c>
      <c r="E153">
        <f>IF($A152="Date",Indices!E417,IF(Indices!E417&gt;=E152,Indices!E417,E152))</f>
        <v>435.85</v>
      </c>
      <c r="F153">
        <f>IF($A152="Date",Indices!F417,IF(Indices!F417&gt;=F152,Indices!F417,F152))</f>
        <v>182.988</v>
      </c>
      <c r="G153">
        <f>IF($A152="Date",Indices!G417,IF(Indices!G417&gt;=G152,Indices!G417,G152))</f>
        <v>288.13099999999997</v>
      </c>
      <c r="H153">
        <f>IF($A152="Date",Indices!H417,IF(Indices!H417&gt;=H152,Indices!H417,H152))</f>
        <v>107.258</v>
      </c>
      <c r="I153">
        <f>IF($A152="Date",Indices!I417,IF(Indices!I417&gt;=I152,Indices!I417,I152))</f>
        <v>5355.2011460000003</v>
      </c>
      <c r="J153">
        <f>IF($A152="Date",Indices!J417,IF(Indices!J417&gt;=J152,Indices!J417,J152))</f>
        <v>7376.3701170000004</v>
      </c>
      <c r="K153">
        <f>IF($A152="Date",Indices!K417,IF(Indices!K417&gt;=K152,Indices!K417,K152))</f>
        <v>494.35000600000001</v>
      </c>
      <c r="L153">
        <f>IF($A152="Date",Indices!L417,IF(Indices!L417&gt;=L152,Indices!L417,L152))</f>
        <v>16271.75</v>
      </c>
      <c r="O153" s="52">
        <v>44770</v>
      </c>
      <c r="P153" s="53">
        <f>(PrevPeak[[#This Row],[Chine]]-Indices!B417)/PrevPeak[[#This Row],[Chine]]</f>
        <v>9.4629407368511748E-2</v>
      </c>
      <c r="Q153" s="53">
        <f>(PrevPeak[[#This Row],[DM]]-Indices!C417)/PrevPeak[[#This Row],[DM]]</f>
        <v>7.0924162293578327E-2</v>
      </c>
      <c r="R153" s="53">
        <f>(PrevPeak[[#This Row],[EM ex China]]-Indices!D417)/PrevPeak[[#This Row],[EM ex China]]</f>
        <v>0.11669545863101201</v>
      </c>
      <c r="S153" s="53">
        <f>(PrevPeak[[#This Row],[EM]]-Indices!E417)/PrevPeak[[#This Row],[EM]]</f>
        <v>0.11478031432832406</v>
      </c>
      <c r="T153" s="53">
        <f>(PrevPeak[[#This Row],[Japon]]-Indices!F417)/PrevPeak[[#This Row],[Japon]]</f>
        <v>9.1137123745819351E-2</v>
      </c>
      <c r="U153" s="53">
        <f>(PrevPeak[[#This Row],[Monde]]-Indices!G417)/PrevPeak[[#This Row],[Monde]]</f>
        <v>7.4323831868143189E-2</v>
      </c>
      <c r="V153" s="53">
        <f>(PrevPeak[[#This Row],[RU]]-Indices!H417)/PrevPeak[[#This Row],[RU]]</f>
        <v>4.4602733595629156E-2</v>
      </c>
      <c r="W153" s="53">
        <f>(PrevPeak[[#This Row],[US]]-Indices!I417)/PrevPeak[[#This Row],[US]]</f>
        <v>0.16098831257607443</v>
      </c>
      <c r="X153" s="53">
        <f>(PrevPeak[[#This Row],[France]]-Indices!J417)/PrevPeak[[#This Row],[France]]</f>
        <v>0.14060576402066685</v>
      </c>
      <c r="Y153" s="53">
        <f>(PrevPeak[[#This Row],[Europe]]-Indices!K417)/PrevPeak[[#This Row],[Europe]]</f>
        <v>0.12456764691533148</v>
      </c>
      <c r="Z153" s="18">
        <f>(PrevPeak[[#This Row],[Allemagne]]-Indices!L417)/PrevPeak[[#This Row],[Allemagne]]</f>
        <v>0.18373190652511248</v>
      </c>
      <c r="AA153" s="54">
        <f>YEAR(DD[[#This Row],[Date]])</f>
        <v>2022</v>
      </c>
    </row>
    <row r="154" spans="1:27" x14ac:dyDescent="0.25">
      <c r="A154" s="1">
        <v>44771</v>
      </c>
      <c r="B154">
        <f>IF($A153="Date",Indices!B418,IF(Indices!B418&gt;=B153,Indices!B418,B153))</f>
        <v>2879.4960000000001</v>
      </c>
      <c r="C154">
        <f>IF($A153="Date",Indices!C418,IF(Indices!C418&gt;=C153,Indices!C418,C153))</f>
        <v>293.27100000000002</v>
      </c>
      <c r="D154">
        <f>IF($A153="Date",Indices!D418,IF(Indices!D418&gt;=D153,Indices!D418,D153))</f>
        <v>4363.4859999999999</v>
      </c>
      <c r="E154">
        <f>IF($A153="Date",Indices!E418,IF(Indices!E418&gt;=E153,Indices!E418,E153))</f>
        <v>435.85</v>
      </c>
      <c r="F154">
        <f>IF($A153="Date",Indices!F418,IF(Indices!F418&gt;=F153,Indices!F418,F153))</f>
        <v>182.988</v>
      </c>
      <c r="G154">
        <f>IF($A153="Date",Indices!G418,IF(Indices!G418&gt;=G153,Indices!G418,G153))</f>
        <v>288.13099999999997</v>
      </c>
      <c r="H154">
        <f>IF($A153="Date",Indices!H418,IF(Indices!H418&gt;=H153,Indices!H418,H153))</f>
        <v>107.258</v>
      </c>
      <c r="I154">
        <f>IF($A153="Date",Indices!I418,IF(Indices!I418&gt;=I153,Indices!I418,I153))</f>
        <v>5355.2011460000003</v>
      </c>
      <c r="J154">
        <f>IF($A153="Date",Indices!J418,IF(Indices!J418&gt;=J153,Indices!J418,J153))</f>
        <v>7376.3701170000004</v>
      </c>
      <c r="K154">
        <f>IF($A153="Date",Indices!K418,IF(Indices!K418&gt;=K153,Indices!K418,K153))</f>
        <v>494.35000600000001</v>
      </c>
      <c r="L154">
        <f>IF($A153="Date",Indices!L418,IF(Indices!L418&gt;=L153,Indices!L418,L153))</f>
        <v>16271.75</v>
      </c>
      <c r="O154" s="52">
        <v>44771</v>
      </c>
      <c r="P154" s="53">
        <f>(PrevPeak[[#This Row],[Chine]]-Indices!B418)/PrevPeak[[#This Row],[Chine]]</f>
        <v>0.11715696080147361</v>
      </c>
      <c r="Q154" s="53">
        <f>(PrevPeak[[#This Row],[DM]]-Indices!C418)/PrevPeak[[#This Row],[DM]]</f>
        <v>6.218139536469678E-2</v>
      </c>
      <c r="R154" s="53">
        <f>(PrevPeak[[#This Row],[EM ex China]]-Indices!D418)/PrevPeak[[#This Row],[EM ex China]]</f>
        <v>0.1130433327848422</v>
      </c>
      <c r="S154" s="53">
        <f>(PrevPeak[[#This Row],[EM]]-Indices!E418)/PrevPeak[[#This Row],[EM]]</f>
        <v>0.12172077549615698</v>
      </c>
      <c r="T154" s="53">
        <f>(PrevPeak[[#This Row],[Japon]]-Indices!F418)/PrevPeak[[#This Row],[Japon]]</f>
        <v>9.2169978359236598E-2</v>
      </c>
      <c r="U154" s="53">
        <f>(PrevPeak[[#This Row],[Monde]]-Indices!G418)/PrevPeak[[#This Row],[Monde]]</f>
        <v>6.7379074101710637E-2</v>
      </c>
      <c r="V154" s="53">
        <f>(PrevPeak[[#This Row],[RU]]-Indices!H418)/PrevPeak[[#This Row],[RU]]</f>
        <v>3.4878517220160735E-2</v>
      </c>
      <c r="W154" s="53">
        <f>(PrevPeak[[#This Row],[US]]-Indices!I418)/PrevPeak[[#This Row],[US]]</f>
        <v>0.14956856543068872</v>
      </c>
      <c r="X154" s="53">
        <f>(PrevPeak[[#This Row],[France]]-Indices!J418)/PrevPeak[[#This Row],[France]]</f>
        <v>0.12578952822087633</v>
      </c>
      <c r="Y154" s="53">
        <f>(PrevPeak[[#This Row],[Europe]]-Indices!K418)/PrevPeak[[#This Row],[Europe]]</f>
        <v>0.11340142878444713</v>
      </c>
      <c r="Z154" s="18">
        <f>(PrevPeak[[#This Row],[Allemagne]]-Indices!L418)/PrevPeak[[#This Row],[Allemagne]]</f>
        <v>0.1713214737197904</v>
      </c>
      <c r="AA154" s="54">
        <f>YEAR(DD[[#This Row],[Date]])</f>
        <v>2022</v>
      </c>
    </row>
  </sheetData>
  <pageMargins left="0.7" right="0.7" top="0.75" bottom="0.75" header="0.3" footer="0.3"/>
  <pageSetup paperSize="9"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9D1209-C851-465A-A44B-3B6A10F6345B}">
  <sheetPr codeName="Sheet7">
    <tabColor theme="3" tint="-0.249977111117893"/>
  </sheetPr>
  <dimension ref="A1:M123"/>
  <sheetViews>
    <sheetView workbookViewId="0"/>
  </sheetViews>
  <sheetFormatPr defaultRowHeight="15" x14ac:dyDescent="0.25"/>
  <cols>
    <col min="1" max="1" width="12" customWidth="1"/>
    <col min="2" max="2" width="12" bestFit="1" customWidth="1"/>
    <col min="3" max="3" width="12" customWidth="1"/>
    <col min="4" max="4" width="12.7109375" bestFit="1" customWidth="1"/>
    <col min="5" max="5" width="14.5703125" style="1" customWidth="1"/>
    <col min="6" max="6" width="14.140625" customWidth="1"/>
    <col min="8" max="8" width="21.42578125" bestFit="1" customWidth="1"/>
    <col min="10" max="10" width="9.7109375" style="1" bestFit="1" customWidth="1"/>
  </cols>
  <sheetData>
    <row r="1" spans="1:13" x14ac:dyDescent="0.25">
      <c r="A1" t="s">
        <v>119</v>
      </c>
    </row>
    <row r="3" spans="1:13" x14ac:dyDescent="0.25">
      <c r="E3" s="29" t="s">
        <v>124</v>
      </c>
      <c r="F3" s="28"/>
      <c r="G3" s="28"/>
      <c r="M3">
        <v>2</v>
      </c>
    </row>
    <row r="4" spans="1:13" x14ac:dyDescent="0.25">
      <c r="A4" s="74" t="s">
        <v>120</v>
      </c>
      <c r="B4" s="74" t="s">
        <v>122</v>
      </c>
      <c r="C4" s="75" t="s">
        <v>121</v>
      </c>
      <c r="D4" s="74" t="s">
        <v>123</v>
      </c>
      <c r="E4" s="21" t="s">
        <v>125</v>
      </c>
      <c r="F4" s="74" t="s">
        <v>126</v>
      </c>
      <c r="G4" s="74" t="s">
        <v>127</v>
      </c>
      <c r="H4" s="74" t="s">
        <v>138</v>
      </c>
      <c r="J4" s="1" t="s">
        <v>128</v>
      </c>
      <c r="M4">
        <f>IF(M3=1,2021,2022)</f>
        <v>2022</v>
      </c>
    </row>
    <row r="5" spans="1:13" x14ac:dyDescent="0.25">
      <c r="A5" s="19">
        <v>44607</v>
      </c>
      <c r="B5" s="70">
        <f ca="1">CORREL(OFFSET(INDEX(Rend_j[Date],MATCH(A5,Rend_j[Date],0)),-30,2,30,1),OFFSET(INDEX(Rend_j[Date],MATCH(A5,Rend_j[Date],0)),-30,4,30,1))</f>
        <v>0.53229842029529184</v>
      </c>
      <c r="C5" s="19">
        <f t="shared" ref="C5:C36" si="0">DATE(2021,MONTH(A5),DAY(A5)+1)</f>
        <v>44243</v>
      </c>
      <c r="D5" s="70">
        <f ca="1">_xlfn.IFNA(CORREL(OFFSET(INDEX(Rend_j[Date],MATCH(C5,Rend_j[Date],0)),-30,2,30,1),OFFSET(INDEX(Rend_j[Date],MATCH(C5,Rend_j[Date],0)),-30,4,30,1)),D6)</f>
        <v>0.69375478950051106</v>
      </c>
      <c r="E5" s="19">
        <f t="shared" ref="E5:E36" si="1">IF($M$4=2022,A5,C5)</f>
        <v>44607</v>
      </c>
      <c r="F5" s="70">
        <f t="shared" ref="F5:F36" ca="1" si="2">IF($M$4=2022,B5,D5)</f>
        <v>0.53229842029529184</v>
      </c>
      <c r="G5" s="71">
        <f>0</f>
        <v>0</v>
      </c>
      <c r="H5" s="71" t="str">
        <f t="shared" ref="H5:H36" si="3">IF(AND(E5&gt;=DATE(2022,2,21),E5&lt;=DATE(2022,2,25)),0.8,"")</f>
        <v/>
      </c>
    </row>
    <row r="6" spans="1:13" x14ac:dyDescent="0.25">
      <c r="A6" s="19">
        <v>44608</v>
      </c>
      <c r="B6" s="72">
        <f ca="1">CORREL(OFFSET(INDEX(Rend_j[Date],MATCH(A6,Rend_j[Date],0)),-30,2,30,1),OFFSET(INDEX(Rend_j[Date],MATCH(A6,Rend_j[Date],0)),-30,4,30,1))</f>
        <v>0.53528548261987785</v>
      </c>
      <c r="C6" s="20">
        <f t="shared" si="0"/>
        <v>44244</v>
      </c>
      <c r="D6" s="72">
        <f ca="1">_xlfn.IFNA(CORREL(OFFSET(INDEX(Rend_j[Date],MATCH(C6,Rend_j[Date],0)),-30,2,30,1),OFFSET(INDEX(Rend_j[Date],MATCH(C6,Rend_j[Date],0)),-30,4,30,1)),D7)</f>
        <v>0.69211086669852062</v>
      </c>
      <c r="E6" s="20">
        <f t="shared" si="1"/>
        <v>44608</v>
      </c>
      <c r="F6" s="72">
        <f t="shared" ca="1" si="2"/>
        <v>0.53528548261987785</v>
      </c>
      <c r="G6" s="73">
        <f>0</f>
        <v>0</v>
      </c>
      <c r="H6" s="73" t="str">
        <f t="shared" si="3"/>
        <v/>
      </c>
    </row>
    <row r="7" spans="1:13" x14ac:dyDescent="0.25">
      <c r="A7" s="19">
        <v>44609</v>
      </c>
      <c r="B7" s="70">
        <f ca="1">CORREL(OFFSET(INDEX(Rend_j[Date],MATCH(A7,Rend_j[Date],0)),-30,2,30,1),OFFSET(INDEX(Rend_j[Date],MATCH(A7,Rend_j[Date],0)),-30,4,30,1))</f>
        <v>0.49282956142917694</v>
      </c>
      <c r="C7" s="19">
        <f t="shared" si="0"/>
        <v>44245</v>
      </c>
      <c r="D7" s="70">
        <f ca="1">_xlfn.IFNA(CORREL(OFFSET(INDEX(Rend_j[Date],MATCH(C7,Rend_j[Date],0)),-30,2,30,1),OFFSET(INDEX(Rend_j[Date],MATCH(C7,Rend_j[Date],0)),-30,4,30,1)),D8)</f>
        <v>0.70682187000490337</v>
      </c>
      <c r="E7" s="19">
        <f t="shared" si="1"/>
        <v>44609</v>
      </c>
      <c r="F7" s="70">
        <f t="shared" ca="1" si="2"/>
        <v>0.49282956142917694</v>
      </c>
      <c r="G7" s="71">
        <f>0</f>
        <v>0</v>
      </c>
      <c r="H7" s="71" t="str">
        <f t="shared" si="3"/>
        <v/>
      </c>
    </row>
    <row r="8" spans="1:13" x14ac:dyDescent="0.25">
      <c r="A8" s="19">
        <v>44610</v>
      </c>
      <c r="B8" s="72">
        <f ca="1">CORREL(OFFSET(INDEX(Rend_j[Date],MATCH(A8,Rend_j[Date],0)),-30,2,30,1),OFFSET(INDEX(Rend_j[Date],MATCH(A8,Rend_j[Date],0)),-30,4,30,1))</f>
        <v>0.48651595304743206</v>
      </c>
      <c r="C8" s="20">
        <f t="shared" si="0"/>
        <v>44246</v>
      </c>
      <c r="D8" s="72">
        <f ca="1">_xlfn.IFNA(CORREL(OFFSET(INDEX(Rend_j[Date],MATCH(C8,Rend_j[Date],0)),-30,2,30,1),OFFSET(INDEX(Rend_j[Date],MATCH(C8,Rend_j[Date],0)),-30,4,30,1)),D9)</f>
        <v>0.73884196433097671</v>
      </c>
      <c r="E8" s="20">
        <f t="shared" si="1"/>
        <v>44610</v>
      </c>
      <c r="F8" s="72">
        <f t="shared" ca="1" si="2"/>
        <v>0.48651595304743206</v>
      </c>
      <c r="G8" s="73">
        <f>0</f>
        <v>0</v>
      </c>
      <c r="H8" s="73" t="str">
        <f t="shared" si="3"/>
        <v/>
      </c>
    </row>
    <row r="9" spans="1:13" x14ac:dyDescent="0.25">
      <c r="A9" s="19">
        <v>44613</v>
      </c>
      <c r="B9" s="70">
        <f ca="1">CORREL(OFFSET(INDEX(Rend_j[Date],MATCH(A9,Rend_j[Date],0)),-30,2,30,1),OFFSET(INDEX(Rend_j[Date],MATCH(A9,Rend_j[Date],0)),-30,4,30,1))</f>
        <v>0.49797179172218187</v>
      </c>
      <c r="C9" s="19">
        <f t="shared" si="0"/>
        <v>44249</v>
      </c>
      <c r="D9" s="70">
        <f ca="1">_xlfn.IFNA(CORREL(OFFSET(INDEX(Rend_j[Date],MATCH(C9,Rend_j[Date],0)),-30,2,30,1),OFFSET(INDEX(Rend_j[Date],MATCH(C9,Rend_j[Date],0)),-30,4,30,1)),D10)</f>
        <v>0.7421757201430631</v>
      </c>
      <c r="E9" s="19">
        <f t="shared" si="1"/>
        <v>44613</v>
      </c>
      <c r="F9" s="70">
        <f t="shared" ca="1" si="2"/>
        <v>0.49797179172218187</v>
      </c>
      <c r="G9" s="71">
        <f>0</f>
        <v>0</v>
      </c>
      <c r="H9" s="71">
        <f t="shared" si="3"/>
        <v>0.8</v>
      </c>
    </row>
    <row r="10" spans="1:13" x14ac:dyDescent="0.25">
      <c r="A10" s="19">
        <v>44614</v>
      </c>
      <c r="B10" s="72">
        <f ca="1">CORREL(OFFSET(INDEX(Rend_j[Date],MATCH(A10,Rend_j[Date],0)),-30,2,30,1),OFFSET(INDEX(Rend_j[Date],MATCH(A10,Rend_j[Date],0)),-30,4,30,1))</f>
        <v>0.49082749423110295</v>
      </c>
      <c r="C10" s="20">
        <f t="shared" si="0"/>
        <v>44250</v>
      </c>
      <c r="D10" s="72">
        <f ca="1">_xlfn.IFNA(CORREL(OFFSET(INDEX(Rend_j[Date],MATCH(C10,Rend_j[Date],0)),-30,2,30,1),OFFSET(INDEX(Rend_j[Date],MATCH(C10,Rend_j[Date],0)),-30,4,30,1)),D11)</f>
        <v>0.74793688727641894</v>
      </c>
      <c r="E10" s="20">
        <f t="shared" si="1"/>
        <v>44614</v>
      </c>
      <c r="F10" s="72">
        <f t="shared" ca="1" si="2"/>
        <v>0.49082749423110295</v>
      </c>
      <c r="G10" s="73">
        <f>0</f>
        <v>0</v>
      </c>
      <c r="H10" s="73">
        <f t="shared" si="3"/>
        <v>0.8</v>
      </c>
    </row>
    <row r="11" spans="1:13" x14ac:dyDescent="0.25">
      <c r="A11" s="19">
        <v>44615</v>
      </c>
      <c r="B11" s="70">
        <f ca="1">CORREL(OFFSET(INDEX(Rend_j[Date],MATCH(A11,Rend_j[Date],0)),-30,2,30,1),OFFSET(INDEX(Rend_j[Date],MATCH(A11,Rend_j[Date],0)),-30,4,30,1))</f>
        <v>0.48626031374883311</v>
      </c>
      <c r="C11" s="19">
        <f t="shared" si="0"/>
        <v>44251</v>
      </c>
      <c r="D11" s="70">
        <f ca="1">_xlfn.IFNA(CORREL(OFFSET(INDEX(Rend_j[Date],MATCH(C11,Rend_j[Date],0)),-30,2,30,1),OFFSET(INDEX(Rend_j[Date],MATCH(C11,Rend_j[Date],0)),-30,4,30,1)),D12)</f>
        <v>0.7484415600143064</v>
      </c>
      <c r="E11" s="19">
        <f t="shared" si="1"/>
        <v>44615</v>
      </c>
      <c r="F11" s="70">
        <f t="shared" ca="1" si="2"/>
        <v>0.48626031374883311</v>
      </c>
      <c r="G11" s="71">
        <f>0</f>
        <v>0</v>
      </c>
      <c r="H11" s="71">
        <f t="shared" si="3"/>
        <v>0.8</v>
      </c>
    </row>
    <row r="12" spans="1:13" x14ac:dyDescent="0.25">
      <c r="A12" s="19">
        <v>44616</v>
      </c>
      <c r="B12" s="72">
        <f ca="1">CORREL(OFFSET(INDEX(Rend_j[Date],MATCH(A12,Rend_j[Date],0)),-30,2,30,1),OFFSET(INDEX(Rend_j[Date],MATCH(A12,Rend_j[Date],0)),-30,4,30,1))</f>
        <v>0.48182116575902573</v>
      </c>
      <c r="C12" s="20">
        <f t="shared" si="0"/>
        <v>44252</v>
      </c>
      <c r="D12" s="72">
        <f ca="1">_xlfn.IFNA(CORREL(OFFSET(INDEX(Rend_j[Date],MATCH(C12,Rend_j[Date],0)),-30,2,30,1),OFFSET(INDEX(Rend_j[Date],MATCH(C12,Rend_j[Date],0)),-30,4,30,1)),D13)</f>
        <v>0.69472307381038578</v>
      </c>
      <c r="E12" s="20">
        <f t="shared" si="1"/>
        <v>44616</v>
      </c>
      <c r="F12" s="72">
        <f t="shared" ca="1" si="2"/>
        <v>0.48182116575902573</v>
      </c>
      <c r="G12" s="73">
        <f>0</f>
        <v>0</v>
      </c>
      <c r="H12" s="73">
        <f t="shared" si="3"/>
        <v>0.8</v>
      </c>
    </row>
    <row r="13" spans="1:13" x14ac:dyDescent="0.25">
      <c r="A13" s="19">
        <v>44617</v>
      </c>
      <c r="B13" s="70">
        <f ca="1">CORREL(OFFSET(INDEX(Rend_j[Date],MATCH(A13,Rend_j[Date],0)),-30,2,30,1),OFFSET(INDEX(Rend_j[Date],MATCH(A13,Rend_j[Date],0)),-30,4,30,1))</f>
        <v>0.21090378527887305</v>
      </c>
      <c r="C13" s="19">
        <f t="shared" si="0"/>
        <v>44253</v>
      </c>
      <c r="D13" s="70">
        <f ca="1">_xlfn.IFNA(CORREL(OFFSET(INDEX(Rend_j[Date],MATCH(C13,Rend_j[Date],0)),-30,2,30,1),OFFSET(INDEX(Rend_j[Date],MATCH(C13,Rend_j[Date],0)),-30,4,30,1)),D14)</f>
        <v>0.63846924197125132</v>
      </c>
      <c r="E13" s="19">
        <f t="shared" si="1"/>
        <v>44617</v>
      </c>
      <c r="F13" s="70">
        <f t="shared" ca="1" si="2"/>
        <v>0.21090378527887305</v>
      </c>
      <c r="G13" s="71">
        <f>0</f>
        <v>0</v>
      </c>
      <c r="H13" s="71">
        <f t="shared" si="3"/>
        <v>0.8</v>
      </c>
    </row>
    <row r="14" spans="1:13" x14ac:dyDescent="0.25">
      <c r="A14" s="19">
        <v>44620</v>
      </c>
      <c r="B14" s="72">
        <f ca="1">CORREL(OFFSET(INDEX(Rend_j[Date],MATCH(A14,Rend_j[Date],0)),-30,2,30,1),OFFSET(INDEX(Rend_j[Date],MATCH(A14,Rend_j[Date],0)),-30,4,30,1))</f>
        <v>0.229077741610517</v>
      </c>
      <c r="C14" s="20">
        <f t="shared" si="0"/>
        <v>44256</v>
      </c>
      <c r="D14" s="72">
        <f ca="1">_xlfn.IFNA(CORREL(OFFSET(INDEX(Rend_j[Date],MATCH(C14,Rend_j[Date],0)),-30,2,30,1),OFFSET(INDEX(Rend_j[Date],MATCH(C14,Rend_j[Date],0)),-30,4,30,1)),D15)</f>
        <v>0.62694407367480998</v>
      </c>
      <c r="E14" s="20">
        <f t="shared" si="1"/>
        <v>44620</v>
      </c>
      <c r="F14" s="72">
        <f t="shared" ca="1" si="2"/>
        <v>0.229077741610517</v>
      </c>
      <c r="G14" s="73">
        <f>0</f>
        <v>0</v>
      </c>
      <c r="H14" s="73" t="str">
        <f t="shared" si="3"/>
        <v/>
      </c>
    </row>
    <row r="15" spans="1:13" x14ac:dyDescent="0.25">
      <c r="A15" s="19">
        <v>44621</v>
      </c>
      <c r="B15" s="70">
        <f ca="1">CORREL(OFFSET(INDEX(Rend_j[Date],MATCH(A15,Rend_j[Date],0)),-30,2,30,1),OFFSET(INDEX(Rend_j[Date],MATCH(A15,Rend_j[Date],0)),-30,4,30,1))</f>
        <v>0.22773357726753404</v>
      </c>
      <c r="C15" s="19">
        <f t="shared" si="0"/>
        <v>44257</v>
      </c>
      <c r="D15" s="70">
        <f ca="1">_xlfn.IFNA(CORREL(OFFSET(INDEX(Rend_j[Date],MATCH(C15,Rend_j[Date],0)),-30,2,30,1),OFFSET(INDEX(Rend_j[Date],MATCH(C15,Rend_j[Date],0)),-30,4,30,1)),D16)</f>
        <v>0.67819763844476366</v>
      </c>
      <c r="E15" s="19">
        <f t="shared" si="1"/>
        <v>44621</v>
      </c>
      <c r="F15" s="70">
        <f t="shared" ca="1" si="2"/>
        <v>0.22773357726753404</v>
      </c>
      <c r="G15" s="71">
        <f>0</f>
        <v>0</v>
      </c>
      <c r="H15" s="71" t="str">
        <f t="shared" si="3"/>
        <v/>
      </c>
    </row>
    <row r="16" spans="1:13" x14ac:dyDescent="0.25">
      <c r="A16" s="19">
        <v>44622</v>
      </c>
      <c r="B16" s="72">
        <f ca="1">CORREL(OFFSET(INDEX(Rend_j[Date],MATCH(A16,Rend_j[Date],0)),-30,2,30,1),OFFSET(INDEX(Rend_j[Date],MATCH(A16,Rend_j[Date],0)),-30,4,30,1))</f>
        <v>0.17873981820058424</v>
      </c>
      <c r="C16" s="20">
        <f t="shared" si="0"/>
        <v>44258</v>
      </c>
      <c r="D16" s="72">
        <f ca="1">_xlfn.IFNA(CORREL(OFFSET(INDEX(Rend_j[Date],MATCH(C16,Rend_j[Date],0)),-30,2,30,1),OFFSET(INDEX(Rend_j[Date],MATCH(C16,Rend_j[Date],0)),-30,4,30,1)),D17)</f>
        <v>0.68145169073790535</v>
      </c>
      <c r="E16" s="20">
        <f t="shared" si="1"/>
        <v>44622</v>
      </c>
      <c r="F16" s="72">
        <f t="shared" ca="1" si="2"/>
        <v>0.17873981820058424</v>
      </c>
      <c r="G16" s="73">
        <f>0</f>
        <v>0</v>
      </c>
      <c r="H16" s="73" t="str">
        <f t="shared" si="3"/>
        <v/>
      </c>
    </row>
    <row r="17" spans="1:8" x14ac:dyDescent="0.25">
      <c r="A17" s="19">
        <v>44623</v>
      </c>
      <c r="B17" s="70">
        <f ca="1">CORREL(OFFSET(INDEX(Rend_j[Date],MATCH(A17,Rend_j[Date],0)),-30,2,30,1),OFFSET(INDEX(Rend_j[Date],MATCH(A17,Rend_j[Date],0)),-30,4,30,1))</f>
        <v>0.17643958692703265</v>
      </c>
      <c r="C17" s="19">
        <f t="shared" si="0"/>
        <v>44259</v>
      </c>
      <c r="D17" s="70">
        <f ca="1">_xlfn.IFNA(CORREL(OFFSET(INDEX(Rend_j[Date],MATCH(C17,Rend_j[Date],0)),-30,2,30,1),OFFSET(INDEX(Rend_j[Date],MATCH(C17,Rend_j[Date],0)),-30,4,30,1)),D18)</f>
        <v>0.61042671390021741</v>
      </c>
      <c r="E17" s="19">
        <f t="shared" si="1"/>
        <v>44623</v>
      </c>
      <c r="F17" s="70">
        <f t="shared" ca="1" si="2"/>
        <v>0.17643958692703265</v>
      </c>
      <c r="G17" s="71">
        <f>0</f>
        <v>0</v>
      </c>
      <c r="H17" s="71" t="str">
        <f t="shared" si="3"/>
        <v/>
      </c>
    </row>
    <row r="18" spans="1:8" x14ac:dyDescent="0.25">
      <c r="A18" s="19">
        <v>44624</v>
      </c>
      <c r="B18" s="72">
        <f ca="1">CORREL(OFFSET(INDEX(Rend_j[Date],MATCH(A18,Rend_j[Date],0)),-30,2,30,1),OFFSET(INDEX(Rend_j[Date],MATCH(A18,Rend_j[Date],0)),-30,4,30,1))</f>
        <v>0.19433472281725911</v>
      </c>
      <c r="C18" s="20">
        <f t="shared" si="0"/>
        <v>44260</v>
      </c>
      <c r="D18" s="72">
        <f ca="1">_xlfn.IFNA(CORREL(OFFSET(INDEX(Rend_j[Date],MATCH(C18,Rend_j[Date],0)),-30,2,30,1),OFFSET(INDEX(Rend_j[Date],MATCH(C18,Rend_j[Date],0)),-30,4,30,1)),D19)</f>
        <v>0.62556410577787536</v>
      </c>
      <c r="E18" s="20">
        <f t="shared" si="1"/>
        <v>44624</v>
      </c>
      <c r="F18" s="72">
        <f t="shared" ca="1" si="2"/>
        <v>0.19433472281725911</v>
      </c>
      <c r="G18" s="73">
        <f>0</f>
        <v>0</v>
      </c>
      <c r="H18" s="73" t="str">
        <f t="shared" si="3"/>
        <v/>
      </c>
    </row>
    <row r="19" spans="1:8" x14ac:dyDescent="0.25">
      <c r="A19" s="19">
        <v>44627</v>
      </c>
      <c r="B19" s="70">
        <f ca="1">CORREL(OFFSET(INDEX(Rend_j[Date],MATCH(A19,Rend_j[Date],0)),-30,2,30,1),OFFSET(INDEX(Rend_j[Date],MATCH(A19,Rend_j[Date],0)),-30,4,30,1))</f>
        <v>0.16102592571324478</v>
      </c>
      <c r="C19" s="19">
        <f t="shared" si="0"/>
        <v>44263</v>
      </c>
      <c r="D19" s="70">
        <f ca="1">_xlfn.IFNA(CORREL(OFFSET(INDEX(Rend_j[Date],MATCH(C19,Rend_j[Date],0)),-30,2,30,1),OFFSET(INDEX(Rend_j[Date],MATCH(C19,Rend_j[Date],0)),-30,4,30,1)),D20)</f>
        <v>0.61499741087761195</v>
      </c>
      <c r="E19" s="19">
        <f t="shared" si="1"/>
        <v>44627</v>
      </c>
      <c r="F19" s="70">
        <f t="shared" ca="1" si="2"/>
        <v>0.16102592571324478</v>
      </c>
      <c r="G19" s="71">
        <f>0</f>
        <v>0</v>
      </c>
      <c r="H19" s="71" t="str">
        <f t="shared" si="3"/>
        <v/>
      </c>
    </row>
    <row r="20" spans="1:8" x14ac:dyDescent="0.25">
      <c r="A20" s="19">
        <v>44628</v>
      </c>
      <c r="B20" s="72">
        <f ca="1">CORREL(OFFSET(INDEX(Rend_j[Date],MATCH(A20,Rend_j[Date],0)),-30,2,30,1),OFFSET(INDEX(Rend_j[Date],MATCH(A20,Rend_j[Date],0)),-30,4,30,1))</f>
        <v>0.30142094493687333</v>
      </c>
      <c r="C20" s="20">
        <f t="shared" si="0"/>
        <v>44264</v>
      </c>
      <c r="D20" s="72">
        <f ca="1">_xlfn.IFNA(CORREL(OFFSET(INDEX(Rend_j[Date],MATCH(C20,Rend_j[Date],0)),-30,2,30,1),OFFSET(INDEX(Rend_j[Date],MATCH(C20,Rend_j[Date],0)),-30,4,30,1)),D21)</f>
        <v>0.59435421827744117</v>
      </c>
      <c r="E20" s="20">
        <f t="shared" si="1"/>
        <v>44628</v>
      </c>
      <c r="F20" s="72">
        <f t="shared" ca="1" si="2"/>
        <v>0.30142094493687333</v>
      </c>
      <c r="G20" s="73">
        <f>0</f>
        <v>0</v>
      </c>
      <c r="H20" s="73" t="str">
        <f t="shared" si="3"/>
        <v/>
      </c>
    </row>
    <row r="21" spans="1:8" x14ac:dyDescent="0.25">
      <c r="A21" s="19">
        <v>44629</v>
      </c>
      <c r="B21" s="70">
        <f ca="1">CORREL(OFFSET(INDEX(Rend_j[Date],MATCH(A21,Rend_j[Date],0)),-30,2,30,1),OFFSET(INDEX(Rend_j[Date],MATCH(A21,Rend_j[Date],0)),-30,4,30,1))</f>
        <v>0.30757432257466349</v>
      </c>
      <c r="C21" s="19">
        <f t="shared" si="0"/>
        <v>44265</v>
      </c>
      <c r="D21" s="70">
        <f ca="1">_xlfn.IFNA(CORREL(OFFSET(INDEX(Rend_j[Date],MATCH(C21,Rend_j[Date],0)),-30,2,30,1),OFFSET(INDEX(Rend_j[Date],MATCH(C21,Rend_j[Date],0)),-30,4,30,1)),D22)</f>
        <v>0.59786774594555203</v>
      </c>
      <c r="E21" s="19">
        <f t="shared" si="1"/>
        <v>44629</v>
      </c>
      <c r="F21" s="70">
        <f t="shared" ca="1" si="2"/>
        <v>0.30757432257466349</v>
      </c>
      <c r="G21" s="71">
        <f>0</f>
        <v>0</v>
      </c>
      <c r="H21" s="71" t="str">
        <f t="shared" si="3"/>
        <v/>
      </c>
    </row>
    <row r="22" spans="1:8" x14ac:dyDescent="0.25">
      <c r="A22" s="19">
        <v>44630</v>
      </c>
      <c r="B22" s="72">
        <f ca="1">CORREL(OFFSET(INDEX(Rend_j[Date],MATCH(A22,Rend_j[Date],0)),-30,2,30,1),OFFSET(INDEX(Rend_j[Date],MATCH(A22,Rend_j[Date],0)),-30,4,30,1))</f>
        <v>0.21351444788993315</v>
      </c>
      <c r="C22" s="20">
        <f t="shared" si="0"/>
        <v>44266</v>
      </c>
      <c r="D22" s="72">
        <f ca="1">_xlfn.IFNA(CORREL(OFFSET(INDEX(Rend_j[Date],MATCH(C22,Rend_j[Date],0)),-30,2,30,1),OFFSET(INDEX(Rend_j[Date],MATCH(C22,Rend_j[Date],0)),-30,4,30,1)),D23)</f>
        <v>0.60234954219741876</v>
      </c>
      <c r="E22" s="20">
        <f t="shared" si="1"/>
        <v>44630</v>
      </c>
      <c r="F22" s="72">
        <f t="shared" ca="1" si="2"/>
        <v>0.21351444788993315</v>
      </c>
      <c r="G22" s="73">
        <f>0</f>
        <v>0</v>
      </c>
      <c r="H22" s="73" t="str">
        <f t="shared" si="3"/>
        <v/>
      </c>
    </row>
    <row r="23" spans="1:8" x14ac:dyDescent="0.25">
      <c r="A23" s="19">
        <v>44631</v>
      </c>
      <c r="B23" s="70">
        <f ca="1">CORREL(OFFSET(INDEX(Rend_j[Date],MATCH(A23,Rend_j[Date],0)),-30,2,30,1),OFFSET(INDEX(Rend_j[Date],MATCH(A23,Rend_j[Date],0)),-30,4,30,1))</f>
        <v>0.20484206798512289</v>
      </c>
      <c r="C23" s="19">
        <f t="shared" si="0"/>
        <v>44267</v>
      </c>
      <c r="D23" s="70">
        <f ca="1">_xlfn.IFNA(CORREL(OFFSET(INDEX(Rend_j[Date],MATCH(C23,Rend_j[Date],0)),-30,2,30,1),OFFSET(INDEX(Rend_j[Date],MATCH(C23,Rend_j[Date],0)),-30,4,30,1)),D24)</f>
        <v>0.62321930992070274</v>
      </c>
      <c r="E23" s="19">
        <f t="shared" si="1"/>
        <v>44631</v>
      </c>
      <c r="F23" s="70">
        <f t="shared" ca="1" si="2"/>
        <v>0.20484206798512289</v>
      </c>
      <c r="G23" s="71">
        <f>0</f>
        <v>0</v>
      </c>
      <c r="H23" s="71" t="str">
        <f t="shared" si="3"/>
        <v/>
      </c>
    </row>
    <row r="24" spans="1:8" x14ac:dyDescent="0.25">
      <c r="A24" s="19">
        <v>44634</v>
      </c>
      <c r="B24" s="72">
        <f ca="1">CORREL(OFFSET(INDEX(Rend_j[Date],MATCH(A24,Rend_j[Date],0)),-30,2,30,1),OFFSET(INDEX(Rend_j[Date],MATCH(A24,Rend_j[Date],0)),-30,4,30,1))</f>
        <v>0.22040306429703577</v>
      </c>
      <c r="C24" s="20">
        <f t="shared" si="0"/>
        <v>44270</v>
      </c>
      <c r="D24" s="72">
        <f ca="1">_xlfn.IFNA(CORREL(OFFSET(INDEX(Rend_j[Date],MATCH(C24,Rend_j[Date],0)),-30,2,30,1),OFFSET(INDEX(Rend_j[Date],MATCH(C24,Rend_j[Date],0)),-30,4,30,1)),D25)</f>
        <v>0.58703393209033694</v>
      </c>
      <c r="E24" s="20">
        <f t="shared" si="1"/>
        <v>44634</v>
      </c>
      <c r="F24" s="72">
        <f t="shared" ca="1" si="2"/>
        <v>0.22040306429703577</v>
      </c>
      <c r="G24" s="73">
        <f>0</f>
        <v>0</v>
      </c>
      <c r="H24" s="73" t="str">
        <f t="shared" si="3"/>
        <v/>
      </c>
    </row>
    <row r="25" spans="1:8" x14ac:dyDescent="0.25">
      <c r="A25" s="19">
        <v>44635</v>
      </c>
      <c r="B25" s="70">
        <f ca="1">CORREL(OFFSET(INDEX(Rend_j[Date],MATCH(A25,Rend_j[Date],0)),-30,2,30,1),OFFSET(INDEX(Rend_j[Date],MATCH(A25,Rend_j[Date],0)),-30,4,30,1))</f>
        <v>0.18912630637195468</v>
      </c>
      <c r="C25" s="19">
        <f t="shared" si="0"/>
        <v>44271</v>
      </c>
      <c r="D25" s="70">
        <f ca="1">_xlfn.IFNA(CORREL(OFFSET(INDEX(Rend_j[Date],MATCH(C25,Rend_j[Date],0)),-30,2,30,1),OFFSET(INDEX(Rend_j[Date],MATCH(C25,Rend_j[Date],0)),-30,4,30,1)),D26)</f>
        <v>0.52271605707297653</v>
      </c>
      <c r="E25" s="19">
        <f t="shared" si="1"/>
        <v>44635</v>
      </c>
      <c r="F25" s="70">
        <f t="shared" ca="1" si="2"/>
        <v>0.18912630637195468</v>
      </c>
      <c r="G25" s="71">
        <f>0</f>
        <v>0</v>
      </c>
      <c r="H25" s="71" t="str">
        <f t="shared" si="3"/>
        <v/>
      </c>
    </row>
    <row r="26" spans="1:8" x14ac:dyDescent="0.25">
      <c r="A26" s="19">
        <v>44636</v>
      </c>
      <c r="B26" s="72">
        <f ca="1">CORREL(OFFSET(INDEX(Rend_j[Date],MATCH(A26,Rend_j[Date],0)),-30,2,30,1),OFFSET(INDEX(Rend_j[Date],MATCH(A26,Rend_j[Date],0)),-30,4,30,1))</f>
        <v>8.2270610359216054E-2</v>
      </c>
      <c r="C26" s="20">
        <f t="shared" si="0"/>
        <v>44272</v>
      </c>
      <c r="D26" s="72">
        <f ca="1">_xlfn.IFNA(CORREL(OFFSET(INDEX(Rend_j[Date],MATCH(C26,Rend_j[Date],0)),-30,2,30,1),OFFSET(INDEX(Rend_j[Date],MATCH(C26,Rend_j[Date],0)),-30,4,30,1)),D27)</f>
        <v>0.4755512112141142</v>
      </c>
      <c r="E26" s="20">
        <f t="shared" si="1"/>
        <v>44636</v>
      </c>
      <c r="F26" s="72">
        <f t="shared" ca="1" si="2"/>
        <v>8.2270610359216054E-2</v>
      </c>
      <c r="G26" s="73">
        <f>0</f>
        <v>0</v>
      </c>
      <c r="H26" s="73" t="str">
        <f t="shared" si="3"/>
        <v/>
      </c>
    </row>
    <row r="27" spans="1:8" x14ac:dyDescent="0.25">
      <c r="A27" s="19">
        <v>44637</v>
      </c>
      <c r="B27" s="70">
        <f ca="1">CORREL(OFFSET(INDEX(Rend_j[Date],MATCH(A27,Rend_j[Date],0)),-30,2,30,1),OFFSET(INDEX(Rend_j[Date],MATCH(A27,Rend_j[Date],0)),-30,4,30,1))</f>
        <v>0.28262295682968891</v>
      </c>
      <c r="C27" s="19">
        <f t="shared" si="0"/>
        <v>44273</v>
      </c>
      <c r="D27" s="70">
        <f ca="1">_xlfn.IFNA(CORREL(OFFSET(INDEX(Rend_j[Date],MATCH(C27,Rend_j[Date],0)),-30,2,30,1),OFFSET(INDEX(Rend_j[Date],MATCH(C27,Rend_j[Date],0)),-30,4,30,1)),D28)</f>
        <v>0.47588153142946893</v>
      </c>
      <c r="E27" s="19">
        <f t="shared" si="1"/>
        <v>44637</v>
      </c>
      <c r="F27" s="70">
        <f t="shared" ca="1" si="2"/>
        <v>0.28262295682968891</v>
      </c>
      <c r="G27" s="71">
        <f>0</f>
        <v>0</v>
      </c>
      <c r="H27" s="71" t="str">
        <f t="shared" si="3"/>
        <v/>
      </c>
    </row>
    <row r="28" spans="1:8" x14ac:dyDescent="0.25">
      <c r="A28" s="19">
        <v>44638</v>
      </c>
      <c r="B28" s="72">
        <f ca="1">CORREL(OFFSET(INDEX(Rend_j[Date],MATCH(A28,Rend_j[Date],0)),-30,2,30,1),OFFSET(INDEX(Rend_j[Date],MATCH(A28,Rend_j[Date],0)),-30,4,30,1))</f>
        <v>0.26725787836927539</v>
      </c>
      <c r="C28" s="20">
        <f t="shared" si="0"/>
        <v>44274</v>
      </c>
      <c r="D28" s="72">
        <f ca="1">_xlfn.IFNA(CORREL(OFFSET(INDEX(Rend_j[Date],MATCH(C28,Rend_j[Date],0)),-30,2,30,1),OFFSET(INDEX(Rend_j[Date],MATCH(C28,Rend_j[Date],0)),-30,4,30,1)),D29)</f>
        <v>0.46222277949450602</v>
      </c>
      <c r="E28" s="20">
        <f t="shared" si="1"/>
        <v>44638</v>
      </c>
      <c r="F28" s="72">
        <f t="shared" ca="1" si="2"/>
        <v>0.26725787836927539</v>
      </c>
      <c r="G28" s="73">
        <f>0</f>
        <v>0</v>
      </c>
      <c r="H28" s="73" t="str">
        <f t="shared" si="3"/>
        <v/>
      </c>
    </row>
    <row r="29" spans="1:8" x14ac:dyDescent="0.25">
      <c r="A29" s="19">
        <v>44641</v>
      </c>
      <c r="B29" s="70">
        <f ca="1">CORREL(OFFSET(INDEX(Rend_j[Date],MATCH(A29,Rend_j[Date],0)),-30,2,30,1),OFFSET(INDEX(Rend_j[Date],MATCH(A29,Rend_j[Date],0)),-30,4,30,1))</f>
        <v>0.28228713095611047</v>
      </c>
      <c r="C29" s="19">
        <f t="shared" si="0"/>
        <v>44277</v>
      </c>
      <c r="D29" s="70">
        <f ca="1">_xlfn.IFNA(CORREL(OFFSET(INDEX(Rend_j[Date],MATCH(C29,Rend_j[Date],0)),-30,2,30,1),OFFSET(INDEX(Rend_j[Date],MATCH(C29,Rend_j[Date],0)),-30,4,30,1)),D30)</f>
        <v>0.46251988157678176</v>
      </c>
      <c r="E29" s="19">
        <f t="shared" si="1"/>
        <v>44641</v>
      </c>
      <c r="F29" s="70">
        <f t="shared" ca="1" si="2"/>
        <v>0.28228713095611047</v>
      </c>
      <c r="G29" s="71">
        <f>0</f>
        <v>0</v>
      </c>
      <c r="H29" s="71" t="str">
        <f t="shared" si="3"/>
        <v/>
      </c>
    </row>
    <row r="30" spans="1:8" x14ac:dyDescent="0.25">
      <c r="A30" s="19">
        <v>44642</v>
      </c>
      <c r="B30" s="72">
        <f ca="1">CORREL(OFFSET(INDEX(Rend_j[Date],MATCH(A30,Rend_j[Date],0)),-30,2,30,1),OFFSET(INDEX(Rend_j[Date],MATCH(A30,Rend_j[Date],0)),-30,4,30,1))</f>
        <v>0.2826996756473536</v>
      </c>
      <c r="C30" s="20">
        <f t="shared" si="0"/>
        <v>44278</v>
      </c>
      <c r="D30" s="72">
        <f ca="1">_xlfn.IFNA(CORREL(OFFSET(INDEX(Rend_j[Date],MATCH(C30,Rend_j[Date],0)),-30,2,30,1),OFFSET(INDEX(Rend_j[Date],MATCH(C30,Rend_j[Date],0)),-30,4,30,1)),D31)</f>
        <v>0.45992671762966936</v>
      </c>
      <c r="E30" s="20">
        <f t="shared" si="1"/>
        <v>44642</v>
      </c>
      <c r="F30" s="72">
        <f t="shared" ca="1" si="2"/>
        <v>0.2826996756473536</v>
      </c>
      <c r="G30" s="73">
        <f>0</f>
        <v>0</v>
      </c>
      <c r="H30" s="73" t="str">
        <f t="shared" si="3"/>
        <v/>
      </c>
    </row>
    <row r="31" spans="1:8" x14ac:dyDescent="0.25">
      <c r="A31" s="19">
        <v>44643</v>
      </c>
      <c r="B31" s="70">
        <f ca="1">CORREL(OFFSET(INDEX(Rend_j[Date],MATCH(A31,Rend_j[Date],0)),-30,2,30,1),OFFSET(INDEX(Rend_j[Date],MATCH(A31,Rend_j[Date],0)),-30,4,30,1))</f>
        <v>0.30605635660485969</v>
      </c>
      <c r="C31" s="19">
        <f t="shared" si="0"/>
        <v>44279</v>
      </c>
      <c r="D31" s="70">
        <f ca="1">_xlfn.IFNA(CORREL(OFFSET(INDEX(Rend_j[Date],MATCH(C31,Rend_j[Date],0)),-30,2,30,1),OFFSET(INDEX(Rend_j[Date],MATCH(C31,Rend_j[Date],0)),-30,4,30,1)),D32)</f>
        <v>0.46793838165551743</v>
      </c>
      <c r="E31" s="19">
        <f t="shared" si="1"/>
        <v>44643</v>
      </c>
      <c r="F31" s="70">
        <f t="shared" ca="1" si="2"/>
        <v>0.30605635660485969</v>
      </c>
      <c r="G31" s="71">
        <f>0</f>
        <v>0</v>
      </c>
      <c r="H31" s="71" t="str">
        <f t="shared" si="3"/>
        <v/>
      </c>
    </row>
    <row r="32" spans="1:8" x14ac:dyDescent="0.25">
      <c r="A32" s="19">
        <v>44644</v>
      </c>
      <c r="B32" s="72">
        <f ca="1">CORREL(OFFSET(INDEX(Rend_j[Date],MATCH(A32,Rend_j[Date],0)),-30,2,30,1),OFFSET(INDEX(Rend_j[Date],MATCH(A32,Rend_j[Date],0)),-30,4,30,1))</f>
        <v>0.25744741673637817</v>
      </c>
      <c r="C32" s="20">
        <f t="shared" si="0"/>
        <v>44280</v>
      </c>
      <c r="D32" s="72">
        <f ca="1">_xlfn.IFNA(CORREL(OFFSET(INDEX(Rend_j[Date],MATCH(C32,Rend_j[Date],0)),-30,2,30,1),OFFSET(INDEX(Rend_j[Date],MATCH(C32,Rend_j[Date],0)),-30,4,30,1)),D33)</f>
        <v>0.48568788381772121</v>
      </c>
      <c r="E32" s="20">
        <f t="shared" si="1"/>
        <v>44644</v>
      </c>
      <c r="F32" s="72">
        <f t="shared" ca="1" si="2"/>
        <v>0.25744741673637817</v>
      </c>
      <c r="G32" s="73">
        <f>0</f>
        <v>0</v>
      </c>
      <c r="H32" s="73" t="str">
        <f t="shared" si="3"/>
        <v/>
      </c>
    </row>
    <row r="33" spans="1:8" x14ac:dyDescent="0.25">
      <c r="A33" s="19">
        <v>44645</v>
      </c>
      <c r="B33" s="70">
        <f ca="1">CORREL(OFFSET(INDEX(Rend_j[Date],MATCH(A33,Rend_j[Date],0)),-30,2,30,1),OFFSET(INDEX(Rend_j[Date],MATCH(A33,Rend_j[Date],0)),-30,4,30,1))</f>
        <v>0.28062001271914705</v>
      </c>
      <c r="C33" s="19">
        <f t="shared" si="0"/>
        <v>44281</v>
      </c>
      <c r="D33" s="70">
        <f ca="1">_xlfn.IFNA(CORREL(OFFSET(INDEX(Rend_j[Date],MATCH(C33,Rend_j[Date],0)),-30,2,30,1),OFFSET(INDEX(Rend_j[Date],MATCH(C33,Rend_j[Date],0)),-30,4,30,1)),D34)</f>
        <v>0.47883553268964596</v>
      </c>
      <c r="E33" s="19">
        <f t="shared" si="1"/>
        <v>44645</v>
      </c>
      <c r="F33" s="70">
        <f t="shared" ca="1" si="2"/>
        <v>0.28062001271914705</v>
      </c>
      <c r="G33" s="71">
        <f>0</f>
        <v>0</v>
      </c>
      <c r="H33" s="71" t="str">
        <f t="shared" si="3"/>
        <v/>
      </c>
    </row>
    <row r="34" spans="1:8" x14ac:dyDescent="0.25">
      <c r="A34" s="19">
        <v>44648</v>
      </c>
      <c r="B34" s="72">
        <f ca="1">CORREL(OFFSET(INDEX(Rend_j[Date],MATCH(A34,Rend_j[Date],0)),-30,2,30,1),OFFSET(INDEX(Rend_j[Date],MATCH(A34,Rend_j[Date],0)),-30,4,30,1))</f>
        <v>0.27793717971364179</v>
      </c>
      <c r="C34" s="20">
        <f t="shared" si="0"/>
        <v>44284</v>
      </c>
      <c r="D34" s="72">
        <f ca="1">_xlfn.IFNA(CORREL(OFFSET(INDEX(Rend_j[Date],MATCH(C34,Rend_j[Date],0)),-30,2,30,1),OFFSET(INDEX(Rend_j[Date],MATCH(C34,Rend_j[Date],0)),-30,4,30,1)),D35)</f>
        <v>0.50298885552931882</v>
      </c>
      <c r="E34" s="20">
        <f t="shared" si="1"/>
        <v>44648</v>
      </c>
      <c r="F34" s="72">
        <f t="shared" ca="1" si="2"/>
        <v>0.27793717971364179</v>
      </c>
      <c r="G34" s="73">
        <f>0</f>
        <v>0</v>
      </c>
      <c r="H34" s="73" t="str">
        <f t="shared" si="3"/>
        <v/>
      </c>
    </row>
    <row r="35" spans="1:8" x14ac:dyDescent="0.25">
      <c r="A35" s="19">
        <v>44649</v>
      </c>
      <c r="B35" s="70">
        <f ca="1">CORREL(OFFSET(INDEX(Rend_j[Date],MATCH(A35,Rend_j[Date],0)),-30,2,30,1),OFFSET(INDEX(Rend_j[Date],MATCH(A35,Rend_j[Date],0)),-30,4,30,1))</f>
        <v>0.27753714345738206</v>
      </c>
      <c r="C35" s="19">
        <f t="shared" si="0"/>
        <v>44285</v>
      </c>
      <c r="D35" s="70">
        <f ca="1">_xlfn.IFNA(CORREL(OFFSET(INDEX(Rend_j[Date],MATCH(C35,Rend_j[Date],0)),-30,2,30,1),OFFSET(INDEX(Rend_j[Date],MATCH(C35,Rend_j[Date],0)),-30,4,30,1)),D36)</f>
        <v>0.50118777830375405</v>
      </c>
      <c r="E35" s="19">
        <f t="shared" si="1"/>
        <v>44649</v>
      </c>
      <c r="F35" s="70">
        <f t="shared" ca="1" si="2"/>
        <v>0.27753714345738206</v>
      </c>
      <c r="G35" s="71">
        <f>0</f>
        <v>0</v>
      </c>
      <c r="H35" s="71" t="str">
        <f t="shared" si="3"/>
        <v/>
      </c>
    </row>
    <row r="36" spans="1:8" x14ac:dyDescent="0.25">
      <c r="A36" s="19">
        <v>44650</v>
      </c>
      <c r="B36" s="72">
        <f ca="1">CORREL(OFFSET(INDEX(Rend_j[Date],MATCH(A36,Rend_j[Date],0)),-30,2,30,1),OFFSET(INDEX(Rend_j[Date],MATCH(A36,Rend_j[Date],0)),-30,4,30,1))</f>
        <v>0.27346764886439351</v>
      </c>
      <c r="C36" s="20">
        <f t="shared" si="0"/>
        <v>44286</v>
      </c>
      <c r="D36" s="72">
        <f ca="1">_xlfn.IFNA(CORREL(OFFSET(INDEX(Rend_j[Date],MATCH(C36,Rend_j[Date],0)),-30,2,30,1),OFFSET(INDEX(Rend_j[Date],MATCH(C36,Rend_j[Date],0)),-30,4,30,1)),D37)</f>
        <v>0.49509844337924064</v>
      </c>
      <c r="E36" s="20">
        <f t="shared" si="1"/>
        <v>44650</v>
      </c>
      <c r="F36" s="72">
        <f t="shared" ca="1" si="2"/>
        <v>0.27346764886439351</v>
      </c>
      <c r="G36" s="73">
        <f>0</f>
        <v>0</v>
      </c>
      <c r="H36" s="73" t="str">
        <f t="shared" si="3"/>
        <v/>
      </c>
    </row>
    <row r="37" spans="1:8" x14ac:dyDescent="0.25">
      <c r="A37" s="19">
        <v>44651</v>
      </c>
      <c r="B37" s="70">
        <f ca="1">CORREL(OFFSET(INDEX(Rend_j[Date],MATCH(A37,Rend_j[Date],0)),-30,2,30,1),OFFSET(INDEX(Rend_j[Date],MATCH(A37,Rend_j[Date],0)),-30,4,30,1))</f>
        <v>0.25547909581314349</v>
      </c>
      <c r="C37" s="19">
        <f t="shared" ref="C37:C68" si="4">DATE(2021,MONTH(A37),DAY(A37)+1)</f>
        <v>44287</v>
      </c>
      <c r="D37" s="70">
        <f ca="1">_xlfn.IFNA(CORREL(OFFSET(INDEX(Rend_j[Date],MATCH(C37,Rend_j[Date],0)),-30,2,30,1),OFFSET(INDEX(Rend_j[Date],MATCH(C37,Rend_j[Date],0)),-30,4,30,1)),D38)</f>
        <v>0.49611823962497054</v>
      </c>
      <c r="E37" s="19">
        <f t="shared" ref="E37:E68" si="5">IF($M$4=2022,A37,C37)</f>
        <v>44651</v>
      </c>
      <c r="F37" s="70">
        <f t="shared" ref="F37:F68" ca="1" si="6">IF($M$4=2022,B37,D37)</f>
        <v>0.25547909581314349</v>
      </c>
      <c r="G37" s="71">
        <f>0</f>
        <v>0</v>
      </c>
      <c r="H37" s="71" t="str">
        <f t="shared" ref="H37:H68" si="7">IF(AND(E37&gt;=DATE(2022,2,21),E37&lt;=DATE(2022,2,25)),0.8,"")</f>
        <v/>
      </c>
    </row>
    <row r="38" spans="1:8" x14ac:dyDescent="0.25">
      <c r="A38" s="19">
        <v>44652</v>
      </c>
      <c r="B38" s="72">
        <f ca="1">CORREL(OFFSET(INDEX(Rend_j[Date],MATCH(A38,Rend_j[Date],0)),-30,2,30,1),OFFSET(INDEX(Rend_j[Date],MATCH(A38,Rend_j[Date],0)),-30,4,30,1))</f>
        <v>0.26673574691962437</v>
      </c>
      <c r="C38" s="20">
        <f t="shared" si="4"/>
        <v>44288</v>
      </c>
      <c r="D38" s="72">
        <f ca="1">_xlfn.IFNA(CORREL(OFFSET(INDEX(Rend_j[Date],MATCH(C38,Rend_j[Date],0)),-30,2,30,1),OFFSET(INDEX(Rend_j[Date],MATCH(C38,Rend_j[Date],0)),-30,4,30,1)),D39)</f>
        <v>0.49438339376314405</v>
      </c>
      <c r="E38" s="20">
        <f t="shared" si="5"/>
        <v>44652</v>
      </c>
      <c r="F38" s="72">
        <f t="shared" ca="1" si="6"/>
        <v>0.26673574691962437</v>
      </c>
      <c r="G38" s="73">
        <f>0</f>
        <v>0</v>
      </c>
      <c r="H38" s="73" t="str">
        <f t="shared" si="7"/>
        <v/>
      </c>
    </row>
    <row r="39" spans="1:8" x14ac:dyDescent="0.25">
      <c r="A39" s="19">
        <v>44655</v>
      </c>
      <c r="B39" s="70">
        <f ca="1">CORREL(OFFSET(INDEX(Rend_j[Date],MATCH(A39,Rend_j[Date],0)),-30,2,30,1),OFFSET(INDEX(Rend_j[Date],MATCH(A39,Rend_j[Date],0)),-30,4,30,1))</f>
        <v>0.27664972459944798</v>
      </c>
      <c r="C39" s="19">
        <f t="shared" si="4"/>
        <v>44291</v>
      </c>
      <c r="D39" s="70">
        <f ca="1">_xlfn.IFNA(CORREL(OFFSET(INDEX(Rend_j[Date],MATCH(C39,Rend_j[Date],0)),-30,2,30,1),OFFSET(INDEX(Rend_j[Date],MATCH(C39,Rend_j[Date],0)),-30,4,30,1)),D40)</f>
        <v>0.49493690574376287</v>
      </c>
      <c r="E39" s="19">
        <f t="shared" si="5"/>
        <v>44655</v>
      </c>
      <c r="F39" s="70">
        <f t="shared" ca="1" si="6"/>
        <v>0.27664972459944798</v>
      </c>
      <c r="G39" s="71">
        <f>0</f>
        <v>0</v>
      </c>
      <c r="H39" s="71" t="str">
        <f t="shared" si="7"/>
        <v/>
      </c>
    </row>
    <row r="40" spans="1:8" x14ac:dyDescent="0.25">
      <c r="A40" s="19">
        <v>44656</v>
      </c>
      <c r="B40" s="72">
        <f ca="1">CORREL(OFFSET(INDEX(Rend_j[Date],MATCH(A40,Rend_j[Date],0)),-30,2,30,1),OFFSET(INDEX(Rend_j[Date],MATCH(A40,Rend_j[Date],0)),-30,4,30,1))</f>
        <v>0.29473667401855957</v>
      </c>
      <c r="C40" s="20">
        <f t="shared" si="4"/>
        <v>44292</v>
      </c>
      <c r="D40" s="72">
        <f ca="1">_xlfn.IFNA(CORREL(OFFSET(INDEX(Rend_j[Date],MATCH(C40,Rend_j[Date],0)),-30,2,30,1),OFFSET(INDEX(Rend_j[Date],MATCH(C40,Rend_j[Date],0)),-30,4,30,1)),D41)</f>
        <v>0.46327579732066659</v>
      </c>
      <c r="E40" s="20">
        <f t="shared" si="5"/>
        <v>44656</v>
      </c>
      <c r="F40" s="72">
        <f t="shared" ca="1" si="6"/>
        <v>0.29473667401855957</v>
      </c>
      <c r="G40" s="73">
        <f>0</f>
        <v>0</v>
      </c>
      <c r="H40" s="73" t="str">
        <f t="shared" si="7"/>
        <v/>
      </c>
    </row>
    <row r="41" spans="1:8" x14ac:dyDescent="0.25">
      <c r="A41" s="19">
        <v>44657</v>
      </c>
      <c r="B41" s="70">
        <f ca="1">CORREL(OFFSET(INDEX(Rend_j[Date],MATCH(A41,Rend_j[Date],0)),-30,2,30,1),OFFSET(INDEX(Rend_j[Date],MATCH(A41,Rend_j[Date],0)),-30,4,30,1))</f>
        <v>0.27725144888091546</v>
      </c>
      <c r="C41" s="19">
        <f t="shared" si="4"/>
        <v>44293</v>
      </c>
      <c r="D41" s="70">
        <f ca="1">_xlfn.IFNA(CORREL(OFFSET(INDEX(Rend_j[Date],MATCH(C41,Rend_j[Date],0)),-30,2,30,1),OFFSET(INDEX(Rend_j[Date],MATCH(C41,Rend_j[Date],0)),-30,4,30,1)),D42)</f>
        <v>0.45712353466708633</v>
      </c>
      <c r="E41" s="19">
        <f t="shared" si="5"/>
        <v>44657</v>
      </c>
      <c r="F41" s="70">
        <f t="shared" ca="1" si="6"/>
        <v>0.27725144888091546</v>
      </c>
      <c r="G41" s="71">
        <f>0</f>
        <v>0</v>
      </c>
      <c r="H41" s="71" t="str">
        <f t="shared" si="7"/>
        <v/>
      </c>
    </row>
    <row r="42" spans="1:8" x14ac:dyDescent="0.25">
      <c r="A42" s="19">
        <v>44658</v>
      </c>
      <c r="B42" s="72">
        <f ca="1">CORREL(OFFSET(INDEX(Rend_j[Date],MATCH(A42,Rend_j[Date],0)),-30,2,30,1),OFFSET(INDEX(Rend_j[Date],MATCH(A42,Rend_j[Date],0)),-30,4,30,1))</f>
        <v>0.30587011435822897</v>
      </c>
      <c r="C42" s="20">
        <f t="shared" si="4"/>
        <v>44294</v>
      </c>
      <c r="D42" s="72">
        <f ca="1">_xlfn.IFNA(CORREL(OFFSET(INDEX(Rend_j[Date],MATCH(C42,Rend_j[Date],0)),-30,2,30,1),OFFSET(INDEX(Rend_j[Date],MATCH(C42,Rend_j[Date],0)),-30,4,30,1)),D43)</f>
        <v>0.50023224815800593</v>
      </c>
      <c r="E42" s="20">
        <f t="shared" si="5"/>
        <v>44658</v>
      </c>
      <c r="F42" s="72">
        <f t="shared" ca="1" si="6"/>
        <v>0.30587011435822897</v>
      </c>
      <c r="G42" s="73">
        <f>0</f>
        <v>0</v>
      </c>
      <c r="H42" s="73" t="str">
        <f t="shared" si="7"/>
        <v/>
      </c>
    </row>
    <row r="43" spans="1:8" x14ac:dyDescent="0.25">
      <c r="A43" s="19">
        <v>44659</v>
      </c>
      <c r="B43" s="70">
        <f ca="1">CORREL(OFFSET(INDEX(Rend_j[Date],MATCH(A43,Rend_j[Date],0)),-30,2,30,1),OFFSET(INDEX(Rend_j[Date],MATCH(A43,Rend_j[Date],0)),-30,4,30,1))</f>
        <v>0.40143609417940007</v>
      </c>
      <c r="C43" s="19">
        <f t="shared" si="4"/>
        <v>44295</v>
      </c>
      <c r="D43" s="70">
        <f ca="1">_xlfn.IFNA(CORREL(OFFSET(INDEX(Rend_j[Date],MATCH(C43,Rend_j[Date],0)),-30,2,30,1),OFFSET(INDEX(Rend_j[Date],MATCH(C43,Rend_j[Date],0)),-30,4,30,1)),D44)</f>
        <v>0.54732395736566108</v>
      </c>
      <c r="E43" s="19">
        <f t="shared" si="5"/>
        <v>44659</v>
      </c>
      <c r="F43" s="70">
        <f t="shared" ca="1" si="6"/>
        <v>0.40143609417940007</v>
      </c>
      <c r="G43" s="71">
        <f>0</f>
        <v>0</v>
      </c>
      <c r="H43" s="71" t="str">
        <f t="shared" si="7"/>
        <v/>
      </c>
    </row>
    <row r="44" spans="1:8" x14ac:dyDescent="0.25">
      <c r="A44" s="19">
        <v>44662</v>
      </c>
      <c r="B44" s="72">
        <f ca="1">CORREL(OFFSET(INDEX(Rend_j[Date],MATCH(A44,Rend_j[Date],0)),-30,2,30,1),OFFSET(INDEX(Rend_j[Date],MATCH(A44,Rend_j[Date],0)),-30,4,30,1))</f>
        <v>0.40385283620525625</v>
      </c>
      <c r="C44" s="20">
        <f t="shared" si="4"/>
        <v>44298</v>
      </c>
      <c r="D44" s="72">
        <f ca="1">_xlfn.IFNA(CORREL(OFFSET(INDEX(Rend_j[Date],MATCH(C44,Rend_j[Date],0)),-30,2,30,1),OFFSET(INDEX(Rend_j[Date],MATCH(C44,Rend_j[Date],0)),-30,4,30,1)),D45)</f>
        <v>0.51223020506074401</v>
      </c>
      <c r="E44" s="20">
        <f t="shared" si="5"/>
        <v>44662</v>
      </c>
      <c r="F44" s="72">
        <f t="shared" ca="1" si="6"/>
        <v>0.40385283620525625</v>
      </c>
      <c r="G44" s="73">
        <f>0</f>
        <v>0</v>
      </c>
      <c r="H44" s="73" t="str">
        <f t="shared" si="7"/>
        <v/>
      </c>
    </row>
    <row r="45" spans="1:8" x14ac:dyDescent="0.25">
      <c r="A45" s="19">
        <v>44663</v>
      </c>
      <c r="B45" s="70">
        <f ca="1">CORREL(OFFSET(INDEX(Rend_j[Date],MATCH(A45,Rend_j[Date],0)),-30,2,30,1),OFFSET(INDEX(Rend_j[Date],MATCH(A45,Rend_j[Date],0)),-30,4,30,1))</f>
        <v>0.43132047569930232</v>
      </c>
      <c r="C45" s="19">
        <f t="shared" si="4"/>
        <v>44299</v>
      </c>
      <c r="D45" s="70">
        <f ca="1">_xlfn.IFNA(CORREL(OFFSET(INDEX(Rend_j[Date],MATCH(C45,Rend_j[Date],0)),-30,2,30,1),OFFSET(INDEX(Rend_j[Date],MATCH(C45,Rend_j[Date],0)),-30,4,30,1)),D46)</f>
        <v>0.36790331976595958</v>
      </c>
      <c r="E45" s="19">
        <f t="shared" si="5"/>
        <v>44663</v>
      </c>
      <c r="F45" s="70">
        <f t="shared" ca="1" si="6"/>
        <v>0.43132047569930232</v>
      </c>
      <c r="G45" s="71">
        <f>0</f>
        <v>0</v>
      </c>
      <c r="H45" s="71" t="str">
        <f t="shared" si="7"/>
        <v/>
      </c>
    </row>
    <row r="46" spans="1:8" x14ac:dyDescent="0.25">
      <c r="A46" s="19">
        <v>44664</v>
      </c>
      <c r="B46" s="72">
        <f ca="1">CORREL(OFFSET(INDEX(Rend_j[Date],MATCH(A46,Rend_j[Date],0)),-30,2,30,1),OFFSET(INDEX(Rend_j[Date],MATCH(A46,Rend_j[Date],0)),-30,4,30,1))</f>
        <v>0.46190447304326226</v>
      </c>
      <c r="C46" s="20">
        <f t="shared" si="4"/>
        <v>44300</v>
      </c>
      <c r="D46" s="72">
        <f ca="1">_xlfn.IFNA(CORREL(OFFSET(INDEX(Rend_j[Date],MATCH(C46,Rend_j[Date],0)),-30,2,30,1),OFFSET(INDEX(Rend_j[Date],MATCH(C46,Rend_j[Date],0)),-30,4,30,1)),D47)</f>
        <v>0.3670775737298233</v>
      </c>
      <c r="E46" s="20">
        <f t="shared" si="5"/>
        <v>44664</v>
      </c>
      <c r="F46" s="72">
        <f t="shared" ca="1" si="6"/>
        <v>0.46190447304326226</v>
      </c>
      <c r="G46" s="73">
        <f>0</f>
        <v>0</v>
      </c>
      <c r="H46" s="73" t="str">
        <f t="shared" si="7"/>
        <v/>
      </c>
    </row>
    <row r="47" spans="1:8" x14ac:dyDescent="0.25">
      <c r="A47" s="19">
        <v>44665</v>
      </c>
      <c r="B47" s="70">
        <f ca="1">CORREL(OFFSET(INDEX(Rend_j[Date],MATCH(A47,Rend_j[Date],0)),-30,2,30,1),OFFSET(INDEX(Rend_j[Date],MATCH(A47,Rend_j[Date],0)),-30,4,30,1))</f>
        <v>0.49176286124162333</v>
      </c>
      <c r="C47" s="19">
        <f t="shared" si="4"/>
        <v>44301</v>
      </c>
      <c r="D47" s="70">
        <f ca="1">_xlfn.IFNA(CORREL(OFFSET(INDEX(Rend_j[Date],MATCH(C47,Rend_j[Date],0)),-30,2,30,1),OFFSET(INDEX(Rend_j[Date],MATCH(C47,Rend_j[Date],0)),-30,4,30,1)),D48)</f>
        <v>0.4623921787152207</v>
      </c>
      <c r="E47" s="19">
        <f t="shared" si="5"/>
        <v>44665</v>
      </c>
      <c r="F47" s="70">
        <f t="shared" ca="1" si="6"/>
        <v>0.49176286124162333</v>
      </c>
      <c r="G47" s="71">
        <f>0</f>
        <v>0</v>
      </c>
      <c r="H47" s="71" t="str">
        <f t="shared" si="7"/>
        <v/>
      </c>
    </row>
    <row r="48" spans="1:8" x14ac:dyDescent="0.25">
      <c r="A48" s="19">
        <v>44666</v>
      </c>
      <c r="B48" s="72">
        <f ca="1">CORREL(OFFSET(INDEX(Rend_j[Date],MATCH(A48,Rend_j[Date],0)),-30,2,30,1),OFFSET(INDEX(Rend_j[Date],MATCH(A48,Rend_j[Date],0)),-30,4,30,1))</f>
        <v>0.50021234940730408</v>
      </c>
      <c r="C48" s="20">
        <f t="shared" si="4"/>
        <v>44302</v>
      </c>
      <c r="D48" s="72">
        <f ca="1">_xlfn.IFNA(CORREL(OFFSET(INDEX(Rend_j[Date],MATCH(C48,Rend_j[Date],0)),-30,2,30,1),OFFSET(INDEX(Rend_j[Date],MATCH(C48,Rend_j[Date],0)),-30,4,30,1)),D49)</f>
        <v>0.37607554034014151</v>
      </c>
      <c r="E48" s="20">
        <f t="shared" si="5"/>
        <v>44666</v>
      </c>
      <c r="F48" s="72">
        <f t="shared" ca="1" si="6"/>
        <v>0.50021234940730408</v>
      </c>
      <c r="G48" s="73">
        <f>0</f>
        <v>0</v>
      </c>
      <c r="H48" s="73" t="str">
        <f t="shared" si="7"/>
        <v/>
      </c>
    </row>
    <row r="49" spans="1:8" x14ac:dyDescent="0.25">
      <c r="A49" s="19">
        <v>44669</v>
      </c>
      <c r="B49" s="70">
        <f ca="1">CORREL(OFFSET(INDEX(Rend_j[Date],MATCH(A49,Rend_j[Date],0)),-30,2,30,1),OFFSET(INDEX(Rend_j[Date],MATCH(A49,Rend_j[Date],0)),-30,4,30,1))</f>
        <v>0.4972189540383195</v>
      </c>
      <c r="C49" s="19">
        <f t="shared" si="4"/>
        <v>44305</v>
      </c>
      <c r="D49" s="70">
        <f ca="1">_xlfn.IFNA(CORREL(OFFSET(INDEX(Rend_j[Date],MATCH(C49,Rend_j[Date],0)),-30,2,30,1),OFFSET(INDEX(Rend_j[Date],MATCH(C49,Rend_j[Date],0)),-30,4,30,1)),D50)</f>
        <v>0.36562457764526424</v>
      </c>
      <c r="E49" s="19">
        <f t="shared" si="5"/>
        <v>44669</v>
      </c>
      <c r="F49" s="70">
        <f t="shared" ca="1" si="6"/>
        <v>0.4972189540383195</v>
      </c>
      <c r="G49" s="71">
        <f>0</f>
        <v>0</v>
      </c>
      <c r="H49" s="71" t="str">
        <f t="shared" si="7"/>
        <v/>
      </c>
    </row>
    <row r="50" spans="1:8" x14ac:dyDescent="0.25">
      <c r="A50" s="19">
        <v>44670</v>
      </c>
      <c r="B50" s="72">
        <f ca="1">CORREL(OFFSET(INDEX(Rend_j[Date],MATCH(A50,Rend_j[Date],0)),-30,2,30,1),OFFSET(INDEX(Rend_j[Date],MATCH(A50,Rend_j[Date],0)),-30,4,30,1))</f>
        <v>0.42532216698601871</v>
      </c>
      <c r="C50" s="20">
        <f t="shared" si="4"/>
        <v>44306</v>
      </c>
      <c r="D50" s="72">
        <f ca="1">_xlfn.IFNA(CORREL(OFFSET(INDEX(Rend_j[Date],MATCH(C50,Rend_j[Date],0)),-30,2,30,1),OFFSET(INDEX(Rend_j[Date],MATCH(C50,Rend_j[Date],0)),-30,4,30,1)),D51)</f>
        <v>0.40725619942755631</v>
      </c>
      <c r="E50" s="20">
        <f t="shared" si="5"/>
        <v>44670</v>
      </c>
      <c r="F50" s="72">
        <f t="shared" ca="1" si="6"/>
        <v>0.42532216698601871</v>
      </c>
      <c r="G50" s="73">
        <f>0</f>
        <v>0</v>
      </c>
      <c r="H50" s="73" t="str">
        <f t="shared" si="7"/>
        <v/>
      </c>
    </row>
    <row r="51" spans="1:8" x14ac:dyDescent="0.25">
      <c r="A51" s="19">
        <v>44671</v>
      </c>
      <c r="B51" s="70">
        <f ca="1">CORREL(OFFSET(INDEX(Rend_j[Date],MATCH(A51,Rend_j[Date],0)),-30,2,30,1),OFFSET(INDEX(Rend_j[Date],MATCH(A51,Rend_j[Date],0)),-30,4,30,1))</f>
        <v>0.38410745157824883</v>
      </c>
      <c r="C51" s="19">
        <f t="shared" si="4"/>
        <v>44307</v>
      </c>
      <c r="D51" s="70">
        <f ca="1">_xlfn.IFNA(CORREL(OFFSET(INDEX(Rend_j[Date],MATCH(C51,Rend_j[Date],0)),-30,2,30,1),OFFSET(INDEX(Rend_j[Date],MATCH(C51,Rend_j[Date],0)),-30,4,30,1)),D52)</f>
        <v>0.38999684303585114</v>
      </c>
      <c r="E51" s="19">
        <f t="shared" si="5"/>
        <v>44671</v>
      </c>
      <c r="F51" s="70">
        <f t="shared" ca="1" si="6"/>
        <v>0.38410745157824883</v>
      </c>
      <c r="G51" s="71">
        <f>0</f>
        <v>0</v>
      </c>
      <c r="H51" s="71" t="str">
        <f t="shared" si="7"/>
        <v/>
      </c>
    </row>
    <row r="52" spans="1:8" x14ac:dyDescent="0.25">
      <c r="A52" s="19">
        <v>44672</v>
      </c>
      <c r="B52" s="72">
        <f ca="1">CORREL(OFFSET(INDEX(Rend_j[Date],MATCH(A52,Rend_j[Date],0)),-30,2,30,1),OFFSET(INDEX(Rend_j[Date],MATCH(A52,Rend_j[Date],0)),-30,4,30,1))</f>
        <v>0.47568525943633783</v>
      </c>
      <c r="C52" s="20">
        <f t="shared" si="4"/>
        <v>44308</v>
      </c>
      <c r="D52" s="72">
        <f ca="1">_xlfn.IFNA(CORREL(OFFSET(INDEX(Rend_j[Date],MATCH(C52,Rend_j[Date],0)),-30,2,30,1),OFFSET(INDEX(Rend_j[Date],MATCH(C52,Rend_j[Date],0)),-30,4,30,1)),D53)</f>
        <v>0.34351740759928467</v>
      </c>
      <c r="E52" s="20">
        <f t="shared" si="5"/>
        <v>44672</v>
      </c>
      <c r="F52" s="72">
        <f t="shared" ca="1" si="6"/>
        <v>0.47568525943633783</v>
      </c>
      <c r="G52" s="73">
        <f>0</f>
        <v>0</v>
      </c>
      <c r="H52" s="73" t="str">
        <f t="shared" si="7"/>
        <v/>
      </c>
    </row>
    <row r="53" spans="1:8" x14ac:dyDescent="0.25">
      <c r="A53" s="19">
        <v>44673</v>
      </c>
      <c r="B53" s="70">
        <f ca="1">CORREL(OFFSET(INDEX(Rend_j[Date],MATCH(A53,Rend_j[Date],0)),-30,2,30,1),OFFSET(INDEX(Rend_j[Date],MATCH(A53,Rend_j[Date],0)),-30,4,30,1))</f>
        <v>0.49479501865273778</v>
      </c>
      <c r="C53" s="19">
        <f t="shared" si="4"/>
        <v>44309</v>
      </c>
      <c r="D53" s="70">
        <f ca="1">_xlfn.IFNA(CORREL(OFFSET(INDEX(Rend_j[Date],MATCH(C53,Rend_j[Date],0)),-30,2,30,1),OFFSET(INDEX(Rend_j[Date],MATCH(C53,Rend_j[Date],0)),-30,4,30,1)),D54)</f>
        <v>0.30035591266353878</v>
      </c>
      <c r="E53" s="19">
        <f t="shared" si="5"/>
        <v>44673</v>
      </c>
      <c r="F53" s="70">
        <f t="shared" ca="1" si="6"/>
        <v>0.49479501865273778</v>
      </c>
      <c r="G53" s="71">
        <f>0</f>
        <v>0</v>
      </c>
      <c r="H53" s="71" t="str">
        <f t="shared" si="7"/>
        <v/>
      </c>
    </row>
    <row r="54" spans="1:8" x14ac:dyDescent="0.25">
      <c r="A54" s="19">
        <v>44676</v>
      </c>
      <c r="B54" s="72">
        <f ca="1">CORREL(OFFSET(INDEX(Rend_j[Date],MATCH(A54,Rend_j[Date],0)),-30,2,30,1),OFFSET(INDEX(Rend_j[Date],MATCH(A54,Rend_j[Date],0)),-30,4,30,1))</f>
        <v>0.46554517704127635</v>
      </c>
      <c r="C54" s="20">
        <f t="shared" si="4"/>
        <v>44312</v>
      </c>
      <c r="D54" s="72">
        <f ca="1">_xlfn.IFNA(CORREL(OFFSET(INDEX(Rend_j[Date],MATCH(C54,Rend_j[Date],0)),-30,2,30,1),OFFSET(INDEX(Rend_j[Date],MATCH(C54,Rend_j[Date],0)),-30,4,30,1)),D55)</f>
        <v>0.34771694088232435</v>
      </c>
      <c r="E54" s="20">
        <f t="shared" si="5"/>
        <v>44676</v>
      </c>
      <c r="F54" s="72">
        <f t="shared" ca="1" si="6"/>
        <v>0.46554517704127635</v>
      </c>
      <c r="G54" s="73">
        <f>0</f>
        <v>0</v>
      </c>
      <c r="H54" s="73" t="str">
        <f t="shared" si="7"/>
        <v/>
      </c>
    </row>
    <row r="55" spans="1:8" x14ac:dyDescent="0.25">
      <c r="A55" s="19">
        <v>44677</v>
      </c>
      <c r="B55" s="70">
        <f ca="1">CORREL(OFFSET(INDEX(Rend_j[Date],MATCH(A55,Rend_j[Date],0)),-30,2,30,1),OFFSET(INDEX(Rend_j[Date],MATCH(A55,Rend_j[Date],0)),-30,4,30,1))</f>
        <v>0.41618676323720083</v>
      </c>
      <c r="C55" s="19">
        <f t="shared" si="4"/>
        <v>44313</v>
      </c>
      <c r="D55" s="70">
        <f ca="1">_xlfn.IFNA(CORREL(OFFSET(INDEX(Rend_j[Date],MATCH(C55,Rend_j[Date],0)),-30,2,30,1),OFFSET(INDEX(Rend_j[Date],MATCH(C55,Rend_j[Date],0)),-30,4,30,1)),D56)</f>
        <v>0.34771694088232435</v>
      </c>
      <c r="E55" s="19">
        <f t="shared" si="5"/>
        <v>44677</v>
      </c>
      <c r="F55" s="70">
        <f t="shared" ca="1" si="6"/>
        <v>0.41618676323720083</v>
      </c>
      <c r="G55" s="71">
        <f>0</f>
        <v>0</v>
      </c>
      <c r="H55" s="71" t="str">
        <f t="shared" si="7"/>
        <v/>
      </c>
    </row>
    <row r="56" spans="1:8" x14ac:dyDescent="0.25">
      <c r="A56" s="19">
        <v>44678</v>
      </c>
      <c r="B56" s="72">
        <f ca="1">CORREL(OFFSET(INDEX(Rend_j[Date],MATCH(A56,Rend_j[Date],0)),-30,2,30,1),OFFSET(INDEX(Rend_j[Date],MATCH(A56,Rend_j[Date],0)),-30,4,30,1))</f>
        <v>0.48393245166990817</v>
      </c>
      <c r="C56" s="20">
        <f t="shared" si="4"/>
        <v>44314</v>
      </c>
      <c r="D56" s="72">
        <f ca="1">_xlfn.IFNA(CORREL(OFFSET(INDEX(Rend_j[Date],MATCH(C56,Rend_j[Date],0)),-30,2,30,1),OFFSET(INDEX(Rend_j[Date],MATCH(C56,Rend_j[Date],0)),-30,4,30,1)),D57)</f>
        <v>0.34299013337930662</v>
      </c>
      <c r="E56" s="20">
        <f t="shared" si="5"/>
        <v>44678</v>
      </c>
      <c r="F56" s="72">
        <f t="shared" ca="1" si="6"/>
        <v>0.48393245166990817</v>
      </c>
      <c r="G56" s="73">
        <f>0</f>
        <v>0</v>
      </c>
      <c r="H56" s="73" t="str">
        <f t="shared" si="7"/>
        <v/>
      </c>
    </row>
    <row r="57" spans="1:8" x14ac:dyDescent="0.25">
      <c r="A57" s="19">
        <v>44679</v>
      </c>
      <c r="B57" s="70">
        <f ca="1">CORREL(OFFSET(INDEX(Rend_j[Date],MATCH(A57,Rend_j[Date],0)),-30,2,30,1),OFFSET(INDEX(Rend_j[Date],MATCH(A57,Rend_j[Date],0)),-30,4,30,1))</f>
        <v>0.32861948441170485</v>
      </c>
      <c r="C57" s="19">
        <f t="shared" si="4"/>
        <v>44315</v>
      </c>
      <c r="D57" s="70">
        <f ca="1">_xlfn.IFNA(CORREL(OFFSET(INDEX(Rend_j[Date],MATCH(C57,Rend_j[Date],0)),-30,2,30,1),OFFSET(INDEX(Rend_j[Date],MATCH(C57,Rend_j[Date],0)),-30,4,30,1)),D58)</f>
        <v>0.34031002476141581</v>
      </c>
      <c r="E57" s="19">
        <f t="shared" si="5"/>
        <v>44679</v>
      </c>
      <c r="F57" s="70">
        <f t="shared" ca="1" si="6"/>
        <v>0.32861948441170485</v>
      </c>
      <c r="G57" s="71">
        <f>0</f>
        <v>0</v>
      </c>
      <c r="H57" s="71" t="str">
        <f t="shared" si="7"/>
        <v/>
      </c>
    </row>
    <row r="58" spans="1:8" x14ac:dyDescent="0.25">
      <c r="A58" s="19">
        <v>44680</v>
      </c>
      <c r="B58" s="72">
        <f ca="1">CORREL(OFFSET(INDEX(Rend_j[Date],MATCH(A58,Rend_j[Date],0)),-30,2,30,1),OFFSET(INDEX(Rend_j[Date],MATCH(A58,Rend_j[Date],0)),-30,4,30,1))</f>
        <v>0.36461062400542349</v>
      </c>
      <c r="C58" s="20">
        <f t="shared" si="4"/>
        <v>44316</v>
      </c>
      <c r="D58" s="72">
        <f ca="1">_xlfn.IFNA(CORREL(OFFSET(INDEX(Rend_j[Date],MATCH(C58,Rend_j[Date],0)),-30,2,30,1),OFFSET(INDEX(Rend_j[Date],MATCH(C58,Rend_j[Date],0)),-30,4,30,1)),D59)</f>
        <v>0.3821667134474831</v>
      </c>
      <c r="E58" s="20">
        <f t="shared" si="5"/>
        <v>44680</v>
      </c>
      <c r="F58" s="72">
        <f t="shared" ca="1" si="6"/>
        <v>0.36461062400542349</v>
      </c>
      <c r="G58" s="73">
        <f>0</f>
        <v>0</v>
      </c>
      <c r="H58" s="73" t="str">
        <f t="shared" si="7"/>
        <v/>
      </c>
    </row>
    <row r="59" spans="1:8" x14ac:dyDescent="0.25">
      <c r="A59" s="19">
        <v>44683</v>
      </c>
      <c r="B59" s="70">
        <f ca="1">CORREL(OFFSET(INDEX(Rend_j[Date],MATCH(A59,Rend_j[Date],0)),-30,2,30,1),OFFSET(INDEX(Rend_j[Date],MATCH(A59,Rend_j[Date],0)),-30,4,30,1))</f>
        <v>0.14463513955213878</v>
      </c>
      <c r="C59" s="19">
        <f t="shared" si="4"/>
        <v>44319</v>
      </c>
      <c r="D59" s="70">
        <f ca="1">_xlfn.IFNA(CORREL(OFFSET(INDEX(Rend_j[Date],MATCH(C59,Rend_j[Date],0)),-30,2,30,1),OFFSET(INDEX(Rend_j[Date],MATCH(C59,Rend_j[Date],0)),-30,4,30,1)),D60)</f>
        <v>0.38810764575412687</v>
      </c>
      <c r="E59" s="19">
        <f t="shared" si="5"/>
        <v>44683</v>
      </c>
      <c r="F59" s="70">
        <f t="shared" ca="1" si="6"/>
        <v>0.14463513955213878</v>
      </c>
      <c r="G59" s="71">
        <f>0</f>
        <v>0</v>
      </c>
      <c r="H59" s="71" t="str">
        <f t="shared" si="7"/>
        <v/>
      </c>
    </row>
    <row r="60" spans="1:8" x14ac:dyDescent="0.25">
      <c r="A60" s="19">
        <v>44684</v>
      </c>
      <c r="B60" s="72">
        <f ca="1">CORREL(OFFSET(INDEX(Rend_j[Date],MATCH(A60,Rend_j[Date],0)),-30,2,30,1),OFFSET(INDEX(Rend_j[Date],MATCH(A60,Rend_j[Date],0)),-30,4,30,1))</f>
        <v>0.14557946543367239</v>
      </c>
      <c r="C60" s="20">
        <f t="shared" si="4"/>
        <v>44320</v>
      </c>
      <c r="D60" s="72">
        <f ca="1">_xlfn.IFNA(CORREL(OFFSET(INDEX(Rend_j[Date],MATCH(C60,Rend_j[Date],0)),-30,2,30,1),OFFSET(INDEX(Rend_j[Date],MATCH(C60,Rend_j[Date],0)),-30,4,30,1)),D61)</f>
        <v>0.38823675539052999</v>
      </c>
      <c r="E60" s="20">
        <f t="shared" si="5"/>
        <v>44684</v>
      </c>
      <c r="F60" s="72">
        <f t="shared" ca="1" si="6"/>
        <v>0.14557946543367239</v>
      </c>
      <c r="G60" s="73">
        <f>0</f>
        <v>0</v>
      </c>
      <c r="H60" s="73" t="str">
        <f t="shared" si="7"/>
        <v/>
      </c>
    </row>
    <row r="61" spans="1:8" x14ac:dyDescent="0.25">
      <c r="A61" s="19">
        <v>44685</v>
      </c>
      <c r="B61" s="70">
        <f ca="1">CORREL(OFFSET(INDEX(Rend_j[Date],MATCH(A61,Rend_j[Date],0)),-30,2,30,1),OFFSET(INDEX(Rend_j[Date],MATCH(A61,Rend_j[Date],0)),-30,4,30,1))</f>
        <v>7.2764663788090489E-2</v>
      </c>
      <c r="C61" s="19">
        <f t="shared" si="4"/>
        <v>44321</v>
      </c>
      <c r="D61" s="70">
        <f ca="1">_xlfn.IFNA(CORREL(OFFSET(INDEX(Rend_j[Date],MATCH(C61,Rend_j[Date],0)),-30,2,30,1),OFFSET(INDEX(Rend_j[Date],MATCH(C61,Rend_j[Date],0)),-30,4,30,1)),D62)</f>
        <v>0.36474203737175709</v>
      </c>
      <c r="E61" s="19">
        <f t="shared" si="5"/>
        <v>44685</v>
      </c>
      <c r="F61" s="70">
        <f t="shared" ca="1" si="6"/>
        <v>7.2764663788090489E-2</v>
      </c>
      <c r="G61" s="71">
        <f>0</f>
        <v>0</v>
      </c>
      <c r="H61" s="71" t="str">
        <f t="shared" si="7"/>
        <v/>
      </c>
    </row>
    <row r="62" spans="1:8" x14ac:dyDescent="0.25">
      <c r="A62" s="19">
        <v>44686</v>
      </c>
      <c r="B62" s="72">
        <f ca="1">CORREL(OFFSET(INDEX(Rend_j[Date],MATCH(A62,Rend_j[Date],0)),-30,2,30,1),OFFSET(INDEX(Rend_j[Date],MATCH(A62,Rend_j[Date],0)),-30,4,30,1))</f>
        <v>6.0038837050800077E-2</v>
      </c>
      <c r="C62" s="20">
        <f t="shared" si="4"/>
        <v>44322</v>
      </c>
      <c r="D62" s="72">
        <f ca="1">_xlfn.IFNA(CORREL(OFFSET(INDEX(Rend_j[Date],MATCH(C62,Rend_j[Date],0)),-30,2,30,1),OFFSET(INDEX(Rend_j[Date],MATCH(C62,Rend_j[Date],0)),-30,4,30,1)),D63)</f>
        <v>0.32368872057381082</v>
      </c>
      <c r="E62" s="20">
        <f t="shared" si="5"/>
        <v>44686</v>
      </c>
      <c r="F62" s="72">
        <f t="shared" ca="1" si="6"/>
        <v>6.0038837050800077E-2</v>
      </c>
      <c r="G62" s="73">
        <f>0</f>
        <v>0</v>
      </c>
      <c r="H62" s="73" t="str">
        <f t="shared" si="7"/>
        <v/>
      </c>
    </row>
    <row r="63" spans="1:8" x14ac:dyDescent="0.25">
      <c r="A63" s="19">
        <v>44687</v>
      </c>
      <c r="B63" s="70">
        <f ca="1">CORREL(OFFSET(INDEX(Rend_j[Date],MATCH(A63,Rend_j[Date],0)),-30,2,30,1),OFFSET(INDEX(Rend_j[Date],MATCH(A63,Rend_j[Date],0)),-30,4,30,1))</f>
        <v>8.2182114926849931E-2</v>
      </c>
      <c r="C63" s="19">
        <f t="shared" si="4"/>
        <v>44323</v>
      </c>
      <c r="D63" s="70">
        <f ca="1">_xlfn.IFNA(CORREL(OFFSET(INDEX(Rend_j[Date],MATCH(C63,Rend_j[Date],0)),-30,2,30,1),OFFSET(INDEX(Rend_j[Date],MATCH(C63,Rend_j[Date],0)),-30,4,30,1)),D64)</f>
        <v>0.35576308272959695</v>
      </c>
      <c r="E63" s="19">
        <f t="shared" si="5"/>
        <v>44687</v>
      </c>
      <c r="F63" s="70">
        <f t="shared" ca="1" si="6"/>
        <v>8.2182114926849931E-2</v>
      </c>
      <c r="G63" s="71">
        <f>0</f>
        <v>0</v>
      </c>
      <c r="H63" s="71" t="str">
        <f t="shared" si="7"/>
        <v/>
      </c>
    </row>
    <row r="64" spans="1:8" x14ac:dyDescent="0.25">
      <c r="A64" s="19">
        <v>44690</v>
      </c>
      <c r="B64" s="72">
        <f ca="1">CORREL(OFFSET(INDEX(Rend_j[Date],MATCH(A64,Rend_j[Date],0)),-30,2,30,1),OFFSET(INDEX(Rend_j[Date],MATCH(A64,Rend_j[Date],0)),-30,4,30,1))</f>
        <v>0.16837133822892766</v>
      </c>
      <c r="C64" s="20">
        <f t="shared" si="4"/>
        <v>44326</v>
      </c>
      <c r="D64" s="72">
        <f ca="1">_xlfn.IFNA(CORREL(OFFSET(INDEX(Rend_j[Date],MATCH(C64,Rend_j[Date],0)),-30,2,30,1),OFFSET(INDEX(Rend_j[Date],MATCH(C64,Rend_j[Date],0)),-30,4,30,1)),D65)</f>
        <v>0.24074679225829299</v>
      </c>
      <c r="E64" s="20">
        <f t="shared" si="5"/>
        <v>44690</v>
      </c>
      <c r="F64" s="72">
        <f t="shared" ca="1" si="6"/>
        <v>0.16837133822892766</v>
      </c>
      <c r="G64" s="73">
        <f>0</f>
        <v>0</v>
      </c>
      <c r="H64" s="73" t="str">
        <f t="shared" si="7"/>
        <v/>
      </c>
    </row>
    <row r="65" spans="1:8" x14ac:dyDescent="0.25">
      <c r="A65" s="19">
        <v>44691</v>
      </c>
      <c r="B65" s="70">
        <f ca="1">CORREL(OFFSET(INDEX(Rend_j[Date],MATCH(A65,Rend_j[Date],0)),-30,2,30,1),OFFSET(INDEX(Rend_j[Date],MATCH(A65,Rend_j[Date],0)),-30,4,30,1))</f>
        <v>0.20916500277652283</v>
      </c>
      <c r="C65" s="19">
        <f t="shared" si="4"/>
        <v>44327</v>
      </c>
      <c r="D65" s="70">
        <f ca="1">_xlfn.IFNA(CORREL(OFFSET(INDEX(Rend_j[Date],MATCH(C65,Rend_j[Date],0)),-30,2,30,1),OFFSET(INDEX(Rend_j[Date],MATCH(C65,Rend_j[Date],0)),-30,4,30,1)),D66)</f>
        <v>0.25634462367188676</v>
      </c>
      <c r="E65" s="19">
        <f t="shared" si="5"/>
        <v>44691</v>
      </c>
      <c r="F65" s="70">
        <f t="shared" ca="1" si="6"/>
        <v>0.20916500277652283</v>
      </c>
      <c r="G65" s="71">
        <f>0</f>
        <v>0</v>
      </c>
      <c r="H65" s="71" t="str">
        <f t="shared" si="7"/>
        <v/>
      </c>
    </row>
    <row r="66" spans="1:8" x14ac:dyDescent="0.25">
      <c r="A66" s="19">
        <v>44692</v>
      </c>
      <c r="B66" s="72">
        <f ca="1">CORREL(OFFSET(INDEX(Rend_j[Date],MATCH(A66,Rend_j[Date],0)),-30,2,30,1),OFFSET(INDEX(Rend_j[Date],MATCH(A66,Rend_j[Date],0)),-30,4,30,1))</f>
        <v>0.20187324441862256</v>
      </c>
      <c r="C66" s="20">
        <f t="shared" si="4"/>
        <v>44328</v>
      </c>
      <c r="D66" s="72">
        <f ca="1">_xlfn.IFNA(CORREL(OFFSET(INDEX(Rend_j[Date],MATCH(C66,Rend_j[Date],0)),-30,2,30,1),OFFSET(INDEX(Rend_j[Date],MATCH(C66,Rend_j[Date],0)),-30,4,30,1)),D67)</f>
        <v>0.38165253907992219</v>
      </c>
      <c r="E66" s="20">
        <f t="shared" si="5"/>
        <v>44692</v>
      </c>
      <c r="F66" s="72">
        <f t="shared" ca="1" si="6"/>
        <v>0.20187324441862256</v>
      </c>
      <c r="G66" s="73">
        <f>0</f>
        <v>0</v>
      </c>
      <c r="H66" s="73" t="str">
        <f t="shared" si="7"/>
        <v/>
      </c>
    </row>
    <row r="67" spans="1:8" x14ac:dyDescent="0.25">
      <c r="A67" s="19">
        <v>44693</v>
      </c>
      <c r="B67" s="70">
        <f ca="1">CORREL(OFFSET(INDEX(Rend_j[Date],MATCH(A67,Rend_j[Date],0)),-30,2,30,1),OFFSET(INDEX(Rend_j[Date],MATCH(A67,Rend_j[Date],0)),-30,4,30,1))</f>
        <v>0.20707243608677328</v>
      </c>
      <c r="C67" s="19">
        <f t="shared" si="4"/>
        <v>44329</v>
      </c>
      <c r="D67" s="70">
        <f ca="1">_xlfn.IFNA(CORREL(OFFSET(INDEX(Rend_j[Date],MATCH(C67,Rend_j[Date],0)),-30,2,30,1),OFFSET(INDEX(Rend_j[Date],MATCH(C67,Rend_j[Date],0)),-30,4,30,1)),D68)</f>
        <v>0.38755586254131424</v>
      </c>
      <c r="E67" s="19">
        <f t="shared" si="5"/>
        <v>44693</v>
      </c>
      <c r="F67" s="70">
        <f t="shared" ca="1" si="6"/>
        <v>0.20707243608677328</v>
      </c>
      <c r="G67" s="71">
        <f>0</f>
        <v>0</v>
      </c>
      <c r="H67" s="71" t="str">
        <f t="shared" si="7"/>
        <v/>
      </c>
    </row>
    <row r="68" spans="1:8" x14ac:dyDescent="0.25">
      <c r="A68" s="19">
        <v>44694</v>
      </c>
      <c r="B68" s="72">
        <f ca="1">CORREL(OFFSET(INDEX(Rend_j[Date],MATCH(A68,Rend_j[Date],0)),-30,2,30,1),OFFSET(INDEX(Rend_j[Date],MATCH(A68,Rend_j[Date],0)),-30,4,30,1))</f>
        <v>0.1814492726460297</v>
      </c>
      <c r="C68" s="20">
        <f t="shared" si="4"/>
        <v>44330</v>
      </c>
      <c r="D68" s="72">
        <f ca="1">_xlfn.IFNA(CORREL(OFFSET(INDEX(Rend_j[Date],MATCH(C68,Rend_j[Date],0)),-30,2,30,1),OFFSET(INDEX(Rend_j[Date],MATCH(C68,Rend_j[Date],0)),-30,4,30,1)),D69)</f>
        <v>0.15610325678493508</v>
      </c>
      <c r="E68" s="20">
        <f t="shared" si="5"/>
        <v>44694</v>
      </c>
      <c r="F68" s="72">
        <f t="shared" ca="1" si="6"/>
        <v>0.1814492726460297</v>
      </c>
      <c r="G68" s="73">
        <f>0</f>
        <v>0</v>
      </c>
      <c r="H68" s="73" t="str">
        <f t="shared" si="7"/>
        <v/>
      </c>
    </row>
    <row r="69" spans="1:8" x14ac:dyDescent="0.25">
      <c r="A69" s="19">
        <v>44697</v>
      </c>
      <c r="B69" s="70">
        <f ca="1">CORREL(OFFSET(INDEX(Rend_j[Date],MATCH(A69,Rend_j[Date],0)),-30,2,30,1),OFFSET(INDEX(Rend_j[Date],MATCH(A69,Rend_j[Date],0)),-30,4,30,1))</f>
        <v>0.25553647088763837</v>
      </c>
      <c r="C69" s="19">
        <f t="shared" ref="C69:C100" si="8">DATE(2021,MONTH(A69),DAY(A69)+1)</f>
        <v>44333</v>
      </c>
      <c r="D69" s="70">
        <f ca="1">_xlfn.IFNA(CORREL(OFFSET(INDEX(Rend_j[Date],MATCH(C69,Rend_j[Date],0)),-30,2,30,1),OFFSET(INDEX(Rend_j[Date],MATCH(C69,Rend_j[Date],0)),-30,4,30,1)),D70)</f>
        <v>0.22690355754266223</v>
      </c>
      <c r="E69" s="19">
        <f t="shared" ref="E69:E100" si="9">IF($M$4=2022,A69,C69)</f>
        <v>44697</v>
      </c>
      <c r="F69" s="70">
        <f t="shared" ref="F69:F100" ca="1" si="10">IF($M$4=2022,B69,D69)</f>
        <v>0.25553647088763837</v>
      </c>
      <c r="G69" s="71">
        <f>0</f>
        <v>0</v>
      </c>
      <c r="H69" s="71" t="str">
        <f t="shared" ref="H69:H100" si="11">IF(AND(E69&gt;=DATE(2022,2,21),E69&lt;=DATE(2022,2,25)),0.8,"")</f>
        <v/>
      </c>
    </row>
    <row r="70" spans="1:8" x14ac:dyDescent="0.25">
      <c r="A70" s="19">
        <v>44698</v>
      </c>
      <c r="B70" s="72">
        <f ca="1">CORREL(OFFSET(INDEX(Rend_j[Date],MATCH(A70,Rend_j[Date],0)),-30,2,30,1),OFFSET(INDEX(Rend_j[Date],MATCH(A70,Rend_j[Date],0)),-30,4,30,1))</f>
        <v>0.20714338202947452</v>
      </c>
      <c r="C70" s="20">
        <f t="shared" si="8"/>
        <v>44334</v>
      </c>
      <c r="D70" s="72">
        <f ca="1">_xlfn.IFNA(CORREL(OFFSET(INDEX(Rend_j[Date],MATCH(C70,Rend_j[Date],0)),-30,2,30,1),OFFSET(INDEX(Rend_j[Date],MATCH(C70,Rend_j[Date],0)),-30,4,30,1)),D71)</f>
        <v>0.23089069427468106</v>
      </c>
      <c r="E70" s="20">
        <f t="shared" si="9"/>
        <v>44698</v>
      </c>
      <c r="F70" s="72">
        <f t="shared" ca="1" si="10"/>
        <v>0.20714338202947452</v>
      </c>
      <c r="G70" s="73">
        <f>0</f>
        <v>0</v>
      </c>
      <c r="H70" s="73" t="str">
        <f t="shared" si="11"/>
        <v/>
      </c>
    </row>
    <row r="71" spans="1:8" x14ac:dyDescent="0.25">
      <c r="A71" s="19">
        <v>44699</v>
      </c>
      <c r="B71" s="70">
        <f ca="1">CORREL(OFFSET(INDEX(Rend_j[Date],MATCH(A71,Rend_j[Date],0)),-30,2,30,1),OFFSET(INDEX(Rend_j[Date],MATCH(A71,Rend_j[Date],0)),-30,4,30,1))</f>
        <v>0.23102183847104241</v>
      </c>
      <c r="C71" s="19">
        <f t="shared" si="8"/>
        <v>44335</v>
      </c>
      <c r="D71" s="70">
        <f ca="1">_xlfn.IFNA(CORREL(OFFSET(INDEX(Rend_j[Date],MATCH(C71,Rend_j[Date],0)),-30,2,30,1),OFFSET(INDEX(Rend_j[Date],MATCH(C71,Rend_j[Date],0)),-30,4,30,1)),D72)</f>
        <v>0.14052473934551279</v>
      </c>
      <c r="E71" s="19">
        <f t="shared" si="9"/>
        <v>44699</v>
      </c>
      <c r="F71" s="70">
        <f t="shared" ca="1" si="10"/>
        <v>0.23102183847104241</v>
      </c>
      <c r="G71" s="71">
        <f>0</f>
        <v>0</v>
      </c>
      <c r="H71" s="71" t="str">
        <f t="shared" si="11"/>
        <v/>
      </c>
    </row>
    <row r="72" spans="1:8" x14ac:dyDescent="0.25">
      <c r="A72" s="19">
        <v>44700</v>
      </c>
      <c r="B72" s="72">
        <f ca="1">CORREL(OFFSET(INDEX(Rend_j[Date],MATCH(A72,Rend_j[Date],0)),-30,2,30,1),OFFSET(INDEX(Rend_j[Date],MATCH(A72,Rend_j[Date],0)),-30,4,30,1))</f>
        <v>0.1686531874173135</v>
      </c>
      <c r="C72" s="20">
        <f t="shared" si="8"/>
        <v>44336</v>
      </c>
      <c r="D72" s="72">
        <f ca="1">_xlfn.IFNA(CORREL(OFFSET(INDEX(Rend_j[Date],MATCH(C72,Rend_j[Date],0)),-30,2,30,1),OFFSET(INDEX(Rend_j[Date],MATCH(C72,Rend_j[Date],0)),-30,4,30,1)),D73)</f>
        <v>0.13117188859538897</v>
      </c>
      <c r="E72" s="20">
        <f t="shared" si="9"/>
        <v>44700</v>
      </c>
      <c r="F72" s="72">
        <f t="shared" ca="1" si="10"/>
        <v>0.1686531874173135</v>
      </c>
      <c r="G72" s="73">
        <f>0</f>
        <v>0</v>
      </c>
      <c r="H72" s="73" t="str">
        <f t="shared" si="11"/>
        <v/>
      </c>
    </row>
    <row r="73" spans="1:8" x14ac:dyDescent="0.25">
      <c r="A73" s="19">
        <v>44701</v>
      </c>
      <c r="B73" s="70">
        <f ca="1">CORREL(OFFSET(INDEX(Rend_j[Date],MATCH(A73,Rend_j[Date],0)),-30,2,30,1),OFFSET(INDEX(Rend_j[Date],MATCH(A73,Rend_j[Date],0)),-30,4,30,1))</f>
        <v>0.21305303392629449</v>
      </c>
      <c r="C73" s="19">
        <f t="shared" si="8"/>
        <v>44337</v>
      </c>
      <c r="D73" s="70">
        <f ca="1">_xlfn.IFNA(CORREL(OFFSET(INDEX(Rend_j[Date],MATCH(C73,Rend_j[Date],0)),-30,2,30,1),OFFSET(INDEX(Rend_j[Date],MATCH(C73,Rend_j[Date],0)),-30,4,30,1)),D74)</f>
        <v>0.1272468457437039</v>
      </c>
      <c r="E73" s="19">
        <f t="shared" si="9"/>
        <v>44701</v>
      </c>
      <c r="F73" s="70">
        <f t="shared" ca="1" si="10"/>
        <v>0.21305303392629449</v>
      </c>
      <c r="G73" s="71">
        <f>0</f>
        <v>0</v>
      </c>
      <c r="H73" s="71" t="str">
        <f t="shared" si="11"/>
        <v/>
      </c>
    </row>
    <row r="74" spans="1:8" x14ac:dyDescent="0.25">
      <c r="A74" s="19">
        <v>44704</v>
      </c>
      <c r="B74" s="72">
        <f ca="1">CORREL(OFFSET(INDEX(Rend_j[Date],MATCH(A74,Rend_j[Date],0)),-30,2,30,1),OFFSET(INDEX(Rend_j[Date],MATCH(A74,Rend_j[Date],0)),-30,4,30,1))</f>
        <v>0.22764279320874309</v>
      </c>
      <c r="C74" s="20">
        <f t="shared" si="8"/>
        <v>44340</v>
      </c>
      <c r="D74" s="72">
        <f ca="1">_xlfn.IFNA(CORREL(OFFSET(INDEX(Rend_j[Date],MATCH(C74,Rend_j[Date],0)),-30,2,30,1),OFFSET(INDEX(Rend_j[Date],MATCH(C74,Rend_j[Date],0)),-30,4,30,1)),D75)</f>
        <v>0.18602901792919416</v>
      </c>
      <c r="E74" s="20">
        <f t="shared" si="9"/>
        <v>44704</v>
      </c>
      <c r="F74" s="72">
        <f t="shared" ca="1" si="10"/>
        <v>0.22764279320874309</v>
      </c>
      <c r="G74" s="73">
        <f>0</f>
        <v>0</v>
      </c>
      <c r="H74" s="73" t="str">
        <f t="shared" si="11"/>
        <v/>
      </c>
    </row>
    <row r="75" spans="1:8" x14ac:dyDescent="0.25">
      <c r="A75" s="19">
        <v>44705</v>
      </c>
      <c r="B75" s="70">
        <f ca="1">CORREL(OFFSET(INDEX(Rend_j[Date],MATCH(A75,Rend_j[Date],0)),-30,2,30,1),OFFSET(INDEX(Rend_j[Date],MATCH(A75,Rend_j[Date],0)),-30,4,30,1))</f>
        <v>0.17816255180189516</v>
      </c>
      <c r="C75" s="19">
        <f t="shared" si="8"/>
        <v>44341</v>
      </c>
      <c r="D75" s="70">
        <f ca="1">_xlfn.IFNA(CORREL(OFFSET(INDEX(Rend_j[Date],MATCH(C75,Rend_j[Date],0)),-30,2,30,1),OFFSET(INDEX(Rend_j[Date],MATCH(C75,Rend_j[Date],0)),-30,4,30,1)),D76)</f>
        <v>0.15073798904041599</v>
      </c>
      <c r="E75" s="19">
        <f t="shared" si="9"/>
        <v>44705</v>
      </c>
      <c r="F75" s="70">
        <f t="shared" ca="1" si="10"/>
        <v>0.17816255180189516</v>
      </c>
      <c r="G75" s="71">
        <f>0</f>
        <v>0</v>
      </c>
      <c r="H75" s="71" t="str">
        <f t="shared" si="11"/>
        <v/>
      </c>
    </row>
    <row r="76" spans="1:8" x14ac:dyDescent="0.25">
      <c r="A76" s="19">
        <v>44706</v>
      </c>
      <c r="B76" s="72">
        <f ca="1">CORREL(OFFSET(INDEX(Rend_j[Date],MATCH(A76,Rend_j[Date],0)),-30,2,30,1),OFFSET(INDEX(Rend_j[Date],MATCH(A76,Rend_j[Date],0)),-30,4,30,1))</f>
        <v>0.20942197749503474</v>
      </c>
      <c r="C76" s="20">
        <f t="shared" si="8"/>
        <v>44342</v>
      </c>
      <c r="D76" s="72">
        <f ca="1">_xlfn.IFNA(CORREL(OFFSET(INDEX(Rend_j[Date],MATCH(C76,Rend_j[Date],0)),-30,2,30,1),OFFSET(INDEX(Rend_j[Date],MATCH(C76,Rend_j[Date],0)),-30,4,30,1)),D77)</f>
        <v>0.11666067164657751</v>
      </c>
      <c r="E76" s="20">
        <f t="shared" si="9"/>
        <v>44706</v>
      </c>
      <c r="F76" s="72">
        <f t="shared" ca="1" si="10"/>
        <v>0.20942197749503474</v>
      </c>
      <c r="G76" s="73">
        <f>0</f>
        <v>0</v>
      </c>
      <c r="H76" s="73" t="str">
        <f t="shared" si="11"/>
        <v/>
      </c>
    </row>
    <row r="77" spans="1:8" x14ac:dyDescent="0.25">
      <c r="A77" s="19">
        <v>44707</v>
      </c>
      <c r="B77" s="70">
        <f ca="1">CORREL(OFFSET(INDEX(Rend_j[Date],MATCH(A77,Rend_j[Date],0)),-30,2,30,1),OFFSET(INDEX(Rend_j[Date],MATCH(A77,Rend_j[Date],0)),-30,4,30,1))</f>
        <v>0.20328691906366966</v>
      </c>
      <c r="C77" s="19">
        <f t="shared" si="8"/>
        <v>44343</v>
      </c>
      <c r="D77" s="70">
        <f ca="1">_xlfn.IFNA(CORREL(OFFSET(INDEX(Rend_j[Date],MATCH(C77,Rend_j[Date],0)),-30,2,30,1),OFFSET(INDEX(Rend_j[Date],MATCH(C77,Rend_j[Date],0)),-30,4,30,1)),D78)</f>
        <v>0.16604912496048904</v>
      </c>
      <c r="E77" s="19">
        <f t="shared" si="9"/>
        <v>44707</v>
      </c>
      <c r="F77" s="70">
        <f t="shared" ca="1" si="10"/>
        <v>0.20328691906366966</v>
      </c>
      <c r="G77" s="71">
        <f>0</f>
        <v>0</v>
      </c>
      <c r="H77" s="71" t="str">
        <f t="shared" si="11"/>
        <v/>
      </c>
    </row>
    <row r="78" spans="1:8" x14ac:dyDescent="0.25">
      <c r="A78" s="19">
        <v>44708</v>
      </c>
      <c r="B78" s="72">
        <f ca="1">CORREL(OFFSET(INDEX(Rend_j[Date],MATCH(A78,Rend_j[Date],0)),-30,2,30,1),OFFSET(INDEX(Rend_j[Date],MATCH(A78,Rend_j[Date],0)),-30,4,30,1))</f>
        <v>0.20600976379797842</v>
      </c>
      <c r="C78" s="20">
        <f t="shared" si="8"/>
        <v>44344</v>
      </c>
      <c r="D78" s="72">
        <f ca="1">_xlfn.IFNA(CORREL(OFFSET(INDEX(Rend_j[Date],MATCH(C78,Rend_j[Date],0)),-30,2,30,1),OFFSET(INDEX(Rend_j[Date],MATCH(C78,Rend_j[Date],0)),-30,4,30,1)),D79)</f>
        <v>0.14893285866606934</v>
      </c>
      <c r="E78" s="20">
        <f t="shared" si="9"/>
        <v>44708</v>
      </c>
      <c r="F78" s="72">
        <f t="shared" ca="1" si="10"/>
        <v>0.20600976379797842</v>
      </c>
      <c r="G78" s="73">
        <f>0</f>
        <v>0</v>
      </c>
      <c r="H78" s="73" t="str">
        <f t="shared" si="11"/>
        <v/>
      </c>
    </row>
    <row r="79" spans="1:8" x14ac:dyDescent="0.25">
      <c r="A79" s="19">
        <v>44711</v>
      </c>
      <c r="B79" s="70">
        <f ca="1">CORREL(OFFSET(INDEX(Rend_j[Date],MATCH(A79,Rend_j[Date],0)),-30,2,30,1),OFFSET(INDEX(Rend_j[Date],MATCH(A79,Rend_j[Date],0)),-30,4,30,1))</f>
        <v>0.2787828037519901</v>
      </c>
      <c r="C79" s="19">
        <f t="shared" si="8"/>
        <v>44347</v>
      </c>
      <c r="D79" s="70">
        <f ca="1">_xlfn.IFNA(CORREL(OFFSET(INDEX(Rend_j[Date],MATCH(C79,Rend_j[Date],0)),-30,2,30,1),OFFSET(INDEX(Rend_j[Date],MATCH(C79,Rend_j[Date],0)),-30,4,30,1)),D80)</f>
        <v>0.15983697490086202</v>
      </c>
      <c r="E79" s="19">
        <f t="shared" si="9"/>
        <v>44711</v>
      </c>
      <c r="F79" s="70">
        <f t="shared" ca="1" si="10"/>
        <v>0.2787828037519901</v>
      </c>
      <c r="G79" s="71">
        <f>0</f>
        <v>0</v>
      </c>
      <c r="H79" s="71" t="str">
        <f t="shared" si="11"/>
        <v/>
      </c>
    </row>
    <row r="80" spans="1:8" x14ac:dyDescent="0.25">
      <c r="A80" s="19">
        <v>44712</v>
      </c>
      <c r="B80" s="72">
        <f ca="1">CORREL(OFFSET(INDEX(Rend_j[Date],MATCH(A80,Rend_j[Date],0)),-30,2,30,1),OFFSET(INDEX(Rend_j[Date],MATCH(A80,Rend_j[Date],0)),-30,4,30,1))</f>
        <v>0.26952260068441514</v>
      </c>
      <c r="C80" s="20">
        <f t="shared" si="8"/>
        <v>44348</v>
      </c>
      <c r="D80" s="72">
        <f ca="1">_xlfn.IFNA(CORREL(OFFSET(INDEX(Rend_j[Date],MATCH(C80,Rend_j[Date],0)),-30,2,30,1),OFFSET(INDEX(Rend_j[Date],MATCH(C80,Rend_j[Date],0)),-30,4,30,1)),D81)</f>
        <v>0.10905615109923404</v>
      </c>
      <c r="E80" s="20">
        <f t="shared" si="9"/>
        <v>44712</v>
      </c>
      <c r="F80" s="72">
        <f t="shared" ca="1" si="10"/>
        <v>0.26952260068441514</v>
      </c>
      <c r="G80" s="73">
        <f>0</f>
        <v>0</v>
      </c>
      <c r="H80" s="73" t="str">
        <f t="shared" si="11"/>
        <v/>
      </c>
    </row>
    <row r="81" spans="1:8" x14ac:dyDescent="0.25">
      <c r="A81" s="19">
        <v>44713</v>
      </c>
      <c r="B81" s="70">
        <f ca="1">CORREL(OFFSET(INDEX(Rend_j[Date],MATCH(A81,Rend_j[Date],0)),-30,2,30,1),OFFSET(INDEX(Rend_j[Date],MATCH(A81,Rend_j[Date],0)),-30,4,30,1))</f>
        <v>0.28110566433902412</v>
      </c>
      <c r="C81" s="19">
        <f t="shared" si="8"/>
        <v>44349</v>
      </c>
      <c r="D81" s="70">
        <f ca="1">_xlfn.IFNA(CORREL(OFFSET(INDEX(Rend_j[Date],MATCH(C81,Rend_j[Date],0)),-30,2,30,1),OFFSET(INDEX(Rend_j[Date],MATCH(C81,Rend_j[Date],0)),-30,4,30,1)),D82)</f>
        <v>8.1634149147455343E-2</v>
      </c>
      <c r="E81" s="19">
        <f t="shared" si="9"/>
        <v>44713</v>
      </c>
      <c r="F81" s="70">
        <f t="shared" ca="1" si="10"/>
        <v>0.28110566433902412</v>
      </c>
      <c r="G81" s="71">
        <f>0</f>
        <v>0</v>
      </c>
      <c r="H81" s="71" t="str">
        <f t="shared" si="11"/>
        <v/>
      </c>
    </row>
    <row r="82" spans="1:8" x14ac:dyDescent="0.25">
      <c r="A82" s="19">
        <v>44714</v>
      </c>
      <c r="B82" s="72">
        <f ca="1">CORREL(OFFSET(INDEX(Rend_j[Date],MATCH(A82,Rend_j[Date],0)),-30,2,30,1),OFFSET(INDEX(Rend_j[Date],MATCH(A82,Rend_j[Date],0)),-30,4,30,1))</f>
        <v>0.28046340523389762</v>
      </c>
      <c r="C82" s="20">
        <f t="shared" si="8"/>
        <v>44350</v>
      </c>
      <c r="D82" s="72">
        <f ca="1">_xlfn.IFNA(CORREL(OFFSET(INDEX(Rend_j[Date],MATCH(C82,Rend_j[Date],0)),-30,2,30,1),OFFSET(INDEX(Rend_j[Date],MATCH(C82,Rend_j[Date],0)),-30,4,30,1)),D83)</f>
        <v>0.13632317794355542</v>
      </c>
      <c r="E82" s="20">
        <f t="shared" si="9"/>
        <v>44714</v>
      </c>
      <c r="F82" s="72">
        <f t="shared" ca="1" si="10"/>
        <v>0.28046340523389762</v>
      </c>
      <c r="G82" s="73">
        <f>0</f>
        <v>0</v>
      </c>
      <c r="H82" s="73" t="str">
        <f t="shared" si="11"/>
        <v/>
      </c>
    </row>
    <row r="83" spans="1:8" x14ac:dyDescent="0.25">
      <c r="A83" s="19">
        <v>44715</v>
      </c>
      <c r="B83" s="70">
        <f ca="1">CORREL(OFFSET(INDEX(Rend_j[Date],MATCH(A83,Rend_j[Date],0)),-30,2,30,1),OFFSET(INDEX(Rend_j[Date],MATCH(A83,Rend_j[Date],0)),-30,4,30,1))</f>
        <v>0.24836820548116015</v>
      </c>
      <c r="C83" s="19">
        <f t="shared" si="8"/>
        <v>44351</v>
      </c>
      <c r="D83" s="70">
        <f ca="1">_xlfn.IFNA(CORREL(OFFSET(INDEX(Rend_j[Date],MATCH(C83,Rend_j[Date],0)),-30,2,30,1),OFFSET(INDEX(Rend_j[Date],MATCH(C83,Rend_j[Date],0)),-30,4,30,1)),D84)</f>
        <v>0.14700050403813628</v>
      </c>
      <c r="E83" s="19">
        <f t="shared" si="9"/>
        <v>44715</v>
      </c>
      <c r="F83" s="70">
        <f t="shared" ca="1" si="10"/>
        <v>0.24836820548116015</v>
      </c>
      <c r="G83" s="71">
        <f>0</f>
        <v>0</v>
      </c>
      <c r="H83" s="71" t="str">
        <f t="shared" si="11"/>
        <v/>
      </c>
    </row>
    <row r="84" spans="1:8" x14ac:dyDescent="0.25">
      <c r="A84" s="19">
        <v>44718</v>
      </c>
      <c r="B84" s="72">
        <f ca="1">CORREL(OFFSET(INDEX(Rend_j[Date],MATCH(A84,Rend_j[Date],0)),-30,2,30,1),OFFSET(INDEX(Rend_j[Date],MATCH(A84,Rend_j[Date],0)),-30,4,30,1))</f>
        <v>0.24268267831219939</v>
      </c>
      <c r="C84" s="20">
        <f t="shared" si="8"/>
        <v>44354</v>
      </c>
      <c r="D84" s="72">
        <f ca="1">_xlfn.IFNA(CORREL(OFFSET(INDEX(Rend_j[Date],MATCH(C84,Rend_j[Date],0)),-30,2,30,1),OFFSET(INDEX(Rend_j[Date],MATCH(C84,Rend_j[Date],0)),-30,4,30,1)),D85)</f>
        <v>9.6560984511484579E-2</v>
      </c>
      <c r="E84" s="20">
        <f t="shared" si="9"/>
        <v>44718</v>
      </c>
      <c r="F84" s="72">
        <f t="shared" ca="1" si="10"/>
        <v>0.24268267831219939</v>
      </c>
      <c r="G84" s="73">
        <f>0</f>
        <v>0</v>
      </c>
      <c r="H84" s="73" t="str">
        <f t="shared" si="11"/>
        <v/>
      </c>
    </row>
    <row r="85" spans="1:8" x14ac:dyDescent="0.25">
      <c r="A85" s="19">
        <v>44719</v>
      </c>
      <c r="B85" s="70">
        <f ca="1">CORREL(OFFSET(INDEX(Rend_j[Date],MATCH(A85,Rend_j[Date],0)),-30,2,30,1),OFFSET(INDEX(Rend_j[Date],MATCH(A85,Rend_j[Date],0)),-30,4,30,1))</f>
        <v>0.27985127276192739</v>
      </c>
      <c r="C85" s="19">
        <f t="shared" si="8"/>
        <v>44355</v>
      </c>
      <c r="D85" s="70">
        <f ca="1">_xlfn.IFNA(CORREL(OFFSET(INDEX(Rend_j[Date],MATCH(C85,Rend_j[Date],0)),-30,2,30,1),OFFSET(INDEX(Rend_j[Date],MATCH(C85,Rend_j[Date],0)),-30,4,30,1)),D86)</f>
        <v>9.8156759234629729E-2</v>
      </c>
      <c r="E85" s="19">
        <f t="shared" si="9"/>
        <v>44719</v>
      </c>
      <c r="F85" s="70">
        <f t="shared" ca="1" si="10"/>
        <v>0.27985127276192739</v>
      </c>
      <c r="G85" s="71">
        <f>0</f>
        <v>0</v>
      </c>
      <c r="H85" s="71" t="str">
        <f t="shared" si="11"/>
        <v/>
      </c>
    </row>
    <row r="86" spans="1:8" x14ac:dyDescent="0.25">
      <c r="A86" s="19">
        <v>44720</v>
      </c>
      <c r="B86" s="72">
        <f ca="1">CORREL(OFFSET(INDEX(Rend_j[Date],MATCH(A86,Rend_j[Date],0)),-30,2,30,1),OFFSET(INDEX(Rend_j[Date],MATCH(A86,Rend_j[Date],0)),-30,4,30,1))</f>
        <v>0.29742297583395938</v>
      </c>
      <c r="C86" s="20">
        <f t="shared" si="8"/>
        <v>44356</v>
      </c>
      <c r="D86" s="72">
        <f ca="1">_xlfn.IFNA(CORREL(OFFSET(INDEX(Rend_j[Date],MATCH(C86,Rend_j[Date],0)),-30,2,30,1),OFFSET(INDEX(Rend_j[Date],MATCH(C86,Rend_j[Date],0)),-30,4,30,1)),D87)</f>
        <v>9.925130241738768E-2</v>
      </c>
      <c r="E86" s="20">
        <f t="shared" si="9"/>
        <v>44720</v>
      </c>
      <c r="F86" s="72">
        <f t="shared" ca="1" si="10"/>
        <v>0.29742297583395938</v>
      </c>
      <c r="G86" s="73">
        <f>0</f>
        <v>0</v>
      </c>
      <c r="H86" s="73" t="str">
        <f t="shared" si="11"/>
        <v/>
      </c>
    </row>
    <row r="87" spans="1:8" x14ac:dyDescent="0.25">
      <c r="A87" s="19">
        <v>44721</v>
      </c>
      <c r="B87" s="70">
        <f ca="1">CORREL(OFFSET(INDEX(Rend_j[Date],MATCH(A87,Rend_j[Date],0)),-30,2,30,1),OFFSET(INDEX(Rend_j[Date],MATCH(A87,Rend_j[Date],0)),-30,4,30,1))</f>
        <v>0.26805501383053654</v>
      </c>
      <c r="C87" s="19">
        <f t="shared" si="8"/>
        <v>44357</v>
      </c>
      <c r="D87" s="70">
        <f ca="1">_xlfn.IFNA(CORREL(OFFSET(INDEX(Rend_j[Date],MATCH(C87,Rend_j[Date],0)),-30,2,30,1),OFFSET(INDEX(Rend_j[Date],MATCH(C87,Rend_j[Date],0)),-30,4,30,1)),D88)</f>
        <v>0.1060806880569741</v>
      </c>
      <c r="E87" s="19">
        <f t="shared" si="9"/>
        <v>44721</v>
      </c>
      <c r="F87" s="70">
        <f t="shared" ca="1" si="10"/>
        <v>0.26805501383053654</v>
      </c>
      <c r="G87" s="71">
        <f>0</f>
        <v>0</v>
      </c>
      <c r="H87" s="71" t="str">
        <f t="shared" si="11"/>
        <v/>
      </c>
    </row>
    <row r="88" spans="1:8" x14ac:dyDescent="0.25">
      <c r="A88" s="19">
        <v>44722</v>
      </c>
      <c r="B88" s="72">
        <f ca="1">CORREL(OFFSET(INDEX(Rend_j[Date],MATCH(A88,Rend_j[Date],0)),-30,2,30,1),OFFSET(INDEX(Rend_j[Date],MATCH(A88,Rend_j[Date],0)),-30,4,30,1))</f>
        <v>0.2382931253006623</v>
      </c>
      <c r="C88" s="20">
        <f t="shared" si="8"/>
        <v>44358</v>
      </c>
      <c r="D88" s="72">
        <f ca="1">_xlfn.IFNA(CORREL(OFFSET(INDEX(Rend_j[Date],MATCH(C88,Rend_j[Date],0)),-30,2,30,1),OFFSET(INDEX(Rend_j[Date],MATCH(C88,Rend_j[Date],0)),-30,4,30,1)),D89)</f>
        <v>0.12980429223904064</v>
      </c>
      <c r="E88" s="20">
        <f t="shared" si="9"/>
        <v>44722</v>
      </c>
      <c r="F88" s="72">
        <f t="shared" ca="1" si="10"/>
        <v>0.2382931253006623</v>
      </c>
      <c r="G88" s="73">
        <f>0</f>
        <v>0</v>
      </c>
      <c r="H88" s="73" t="str">
        <f t="shared" si="11"/>
        <v/>
      </c>
    </row>
    <row r="89" spans="1:8" x14ac:dyDescent="0.25">
      <c r="A89" s="19">
        <v>44725</v>
      </c>
      <c r="B89" s="70">
        <f ca="1">CORREL(OFFSET(INDEX(Rend_j[Date],MATCH(A89,Rend_j[Date],0)),-30,2,30,1),OFFSET(INDEX(Rend_j[Date],MATCH(A89,Rend_j[Date],0)),-30,4,30,1))</f>
        <v>0.33637751273782984</v>
      </c>
      <c r="C89" s="19">
        <f t="shared" si="8"/>
        <v>44361</v>
      </c>
      <c r="D89" s="70">
        <f ca="1">_xlfn.IFNA(CORREL(OFFSET(INDEX(Rend_j[Date],MATCH(C89,Rend_j[Date],0)),-30,2,30,1),OFFSET(INDEX(Rend_j[Date],MATCH(C89,Rend_j[Date],0)),-30,4,30,1)),D90)</f>
        <v>0.15069914569831977</v>
      </c>
      <c r="E89" s="19">
        <f t="shared" si="9"/>
        <v>44725</v>
      </c>
      <c r="F89" s="70">
        <f t="shared" ca="1" si="10"/>
        <v>0.33637751273782984</v>
      </c>
      <c r="G89" s="71">
        <f>0</f>
        <v>0</v>
      </c>
      <c r="H89" s="71" t="str">
        <f t="shared" si="11"/>
        <v/>
      </c>
    </row>
    <row r="90" spans="1:8" x14ac:dyDescent="0.25">
      <c r="A90" s="19">
        <v>44726</v>
      </c>
      <c r="B90" s="72">
        <f ca="1">CORREL(OFFSET(INDEX(Rend_j[Date],MATCH(A90,Rend_j[Date],0)),-30,2,30,1),OFFSET(INDEX(Rend_j[Date],MATCH(A90,Rend_j[Date],0)),-30,4,30,1))</f>
        <v>0.40553035656272596</v>
      </c>
      <c r="C90" s="20">
        <f t="shared" si="8"/>
        <v>44362</v>
      </c>
      <c r="D90" s="72">
        <f ca="1">_xlfn.IFNA(CORREL(OFFSET(INDEX(Rend_j[Date],MATCH(C90,Rend_j[Date],0)),-30,2,30,1),OFFSET(INDEX(Rend_j[Date],MATCH(C90,Rend_j[Date],0)),-30,4,30,1)),D91)</f>
        <v>0.15358865942581254</v>
      </c>
      <c r="E90" s="20">
        <f t="shared" si="9"/>
        <v>44726</v>
      </c>
      <c r="F90" s="72">
        <f t="shared" ca="1" si="10"/>
        <v>0.40553035656272596</v>
      </c>
      <c r="G90" s="73">
        <f>0</f>
        <v>0</v>
      </c>
      <c r="H90" s="73" t="str">
        <f t="shared" si="11"/>
        <v/>
      </c>
    </row>
    <row r="91" spans="1:8" x14ac:dyDescent="0.25">
      <c r="A91" s="19">
        <v>44727</v>
      </c>
      <c r="B91" s="70">
        <f ca="1">CORREL(OFFSET(INDEX(Rend_j[Date],MATCH(A91,Rend_j[Date],0)),-30,2,30,1),OFFSET(INDEX(Rend_j[Date],MATCH(A91,Rend_j[Date],0)),-30,4,30,1))</f>
        <v>0.40745414755548504</v>
      </c>
      <c r="C91" s="19">
        <f t="shared" si="8"/>
        <v>44363</v>
      </c>
      <c r="D91" s="70">
        <f ca="1">_xlfn.IFNA(CORREL(OFFSET(INDEX(Rend_j[Date],MATCH(C91,Rend_j[Date],0)),-30,2,30,1),OFFSET(INDEX(Rend_j[Date],MATCH(C91,Rend_j[Date],0)),-30,4,30,1)),D92)</f>
        <v>0.16113952093759837</v>
      </c>
      <c r="E91" s="19">
        <f t="shared" si="9"/>
        <v>44727</v>
      </c>
      <c r="F91" s="70">
        <f t="shared" ca="1" si="10"/>
        <v>0.40745414755548504</v>
      </c>
      <c r="G91" s="71">
        <f>0</f>
        <v>0</v>
      </c>
      <c r="H91" s="71" t="str">
        <f t="shared" si="11"/>
        <v/>
      </c>
    </row>
    <row r="92" spans="1:8" x14ac:dyDescent="0.25">
      <c r="A92" s="19">
        <v>44728</v>
      </c>
      <c r="B92" s="72">
        <f ca="1">CORREL(OFFSET(INDEX(Rend_j[Date],MATCH(A92,Rend_j[Date],0)),-30,2,30,1),OFFSET(INDEX(Rend_j[Date],MATCH(A92,Rend_j[Date],0)),-30,4,30,1))</f>
        <v>0.44266619188879336</v>
      </c>
      <c r="C92" s="20">
        <f t="shared" si="8"/>
        <v>44364</v>
      </c>
      <c r="D92" s="72">
        <f ca="1">_xlfn.IFNA(CORREL(OFFSET(INDEX(Rend_j[Date],MATCH(C92,Rend_j[Date],0)),-30,2,30,1),OFFSET(INDEX(Rend_j[Date],MATCH(C92,Rend_j[Date],0)),-30,4,30,1)),D93)</f>
        <v>0.17706224975685728</v>
      </c>
      <c r="E92" s="20">
        <f t="shared" si="9"/>
        <v>44728</v>
      </c>
      <c r="F92" s="72">
        <f t="shared" ca="1" si="10"/>
        <v>0.44266619188879336</v>
      </c>
      <c r="G92" s="73">
        <f>0</f>
        <v>0</v>
      </c>
      <c r="H92" s="73" t="str">
        <f t="shared" si="11"/>
        <v/>
      </c>
    </row>
    <row r="93" spans="1:8" x14ac:dyDescent="0.25">
      <c r="A93" s="19">
        <v>44729</v>
      </c>
      <c r="B93" s="70">
        <f ca="1">CORREL(OFFSET(INDEX(Rend_j[Date],MATCH(A93,Rend_j[Date],0)),-30,2,30,1),OFFSET(INDEX(Rend_j[Date],MATCH(A93,Rend_j[Date],0)),-30,4,30,1))</f>
        <v>0.50062519310790277</v>
      </c>
      <c r="C93" s="19">
        <f t="shared" si="8"/>
        <v>44365</v>
      </c>
      <c r="D93" s="70">
        <f ca="1">_xlfn.IFNA(CORREL(OFFSET(INDEX(Rend_j[Date],MATCH(C93,Rend_j[Date],0)),-30,2,30,1),OFFSET(INDEX(Rend_j[Date],MATCH(C93,Rend_j[Date],0)),-30,4,30,1)),D94)</f>
        <v>0.23972318503507956</v>
      </c>
      <c r="E93" s="19">
        <f t="shared" si="9"/>
        <v>44729</v>
      </c>
      <c r="F93" s="70">
        <f t="shared" ca="1" si="10"/>
        <v>0.50062519310790277</v>
      </c>
      <c r="G93" s="71">
        <f>0</f>
        <v>0</v>
      </c>
      <c r="H93" s="71" t="str">
        <f t="shared" si="11"/>
        <v/>
      </c>
    </row>
    <row r="94" spans="1:8" x14ac:dyDescent="0.25">
      <c r="A94" s="19">
        <v>44732</v>
      </c>
      <c r="B94" s="72">
        <f ca="1">CORREL(OFFSET(INDEX(Rend_j[Date],MATCH(A94,Rend_j[Date],0)),-30,2,30,1),OFFSET(INDEX(Rend_j[Date],MATCH(A94,Rend_j[Date],0)),-30,4,30,1))</f>
        <v>0.49626055987193018</v>
      </c>
      <c r="C94" s="20">
        <f t="shared" si="8"/>
        <v>44368</v>
      </c>
      <c r="D94" s="72">
        <f ca="1">_xlfn.IFNA(CORREL(OFFSET(INDEX(Rend_j[Date],MATCH(C94,Rend_j[Date],0)),-30,2,30,1),OFFSET(INDEX(Rend_j[Date],MATCH(C94,Rend_j[Date],0)),-30,4,30,1)),D95)</f>
        <v>0.20204925582873892</v>
      </c>
      <c r="E94" s="20">
        <f t="shared" si="9"/>
        <v>44732</v>
      </c>
      <c r="F94" s="72">
        <f t="shared" ca="1" si="10"/>
        <v>0.49626055987193018</v>
      </c>
      <c r="G94" s="73">
        <f>0</f>
        <v>0</v>
      </c>
      <c r="H94" s="73" t="str">
        <f t="shared" si="11"/>
        <v/>
      </c>
    </row>
    <row r="95" spans="1:8" x14ac:dyDescent="0.25">
      <c r="A95" s="19">
        <v>44733</v>
      </c>
      <c r="B95" s="70">
        <f ca="1">CORREL(OFFSET(INDEX(Rend_j[Date],MATCH(A95,Rend_j[Date],0)),-30,2,30,1),OFFSET(INDEX(Rend_j[Date],MATCH(A95,Rend_j[Date],0)),-30,4,30,1))</f>
        <v>0.47399940216920139</v>
      </c>
      <c r="C95" s="19">
        <f t="shared" si="8"/>
        <v>44369</v>
      </c>
      <c r="D95" s="70">
        <f ca="1">_xlfn.IFNA(CORREL(OFFSET(INDEX(Rend_j[Date],MATCH(C95,Rend_j[Date],0)),-30,2,30,1),OFFSET(INDEX(Rend_j[Date],MATCH(C95,Rend_j[Date],0)),-30,4,30,1)),D96)</f>
        <v>0.12372647385057858</v>
      </c>
      <c r="E95" s="19">
        <f t="shared" si="9"/>
        <v>44733</v>
      </c>
      <c r="F95" s="70">
        <f t="shared" ca="1" si="10"/>
        <v>0.47399940216920139</v>
      </c>
      <c r="G95" s="71">
        <f>0</f>
        <v>0</v>
      </c>
      <c r="H95" s="71" t="str">
        <f t="shared" si="11"/>
        <v/>
      </c>
    </row>
    <row r="96" spans="1:8" x14ac:dyDescent="0.25">
      <c r="A96" s="19">
        <v>44734</v>
      </c>
      <c r="B96" s="72">
        <f ca="1">CORREL(OFFSET(INDEX(Rend_j[Date],MATCH(A96,Rend_j[Date],0)),-30,2,30,1),OFFSET(INDEX(Rend_j[Date],MATCH(A96,Rend_j[Date],0)),-30,4,30,1))</f>
        <v>0.50540192184839361</v>
      </c>
      <c r="C96" s="20">
        <f t="shared" si="8"/>
        <v>44370</v>
      </c>
      <c r="D96" s="72">
        <f ca="1">_xlfn.IFNA(CORREL(OFFSET(INDEX(Rend_j[Date],MATCH(C96,Rend_j[Date],0)),-30,2,30,1),OFFSET(INDEX(Rend_j[Date],MATCH(C96,Rend_j[Date],0)),-30,4,30,1)),D97)</f>
        <v>-3.755872524349467E-2</v>
      </c>
      <c r="E96" s="20">
        <f t="shared" si="9"/>
        <v>44734</v>
      </c>
      <c r="F96" s="72">
        <f t="shared" ca="1" si="10"/>
        <v>0.50540192184839361</v>
      </c>
      <c r="G96" s="73">
        <f>0</f>
        <v>0</v>
      </c>
      <c r="H96" s="73" t="str">
        <f t="shared" si="11"/>
        <v/>
      </c>
    </row>
    <row r="97" spans="1:8" x14ac:dyDescent="0.25">
      <c r="A97" s="19">
        <v>44735</v>
      </c>
      <c r="B97" s="70">
        <f ca="1">CORREL(OFFSET(INDEX(Rend_j[Date],MATCH(A97,Rend_j[Date],0)),-30,2,30,1),OFFSET(INDEX(Rend_j[Date],MATCH(A97,Rend_j[Date],0)),-30,4,30,1))</f>
        <v>0.49993549364964851</v>
      </c>
      <c r="C97" s="19">
        <f t="shared" si="8"/>
        <v>44371</v>
      </c>
      <c r="D97" s="70">
        <f ca="1">_xlfn.IFNA(CORREL(OFFSET(INDEX(Rend_j[Date],MATCH(C97,Rend_j[Date],0)),-30,2,30,1),OFFSET(INDEX(Rend_j[Date],MATCH(C97,Rend_j[Date],0)),-30,4,30,1)),D98)</f>
        <v>-0.12885534273940052</v>
      </c>
      <c r="E97" s="19">
        <f t="shared" si="9"/>
        <v>44735</v>
      </c>
      <c r="F97" s="70">
        <f t="shared" ca="1" si="10"/>
        <v>0.49993549364964851</v>
      </c>
      <c r="G97" s="71">
        <f>0</f>
        <v>0</v>
      </c>
      <c r="H97" s="71" t="str">
        <f t="shared" si="11"/>
        <v/>
      </c>
    </row>
    <row r="98" spans="1:8" x14ac:dyDescent="0.25">
      <c r="A98" s="19">
        <v>44736</v>
      </c>
      <c r="B98" s="72">
        <f ca="1">CORREL(OFFSET(INDEX(Rend_j[Date],MATCH(A98,Rend_j[Date],0)),-30,2,30,1),OFFSET(INDEX(Rend_j[Date],MATCH(A98,Rend_j[Date],0)),-30,4,30,1))</f>
        <v>0.5327705358530066</v>
      </c>
      <c r="C98" s="20">
        <f t="shared" si="8"/>
        <v>44372</v>
      </c>
      <c r="D98" s="72">
        <f ca="1">_xlfn.IFNA(CORREL(OFFSET(INDEX(Rend_j[Date],MATCH(C98,Rend_j[Date],0)),-30,2,30,1),OFFSET(INDEX(Rend_j[Date],MATCH(C98,Rend_j[Date],0)),-30,4,30,1)),D99)</f>
        <v>-3.6471942564917967E-2</v>
      </c>
      <c r="E98" s="20">
        <f t="shared" si="9"/>
        <v>44736</v>
      </c>
      <c r="F98" s="72">
        <f t="shared" ca="1" si="10"/>
        <v>0.5327705358530066</v>
      </c>
      <c r="G98" s="73">
        <f>0</f>
        <v>0</v>
      </c>
      <c r="H98" s="73" t="str">
        <f t="shared" si="11"/>
        <v/>
      </c>
    </row>
    <row r="99" spans="1:8" x14ac:dyDescent="0.25">
      <c r="A99" s="19">
        <v>44739</v>
      </c>
      <c r="B99" s="70">
        <f ca="1">CORREL(OFFSET(INDEX(Rend_j[Date],MATCH(A99,Rend_j[Date],0)),-30,2,30,1),OFFSET(INDEX(Rend_j[Date],MATCH(A99,Rend_j[Date],0)),-30,4,30,1))</f>
        <v>0.52023618359481916</v>
      </c>
      <c r="C99" s="19">
        <f t="shared" si="8"/>
        <v>44375</v>
      </c>
      <c r="D99" s="70">
        <f ca="1">_xlfn.IFNA(CORREL(OFFSET(INDEX(Rend_j[Date],MATCH(C99,Rend_j[Date],0)),-30,2,30,1),OFFSET(INDEX(Rend_j[Date],MATCH(C99,Rend_j[Date],0)),-30,4,30,1)),D100)</f>
        <v>-8.4189934541577791E-2</v>
      </c>
      <c r="E99" s="19">
        <f t="shared" si="9"/>
        <v>44739</v>
      </c>
      <c r="F99" s="70">
        <f t="shared" ca="1" si="10"/>
        <v>0.52023618359481916</v>
      </c>
      <c r="G99" s="71">
        <f>0</f>
        <v>0</v>
      </c>
      <c r="H99" s="71" t="str">
        <f t="shared" si="11"/>
        <v/>
      </c>
    </row>
    <row r="100" spans="1:8" x14ac:dyDescent="0.25">
      <c r="A100" s="19">
        <v>44740</v>
      </c>
      <c r="B100" s="72">
        <f ca="1">CORREL(OFFSET(INDEX(Rend_j[Date],MATCH(A100,Rend_j[Date],0)),-30,2,30,1),OFFSET(INDEX(Rend_j[Date],MATCH(A100,Rend_j[Date],0)),-30,4,30,1))</f>
        <v>0.51156262969578203</v>
      </c>
      <c r="C100" s="20">
        <f t="shared" si="8"/>
        <v>44376</v>
      </c>
      <c r="D100" s="72">
        <f ca="1">_xlfn.IFNA(CORREL(OFFSET(INDEX(Rend_j[Date],MATCH(C100,Rend_j[Date],0)),-30,2,30,1),OFFSET(INDEX(Rend_j[Date],MATCH(C100,Rend_j[Date],0)),-30,4,30,1)),D101)</f>
        <v>-8.5999956478842135E-2</v>
      </c>
      <c r="E100" s="20">
        <f t="shared" si="9"/>
        <v>44740</v>
      </c>
      <c r="F100" s="72">
        <f t="shared" ca="1" si="10"/>
        <v>0.51156262969578203</v>
      </c>
      <c r="G100" s="73">
        <f>0</f>
        <v>0</v>
      </c>
      <c r="H100" s="73" t="str">
        <f t="shared" si="11"/>
        <v/>
      </c>
    </row>
    <row r="101" spans="1:8" x14ac:dyDescent="0.25">
      <c r="A101" s="19">
        <v>44741</v>
      </c>
      <c r="B101" s="70">
        <f ca="1">CORREL(OFFSET(INDEX(Rend_j[Date],MATCH(A101,Rend_j[Date],0)),-30,2,30,1),OFFSET(INDEX(Rend_j[Date],MATCH(A101,Rend_j[Date],0)),-30,4,30,1))</f>
        <v>0.48935454088042724</v>
      </c>
      <c r="C101" s="19">
        <f t="shared" ref="C101:C123" si="12">DATE(2021,MONTH(A101),DAY(A101)+1)</f>
        <v>44377</v>
      </c>
      <c r="D101" s="70">
        <f ca="1">_xlfn.IFNA(CORREL(OFFSET(INDEX(Rend_j[Date],MATCH(C101,Rend_j[Date],0)),-30,2,30,1),OFFSET(INDEX(Rend_j[Date],MATCH(C101,Rend_j[Date],0)),-30,4,30,1)),D102)</f>
        <v>1.3584447506061591E-2</v>
      </c>
      <c r="E101" s="19">
        <f t="shared" ref="E101:E123" si="13">IF($M$4=2022,A101,C101)</f>
        <v>44741</v>
      </c>
      <c r="F101" s="70">
        <f t="shared" ref="F101:F123" ca="1" si="14">IF($M$4=2022,B101,D101)</f>
        <v>0.48935454088042724</v>
      </c>
      <c r="G101" s="71">
        <f>0</f>
        <v>0</v>
      </c>
      <c r="H101" s="71" t="str">
        <f t="shared" ref="H101:H123" si="15">IF(AND(E101&gt;=DATE(2022,2,21),E101&lt;=DATE(2022,2,25)),0.8,"")</f>
        <v/>
      </c>
    </row>
    <row r="102" spans="1:8" x14ac:dyDescent="0.25">
      <c r="A102" s="19">
        <v>44742</v>
      </c>
      <c r="B102" s="72">
        <f ca="1">CORREL(OFFSET(INDEX(Rend_j[Date],MATCH(A102,Rend_j[Date],0)),-30,2,30,1),OFFSET(INDEX(Rend_j[Date],MATCH(A102,Rend_j[Date],0)),-30,4,30,1))</f>
        <v>0.53220742002670962</v>
      </c>
      <c r="C102" s="20">
        <f t="shared" si="12"/>
        <v>44378</v>
      </c>
      <c r="D102" s="72">
        <f ca="1">_xlfn.IFNA(CORREL(OFFSET(INDEX(Rend_j[Date],MATCH(C102,Rend_j[Date],0)),-30,2,30,1),OFFSET(INDEX(Rend_j[Date],MATCH(C102,Rend_j[Date],0)),-30,4,30,1)),D103)</f>
        <v>-5.4521883895733286E-2</v>
      </c>
      <c r="E102" s="20">
        <f t="shared" si="13"/>
        <v>44742</v>
      </c>
      <c r="F102" s="72">
        <f t="shared" ca="1" si="14"/>
        <v>0.53220742002670962</v>
      </c>
      <c r="G102" s="73">
        <f>0</f>
        <v>0</v>
      </c>
      <c r="H102" s="73" t="str">
        <f t="shared" si="15"/>
        <v/>
      </c>
    </row>
    <row r="103" spans="1:8" x14ac:dyDescent="0.25">
      <c r="A103" s="19">
        <v>44743</v>
      </c>
      <c r="B103" s="71">
        <f ca="1">CORREL(OFFSET(INDEX(Rend_j[Date],MATCH(A103,Rend_j[Date],0)),-30,2,30,1),OFFSET(INDEX(Rend_j[Date],MATCH(A103,Rend_j[Date],0)),-30,4,30,1))</f>
        <v>0.52241037167880933</v>
      </c>
      <c r="C103" s="19">
        <f t="shared" si="12"/>
        <v>44379</v>
      </c>
      <c r="D103" s="71">
        <f ca="1">_xlfn.IFNA(CORREL(OFFSET(INDEX(Rend_j[Date],MATCH(C103,Rend_j[Date],0)),-30,2,30,1),OFFSET(INDEX(Rend_j[Date],MATCH(C103,Rend_j[Date],0)),-30,4,30,1)),D104)</f>
        <v>-5.6658686133461138E-2</v>
      </c>
      <c r="E103" s="19">
        <f t="shared" si="13"/>
        <v>44743</v>
      </c>
      <c r="F103" s="71">
        <f t="shared" ca="1" si="14"/>
        <v>0.52241037167880933</v>
      </c>
      <c r="G103" s="71">
        <f>0</f>
        <v>0</v>
      </c>
      <c r="H103" s="71" t="str">
        <f t="shared" si="15"/>
        <v/>
      </c>
    </row>
    <row r="104" spans="1:8" x14ac:dyDescent="0.25">
      <c r="A104" s="19">
        <v>44746</v>
      </c>
      <c r="B104" s="73">
        <f ca="1">CORREL(OFFSET(INDEX(Rend_j[Date],MATCH(A104,Rend_j[Date],0)),-30,2,30,1),OFFSET(INDEX(Rend_j[Date],MATCH(A104,Rend_j[Date],0)),-30,4,30,1))</f>
        <v>0.51726937324325017</v>
      </c>
      <c r="C104" s="20">
        <f t="shared" si="12"/>
        <v>44382</v>
      </c>
      <c r="D104" s="73">
        <f ca="1">_xlfn.IFNA(CORREL(OFFSET(INDEX(Rend_j[Date],MATCH(C104,Rend_j[Date],0)),-30,2,30,1),OFFSET(INDEX(Rend_j[Date],MATCH(C104,Rend_j[Date],0)),-30,4,30,1)),D105)</f>
        <v>-0.12930151650546592</v>
      </c>
      <c r="E104" s="20">
        <f t="shared" si="13"/>
        <v>44746</v>
      </c>
      <c r="F104" s="73">
        <f t="shared" ca="1" si="14"/>
        <v>0.51726937324325017</v>
      </c>
      <c r="G104" s="73">
        <f>0</f>
        <v>0</v>
      </c>
      <c r="H104" s="73" t="str">
        <f t="shared" si="15"/>
        <v/>
      </c>
    </row>
    <row r="105" spans="1:8" x14ac:dyDescent="0.25">
      <c r="A105" s="19">
        <v>44747</v>
      </c>
      <c r="B105" s="71">
        <f ca="1">CORREL(OFFSET(INDEX(Rend_j[Date],MATCH(A105,Rend_j[Date],0)),-30,2,30,1),OFFSET(INDEX(Rend_j[Date],MATCH(A105,Rend_j[Date],0)),-30,4,30,1))</f>
        <v>0.54098984931490401</v>
      </c>
      <c r="C105" s="19">
        <f t="shared" si="12"/>
        <v>44383</v>
      </c>
      <c r="D105" s="71">
        <f ca="1">_xlfn.IFNA(CORREL(OFFSET(INDEX(Rend_j[Date],MATCH(C105,Rend_j[Date],0)),-30,2,30,1),OFFSET(INDEX(Rend_j[Date],MATCH(C105,Rend_j[Date],0)),-30,4,30,1)),D106)</f>
        <v>-8.6700351544426665E-2</v>
      </c>
      <c r="E105" s="19">
        <f t="shared" si="13"/>
        <v>44747</v>
      </c>
      <c r="F105" s="71">
        <f t="shared" ca="1" si="14"/>
        <v>0.54098984931490401</v>
      </c>
      <c r="G105" s="71">
        <f>0</f>
        <v>0</v>
      </c>
      <c r="H105" s="71" t="str">
        <f t="shared" si="15"/>
        <v/>
      </c>
    </row>
    <row r="106" spans="1:8" x14ac:dyDescent="0.25">
      <c r="A106" s="19">
        <v>44748</v>
      </c>
      <c r="B106" s="73">
        <f ca="1">CORREL(OFFSET(INDEX(Rend_j[Date],MATCH(A106,Rend_j[Date],0)),-30,2,30,1),OFFSET(INDEX(Rend_j[Date],MATCH(A106,Rend_j[Date],0)),-30,4,30,1))</f>
        <v>0.53812796964351006</v>
      </c>
      <c r="C106" s="20">
        <f t="shared" si="12"/>
        <v>44384</v>
      </c>
      <c r="D106" s="73">
        <f ca="1">_xlfn.IFNA(CORREL(OFFSET(INDEX(Rend_j[Date],MATCH(C106,Rend_j[Date],0)),-30,2,30,1),OFFSET(INDEX(Rend_j[Date],MATCH(C106,Rend_j[Date],0)),-30,4,30,1)),D107)</f>
        <v>-1.0089464943388372E-2</v>
      </c>
      <c r="E106" s="20">
        <f t="shared" si="13"/>
        <v>44748</v>
      </c>
      <c r="F106" s="73">
        <f t="shared" ca="1" si="14"/>
        <v>0.53812796964351006</v>
      </c>
      <c r="G106" s="73">
        <f>0</f>
        <v>0</v>
      </c>
      <c r="H106" s="73" t="str">
        <f t="shared" si="15"/>
        <v/>
      </c>
    </row>
    <row r="107" spans="1:8" x14ac:dyDescent="0.25">
      <c r="A107" s="19">
        <v>44749</v>
      </c>
      <c r="B107" s="71">
        <f ca="1">CORREL(OFFSET(INDEX(Rend_j[Date],MATCH(A107,Rend_j[Date],0)),-30,2,30,1),OFFSET(INDEX(Rend_j[Date],MATCH(A107,Rend_j[Date],0)),-30,4,30,1))</f>
        <v>0.5168170346121792</v>
      </c>
      <c r="C107" s="19">
        <f t="shared" si="12"/>
        <v>44385</v>
      </c>
      <c r="D107" s="71">
        <f ca="1">_xlfn.IFNA(CORREL(OFFSET(INDEX(Rend_j[Date],MATCH(C107,Rend_j[Date],0)),-30,2,30,1),OFFSET(INDEX(Rend_j[Date],MATCH(C107,Rend_j[Date],0)),-30,4,30,1)),D108)</f>
        <v>-3.6767683615446571E-2</v>
      </c>
      <c r="E107" s="19">
        <f t="shared" si="13"/>
        <v>44749</v>
      </c>
      <c r="F107" s="71">
        <f t="shared" ca="1" si="14"/>
        <v>0.5168170346121792</v>
      </c>
      <c r="G107" s="71">
        <f>0</f>
        <v>0</v>
      </c>
      <c r="H107" s="71" t="str">
        <f t="shared" si="15"/>
        <v/>
      </c>
    </row>
    <row r="108" spans="1:8" x14ac:dyDescent="0.25">
      <c r="A108" s="19">
        <v>44750</v>
      </c>
      <c r="B108" s="73">
        <f ca="1">CORREL(OFFSET(INDEX(Rend_j[Date],MATCH(A108,Rend_j[Date],0)),-30,2,30,1),OFFSET(INDEX(Rend_j[Date],MATCH(A108,Rend_j[Date],0)),-30,4,30,1))</f>
        <v>0.55310970569240514</v>
      </c>
      <c r="C108" s="20">
        <f t="shared" si="12"/>
        <v>44386</v>
      </c>
      <c r="D108" s="73">
        <f ca="1">_xlfn.IFNA(CORREL(OFFSET(INDEX(Rend_j[Date],MATCH(C108,Rend_j[Date],0)),-30,2,30,1),OFFSET(INDEX(Rend_j[Date],MATCH(C108,Rend_j[Date],0)),-30,4,30,1)),D109)</f>
        <v>0.33196240145880085</v>
      </c>
      <c r="E108" s="20">
        <f t="shared" si="13"/>
        <v>44750</v>
      </c>
      <c r="F108" s="73">
        <f t="shared" ca="1" si="14"/>
        <v>0.55310970569240514</v>
      </c>
      <c r="G108" s="73">
        <f>0</f>
        <v>0</v>
      </c>
      <c r="H108" s="73" t="str">
        <f t="shared" si="15"/>
        <v/>
      </c>
    </row>
    <row r="109" spans="1:8" x14ac:dyDescent="0.25">
      <c r="A109" s="19">
        <v>44753</v>
      </c>
      <c r="B109" s="71">
        <f ca="1">CORREL(OFFSET(INDEX(Rend_j[Date],MATCH(A109,Rend_j[Date],0)),-30,2,30,1),OFFSET(INDEX(Rend_j[Date],MATCH(A109,Rend_j[Date],0)),-30,4,30,1))</f>
        <v>0.51021882769620808</v>
      </c>
      <c r="C109" s="19">
        <f t="shared" si="12"/>
        <v>44389</v>
      </c>
      <c r="D109" s="71">
        <f ca="1">_xlfn.IFNA(CORREL(OFFSET(INDEX(Rend_j[Date],MATCH(C109,Rend_j[Date],0)),-30,2,30,1),OFFSET(INDEX(Rend_j[Date],MATCH(C109,Rend_j[Date],0)),-30,4,30,1)),D110)</f>
        <v>0.31228381007725059</v>
      </c>
      <c r="E109" s="19">
        <f t="shared" si="13"/>
        <v>44753</v>
      </c>
      <c r="F109" s="71">
        <f t="shared" ca="1" si="14"/>
        <v>0.51021882769620808</v>
      </c>
      <c r="G109" s="71">
        <f>0</f>
        <v>0</v>
      </c>
      <c r="H109" s="71" t="str">
        <f t="shared" si="15"/>
        <v/>
      </c>
    </row>
    <row r="110" spans="1:8" x14ac:dyDescent="0.25">
      <c r="A110" s="19">
        <v>44754</v>
      </c>
      <c r="B110" s="73">
        <f ca="1">CORREL(OFFSET(INDEX(Rend_j[Date],MATCH(A110,Rend_j[Date],0)),-30,2,30,1),OFFSET(INDEX(Rend_j[Date],MATCH(A110,Rend_j[Date],0)),-30,4,30,1))</f>
        <v>0.5267031030512741</v>
      </c>
      <c r="C110" s="20">
        <f t="shared" si="12"/>
        <v>44390</v>
      </c>
      <c r="D110" s="73">
        <f ca="1">_xlfn.IFNA(CORREL(OFFSET(INDEX(Rend_j[Date],MATCH(C110,Rend_j[Date],0)),-30,2,30,1),OFFSET(INDEX(Rend_j[Date],MATCH(C110,Rend_j[Date],0)),-30,4,30,1)),D111)</f>
        <v>0.39352679436216215</v>
      </c>
      <c r="E110" s="20">
        <f t="shared" si="13"/>
        <v>44754</v>
      </c>
      <c r="F110" s="73">
        <f t="shared" ca="1" si="14"/>
        <v>0.5267031030512741</v>
      </c>
      <c r="G110" s="73">
        <f>0</f>
        <v>0</v>
      </c>
      <c r="H110" s="73" t="str">
        <f t="shared" si="15"/>
        <v/>
      </c>
    </row>
    <row r="111" spans="1:8" x14ac:dyDescent="0.25">
      <c r="A111" s="19">
        <v>44755</v>
      </c>
      <c r="B111" s="71">
        <f ca="1">CORREL(OFFSET(INDEX(Rend_j[Date],MATCH(A111,Rend_j[Date],0)),-30,2,30,1),OFFSET(INDEX(Rend_j[Date],MATCH(A111,Rend_j[Date],0)),-30,4,30,1))</f>
        <v>0.55646926416090792</v>
      </c>
      <c r="C111" s="19">
        <f t="shared" si="12"/>
        <v>44391</v>
      </c>
      <c r="D111" s="71">
        <f ca="1">_xlfn.IFNA(CORREL(OFFSET(INDEX(Rend_j[Date],MATCH(C111,Rend_j[Date],0)),-30,2,30,1),OFFSET(INDEX(Rend_j[Date],MATCH(C111,Rend_j[Date],0)),-30,4,30,1)),D112)</f>
        <v>0.37638816835851002</v>
      </c>
      <c r="E111" s="19">
        <f t="shared" si="13"/>
        <v>44755</v>
      </c>
      <c r="F111" s="71">
        <f t="shared" ca="1" si="14"/>
        <v>0.55646926416090792</v>
      </c>
      <c r="G111" s="71">
        <f>0</f>
        <v>0</v>
      </c>
      <c r="H111" s="71" t="str">
        <f t="shared" si="15"/>
        <v/>
      </c>
    </row>
    <row r="112" spans="1:8" x14ac:dyDescent="0.25">
      <c r="A112" s="19">
        <v>44756</v>
      </c>
      <c r="B112" s="73">
        <f ca="1">CORREL(OFFSET(INDEX(Rend_j[Date],MATCH(A112,Rend_j[Date],0)),-30,2,30,1),OFFSET(INDEX(Rend_j[Date],MATCH(A112,Rend_j[Date],0)),-30,4,30,1))</f>
        <v>0.55403013956562419</v>
      </c>
      <c r="C112" s="20">
        <f t="shared" si="12"/>
        <v>44392</v>
      </c>
      <c r="D112" s="73">
        <f ca="1">_xlfn.IFNA(CORREL(OFFSET(INDEX(Rend_j[Date],MATCH(C112,Rend_j[Date],0)),-30,2,30,1),OFFSET(INDEX(Rend_j[Date],MATCH(C112,Rend_j[Date],0)),-30,4,30,1)),D113)</f>
        <v>0.37455212747322908</v>
      </c>
      <c r="E112" s="20">
        <f t="shared" si="13"/>
        <v>44756</v>
      </c>
      <c r="F112" s="73">
        <f t="shared" ca="1" si="14"/>
        <v>0.55403013956562419</v>
      </c>
      <c r="G112" s="73">
        <f>0</f>
        <v>0</v>
      </c>
      <c r="H112" s="73" t="str">
        <f t="shared" si="15"/>
        <v/>
      </c>
    </row>
    <row r="113" spans="1:8" x14ac:dyDescent="0.25">
      <c r="A113" s="19">
        <v>44757</v>
      </c>
      <c r="B113" s="71">
        <f ca="1">CORREL(OFFSET(INDEX(Rend_j[Date],MATCH(A113,Rend_j[Date],0)),-30,2,30,1),OFFSET(INDEX(Rend_j[Date],MATCH(A113,Rend_j[Date],0)),-30,4,30,1))</f>
        <v>0.59557019544112588</v>
      </c>
      <c r="C113" s="19">
        <f t="shared" si="12"/>
        <v>44393</v>
      </c>
      <c r="D113" s="71">
        <f ca="1">_xlfn.IFNA(CORREL(OFFSET(INDEX(Rend_j[Date],MATCH(C113,Rend_j[Date],0)),-30,2,30,1),OFFSET(INDEX(Rend_j[Date],MATCH(C113,Rend_j[Date],0)),-30,4,30,1)),D114)</f>
        <v>0.30928593377764535</v>
      </c>
      <c r="E113" s="19">
        <f t="shared" si="13"/>
        <v>44757</v>
      </c>
      <c r="F113" s="71">
        <f t="shared" ca="1" si="14"/>
        <v>0.59557019544112588</v>
      </c>
      <c r="G113" s="71">
        <f>0</f>
        <v>0</v>
      </c>
      <c r="H113" s="71" t="str">
        <f t="shared" si="15"/>
        <v/>
      </c>
    </row>
    <row r="114" spans="1:8" x14ac:dyDescent="0.25">
      <c r="A114" s="19">
        <v>44760</v>
      </c>
      <c r="B114" s="73">
        <f ca="1">CORREL(OFFSET(INDEX(Rend_j[Date],MATCH(A114,Rend_j[Date],0)),-30,2,30,1),OFFSET(INDEX(Rend_j[Date],MATCH(A114,Rend_j[Date],0)),-30,4,30,1))</f>
        <v>0.55914884398582798</v>
      </c>
      <c r="C114" s="20">
        <f t="shared" si="12"/>
        <v>44396</v>
      </c>
      <c r="D114" s="73">
        <f ca="1">_xlfn.IFNA(CORREL(OFFSET(INDEX(Rend_j[Date],MATCH(C114,Rend_j[Date],0)),-30,2,30,1),OFFSET(INDEX(Rend_j[Date],MATCH(C114,Rend_j[Date],0)),-30,4,30,1)),D115)</f>
        <v>0.35172128776770545</v>
      </c>
      <c r="E114" s="20">
        <f t="shared" si="13"/>
        <v>44760</v>
      </c>
      <c r="F114" s="73">
        <f t="shared" ca="1" si="14"/>
        <v>0.55914884398582798</v>
      </c>
      <c r="G114" s="73">
        <f>0</f>
        <v>0</v>
      </c>
      <c r="H114" s="73" t="str">
        <f t="shared" si="15"/>
        <v/>
      </c>
    </row>
    <row r="115" spans="1:8" x14ac:dyDescent="0.25">
      <c r="A115" s="19">
        <v>44761</v>
      </c>
      <c r="B115" s="71">
        <f ca="1">CORREL(OFFSET(INDEX(Rend_j[Date],MATCH(A115,Rend_j[Date],0)),-30,2,30,1),OFFSET(INDEX(Rend_j[Date],MATCH(A115,Rend_j[Date],0)),-30,4,30,1))</f>
        <v>0.52318439050369359</v>
      </c>
      <c r="C115" s="19">
        <f t="shared" si="12"/>
        <v>44397</v>
      </c>
      <c r="D115" s="71">
        <f ca="1">_xlfn.IFNA(CORREL(OFFSET(INDEX(Rend_j[Date],MATCH(C115,Rend_j[Date],0)),-30,2,30,1),OFFSET(INDEX(Rend_j[Date],MATCH(C115,Rend_j[Date],0)),-30,4,30,1)),D116)</f>
        <v>0.4773958858792503</v>
      </c>
      <c r="E115" s="19">
        <f t="shared" si="13"/>
        <v>44761</v>
      </c>
      <c r="F115" s="71">
        <f t="shared" ca="1" si="14"/>
        <v>0.52318439050369359</v>
      </c>
      <c r="G115" s="71">
        <f>0</f>
        <v>0</v>
      </c>
      <c r="H115" s="71" t="str">
        <f t="shared" si="15"/>
        <v/>
      </c>
    </row>
    <row r="116" spans="1:8" x14ac:dyDescent="0.25">
      <c r="A116" s="19">
        <v>44762</v>
      </c>
      <c r="B116" s="73">
        <f ca="1">CORREL(OFFSET(INDEX(Rend_j[Date],MATCH(A116,Rend_j[Date],0)),-30,2,30,1),OFFSET(INDEX(Rend_j[Date],MATCH(A116,Rend_j[Date],0)),-30,4,30,1))</f>
        <v>0.50305299680773219</v>
      </c>
      <c r="C116" s="20">
        <f t="shared" si="12"/>
        <v>44398</v>
      </c>
      <c r="D116" s="73">
        <f ca="1">_xlfn.IFNA(CORREL(OFFSET(INDEX(Rend_j[Date],MATCH(C116,Rend_j[Date],0)),-30,2,30,1),OFFSET(INDEX(Rend_j[Date],MATCH(C116,Rend_j[Date],0)),-30,4,30,1)),D117)</f>
        <v>0.43950718641032543</v>
      </c>
      <c r="E116" s="20">
        <f t="shared" si="13"/>
        <v>44762</v>
      </c>
      <c r="F116" s="73">
        <f t="shared" ca="1" si="14"/>
        <v>0.50305299680773219</v>
      </c>
      <c r="G116" s="73">
        <f>0</f>
        <v>0</v>
      </c>
      <c r="H116" s="73" t="str">
        <f t="shared" si="15"/>
        <v/>
      </c>
    </row>
    <row r="117" spans="1:8" x14ac:dyDescent="0.25">
      <c r="A117" s="19">
        <v>44763</v>
      </c>
      <c r="B117" s="71">
        <f ca="1">CORREL(OFFSET(INDEX(Rend_j[Date],MATCH(A117,Rend_j[Date],0)),-30,2,30,1),OFFSET(INDEX(Rend_j[Date],MATCH(A117,Rend_j[Date],0)),-30,4,30,1))</f>
        <v>0.54893375499509212</v>
      </c>
      <c r="C117" s="19">
        <f t="shared" si="12"/>
        <v>44399</v>
      </c>
      <c r="D117" s="71">
        <f ca="1">_xlfn.IFNA(CORREL(OFFSET(INDEX(Rend_j[Date],MATCH(C117,Rend_j[Date],0)),-30,2,30,1),OFFSET(INDEX(Rend_j[Date],MATCH(C117,Rend_j[Date],0)),-30,4,30,1)),D118)</f>
        <v>0.42431900119630483</v>
      </c>
      <c r="E117" s="19">
        <f t="shared" si="13"/>
        <v>44763</v>
      </c>
      <c r="F117" s="71">
        <f t="shared" ca="1" si="14"/>
        <v>0.54893375499509212</v>
      </c>
      <c r="G117" s="71">
        <f>0</f>
        <v>0</v>
      </c>
      <c r="H117" s="71" t="str">
        <f t="shared" si="15"/>
        <v/>
      </c>
    </row>
    <row r="118" spans="1:8" x14ac:dyDescent="0.25">
      <c r="A118" s="19">
        <v>44764</v>
      </c>
      <c r="B118" s="73">
        <f ca="1">CORREL(OFFSET(INDEX(Rend_j[Date],MATCH(A118,Rend_j[Date],0)),-30,2,30,1),OFFSET(INDEX(Rend_j[Date],MATCH(A118,Rend_j[Date],0)),-30,4,30,1))</f>
        <v>0.57567063010451325</v>
      </c>
      <c r="C118" s="20">
        <f t="shared" si="12"/>
        <v>44400</v>
      </c>
      <c r="D118" s="73">
        <f ca="1">_xlfn.IFNA(CORREL(OFFSET(INDEX(Rend_j[Date],MATCH(C118,Rend_j[Date],0)),-30,2,30,1),OFFSET(INDEX(Rend_j[Date],MATCH(C118,Rend_j[Date],0)),-30,4,30,1)),D119)</f>
        <v>0.41365280453706432</v>
      </c>
      <c r="E118" s="20">
        <f t="shared" si="13"/>
        <v>44764</v>
      </c>
      <c r="F118" s="73">
        <f t="shared" ca="1" si="14"/>
        <v>0.57567063010451325</v>
      </c>
      <c r="G118" s="73">
        <f>0</f>
        <v>0</v>
      </c>
      <c r="H118" s="73" t="str">
        <f t="shared" si="15"/>
        <v/>
      </c>
    </row>
    <row r="119" spans="1:8" x14ac:dyDescent="0.25">
      <c r="A119" s="19">
        <v>44767</v>
      </c>
      <c r="B119" s="71">
        <f ca="1">CORREL(OFFSET(INDEX(Rend_j[Date],MATCH(A119,Rend_j[Date],0)),-30,2,30,1),OFFSET(INDEX(Rend_j[Date],MATCH(A119,Rend_j[Date],0)),-30,4,30,1))</f>
        <v>0.60035480701529376</v>
      </c>
      <c r="C119" s="19">
        <f t="shared" si="12"/>
        <v>44403</v>
      </c>
      <c r="D119" s="71">
        <f ca="1">_xlfn.IFNA(CORREL(OFFSET(INDEX(Rend_j[Date],MATCH(C119,Rend_j[Date],0)),-30,2,30,1),OFFSET(INDEX(Rend_j[Date],MATCH(C119,Rend_j[Date],0)),-30,4,30,1)),D120)</f>
        <v>0.32684485910736033</v>
      </c>
      <c r="E119" s="19">
        <f t="shared" si="13"/>
        <v>44767</v>
      </c>
      <c r="F119" s="71">
        <f t="shared" ca="1" si="14"/>
        <v>0.60035480701529376</v>
      </c>
      <c r="G119" s="71">
        <f>0</f>
        <v>0</v>
      </c>
      <c r="H119" s="71" t="str">
        <f t="shared" si="15"/>
        <v/>
      </c>
    </row>
    <row r="120" spans="1:8" x14ac:dyDescent="0.25">
      <c r="A120" s="19">
        <v>44768</v>
      </c>
      <c r="B120" s="73">
        <f ca="1">CORREL(OFFSET(INDEX(Rend_j[Date],MATCH(A120,Rend_j[Date],0)),-30,2,30,1),OFFSET(INDEX(Rend_j[Date],MATCH(A120,Rend_j[Date],0)),-30,4,30,1))</f>
        <v>0.52344859768011764</v>
      </c>
      <c r="C120" s="20">
        <f t="shared" si="12"/>
        <v>44404</v>
      </c>
      <c r="D120" s="73">
        <f ca="1">_xlfn.IFNA(CORREL(OFFSET(INDEX(Rend_j[Date],MATCH(C120,Rend_j[Date],0)),-30,2,30,1),OFFSET(INDEX(Rend_j[Date],MATCH(C120,Rend_j[Date],0)),-30,4,30,1)),D121)</f>
        <v>0.31963859816344442</v>
      </c>
      <c r="E120" s="20">
        <f t="shared" si="13"/>
        <v>44768</v>
      </c>
      <c r="F120" s="73">
        <f t="shared" ca="1" si="14"/>
        <v>0.52344859768011764</v>
      </c>
      <c r="G120" s="73">
        <f>0</f>
        <v>0</v>
      </c>
      <c r="H120" s="73" t="str">
        <f t="shared" si="15"/>
        <v/>
      </c>
    </row>
    <row r="121" spans="1:8" x14ac:dyDescent="0.25">
      <c r="A121" s="19">
        <v>44769</v>
      </c>
      <c r="B121" s="71">
        <f ca="1">CORREL(OFFSET(INDEX(Rend_j[Date],MATCH(A121,Rend_j[Date],0)),-30,2,30,1),OFFSET(INDEX(Rend_j[Date],MATCH(A121,Rend_j[Date],0)),-30,4,30,1))</f>
        <v>0.51197744587467009</v>
      </c>
      <c r="C121" s="19">
        <f t="shared" si="12"/>
        <v>44405</v>
      </c>
      <c r="D121" s="71">
        <f ca="1">_xlfn.IFNA(CORREL(OFFSET(INDEX(Rend_j[Date],MATCH(C121,Rend_j[Date],0)),-30,2,30,1),OFFSET(INDEX(Rend_j[Date],MATCH(C121,Rend_j[Date],0)),-30,4,30,1)),D122)</f>
        <v>0.35817011984491215</v>
      </c>
      <c r="E121" s="19">
        <f t="shared" si="13"/>
        <v>44769</v>
      </c>
      <c r="F121" s="71">
        <f t="shared" ca="1" si="14"/>
        <v>0.51197744587467009</v>
      </c>
      <c r="G121" s="71">
        <f>0</f>
        <v>0</v>
      </c>
      <c r="H121" s="71" t="str">
        <f t="shared" si="15"/>
        <v/>
      </c>
    </row>
    <row r="122" spans="1:8" x14ac:dyDescent="0.25">
      <c r="A122" s="19">
        <v>44770</v>
      </c>
      <c r="B122" s="73">
        <f ca="1">CORREL(OFFSET(INDEX(Rend_j[Date],MATCH(A122,Rend_j[Date],0)),-30,2,30,1),OFFSET(INDEX(Rend_j[Date],MATCH(A122,Rend_j[Date],0)),-30,4,30,1))</f>
        <v>0.49825095606097086</v>
      </c>
      <c r="C122" s="20">
        <f t="shared" si="12"/>
        <v>44406</v>
      </c>
      <c r="D122" s="73">
        <f ca="1">_xlfn.IFNA(CORREL(OFFSET(INDEX(Rend_j[Date],MATCH(C122,Rend_j[Date],0)),-30,2,30,1),OFFSET(INDEX(Rend_j[Date],MATCH(C122,Rend_j[Date],0)),-30,4,30,1)),D123)</f>
        <v>0.34573119117339568</v>
      </c>
      <c r="E122" s="20">
        <f t="shared" si="13"/>
        <v>44770</v>
      </c>
      <c r="F122" s="73">
        <f t="shared" ca="1" si="14"/>
        <v>0.49825095606097086</v>
      </c>
      <c r="G122" s="73">
        <f>0</f>
        <v>0</v>
      </c>
      <c r="H122" s="73" t="str">
        <f t="shared" si="15"/>
        <v/>
      </c>
    </row>
    <row r="123" spans="1:8" x14ac:dyDescent="0.25">
      <c r="A123" s="19">
        <v>44771</v>
      </c>
      <c r="B123" s="71">
        <f ca="1">CORREL(OFFSET(INDEX(Rend_j[Date],MATCH(A123,Rend_j[Date],0)),-30,2,30,1),OFFSET(INDEX(Rend_j[Date],MATCH(A123,Rend_j[Date],0)),-30,4,30,1))</f>
        <v>0.39942370942518984</v>
      </c>
      <c r="C123" s="19">
        <f t="shared" si="12"/>
        <v>44407</v>
      </c>
      <c r="D123" s="71">
        <f ca="1">_xlfn.IFNA(CORREL(OFFSET(INDEX(Rend_j[Date],MATCH(C123,Rend_j[Date],0)),-30,2,30,1),OFFSET(INDEX(Rend_j[Date],MATCH(C123,Rend_j[Date],0)),-30,4,30,1)),D124)</f>
        <v>0.28568088648501661</v>
      </c>
      <c r="E123" s="19">
        <f t="shared" si="13"/>
        <v>44771</v>
      </c>
      <c r="F123" s="71">
        <f t="shared" ca="1" si="14"/>
        <v>0.39942370942518984</v>
      </c>
      <c r="G123" s="71">
        <f>0</f>
        <v>0</v>
      </c>
      <c r="H123" s="71" t="str">
        <f t="shared" si="15"/>
        <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D8BB8B-280A-4254-9D2B-918C541780D6}">
  <sheetPr codeName="Sheet1">
    <tabColor theme="3" tint="-0.499984740745262"/>
  </sheetPr>
  <dimension ref="A2:U68"/>
  <sheetViews>
    <sheetView workbookViewId="0">
      <selection activeCell="B18" sqref="B18"/>
    </sheetView>
  </sheetViews>
  <sheetFormatPr defaultRowHeight="15" x14ac:dyDescent="0.25"/>
  <cols>
    <col min="1" max="1" width="10.7109375" customWidth="1"/>
    <col min="2" max="2" width="10.140625" bestFit="1" customWidth="1"/>
    <col min="4" max="4" width="10.5703125" customWidth="1"/>
    <col min="5" max="5" width="9.140625" customWidth="1"/>
    <col min="8" max="8" width="32.140625" bestFit="1" customWidth="1"/>
    <col min="9" max="9" width="21.5703125" bestFit="1" customWidth="1"/>
    <col min="11" max="11" width="11.7109375" customWidth="1"/>
    <col min="12" max="12" width="13.140625" bestFit="1" customWidth="1"/>
    <col min="13" max="14" width="11.5703125" bestFit="1" customWidth="1"/>
    <col min="15" max="15" width="13.140625" bestFit="1" customWidth="1"/>
    <col min="16" max="16" width="16.28515625" bestFit="1" customWidth="1"/>
    <col min="17" max="18" width="11.28515625" bestFit="1" customWidth="1"/>
    <col min="19" max="22" width="16.28515625" bestFit="1" customWidth="1"/>
    <col min="23" max="23" width="11.28515625" bestFit="1" customWidth="1"/>
  </cols>
  <sheetData>
    <row r="2" spans="1:21" x14ac:dyDescent="0.25">
      <c r="A2" t="s">
        <v>111</v>
      </c>
      <c r="H2" t="s">
        <v>137</v>
      </c>
      <c r="I2" s="32">
        <f>MAX(prices[Date])</f>
        <v>44771</v>
      </c>
      <c r="K2" t="s">
        <v>139</v>
      </c>
    </row>
    <row r="3" spans="1:21" x14ac:dyDescent="0.25">
      <c r="A3" t="s">
        <v>110</v>
      </c>
      <c r="B3">
        <v>2022</v>
      </c>
      <c r="C3">
        <v>2021</v>
      </c>
      <c r="E3" t="s">
        <v>112</v>
      </c>
      <c r="H3" t="s">
        <v>113</v>
      </c>
      <c r="I3" s="1">
        <f>DATE(2021, MONTH(MAX(prices[Date])),DAY(MAX(prices[Date])))</f>
        <v>44406</v>
      </c>
      <c r="L3">
        <v>2022</v>
      </c>
      <c r="M3">
        <v>2021</v>
      </c>
    </row>
    <row r="4" spans="1:21" x14ac:dyDescent="0.25">
      <c r="A4" t="s">
        <v>15</v>
      </c>
      <c r="B4" s="12" cm="1">
        <f t="array" aca="1" ref="B4" ca="1">PRODUCT(1+IF(Rend_j[[Year]:[Year]]=B$3,INDIRECT("Rend_j["&amp;$A4&amp;"]")))-1</f>
        <v>-0.1100571883870044</v>
      </c>
      <c r="C4" s="12" cm="1">
        <f t="array" aca="1" ref="C4" ca="1">PRODUCT(1+IF(Rend_j[[Year]:[Year]]=C$3,INDIRECT("Rend_j["&amp;$A4&amp;"]")))-1</f>
        <v>-7.5817885402380658E-2</v>
      </c>
      <c r="E4" s="12" cm="1">
        <f t="array" aca="1" ref="E4" ca="1">PRODUCT(1+IF(Rend_j[Date]&lt;=$I$3,INDIRECT("Rend_j["&amp;$A4&amp;"]")))-1</f>
        <v>-5.5369253998960311E-2</v>
      </c>
      <c r="K4" t="s">
        <v>140</v>
      </c>
      <c r="L4" s="23">
        <f ca="1">B9</f>
        <v>-5.7751580541889003E-2</v>
      </c>
      <c r="M4" s="31">
        <f ca="1">E9</f>
        <v>0.16234781957338873</v>
      </c>
      <c r="N4">
        <f ca="1">IF(L4&gt;M4,1,0)</f>
        <v>0</v>
      </c>
    </row>
    <row r="5" spans="1:21" x14ac:dyDescent="0.25">
      <c r="A5" t="s">
        <v>1</v>
      </c>
      <c r="B5" s="12" cm="1">
        <f t="array" aca="1" ref="B5" ca="1">PRODUCT(1+IF(Rend_j[[Year]:[Year]]=B$3,INDIRECT("Rend_j["&amp;$A5&amp;"]")))-1</f>
        <v>-5.2217872551587163E-2</v>
      </c>
      <c r="C5" s="12" cm="1">
        <f t="array" aca="1" ref="C5" ca="1">PRODUCT(1+IF(Rend_j[[Year]:[Year]]=C$3,INDIRECT("Rend_j["&amp;$A5&amp;"]")))-1</f>
        <v>0.29259112431570244</v>
      </c>
      <c r="E5" s="12" cm="1">
        <f t="array" aca="1" ref="E5" ca="1">PRODUCT(1+IF(Rend_j[Date]&lt;=$I$3,INDIRECT("Rend_j["&amp;$A5&amp;"]")))-1</f>
        <v>0.18253816241352783</v>
      </c>
      <c r="K5" t="s">
        <v>141</v>
      </c>
      <c r="L5" s="31">
        <f ca="1">B23</f>
        <v>2.3633146793033348E-2</v>
      </c>
      <c r="M5" s="31">
        <f ca="1">C23</f>
        <v>1.5248265417055911E-2</v>
      </c>
      <c r="N5">
        <f ca="1">IF(L5&gt;M5,0,1)</f>
        <v>0</v>
      </c>
    </row>
    <row r="6" spans="1:21" x14ac:dyDescent="0.25">
      <c r="A6" t="s">
        <v>2</v>
      </c>
      <c r="B6" s="12" cm="1">
        <f t="array" aca="1" ref="B6" ca="1">PRODUCT(1+IF(Rend_j[[Year]:[Year]]=B$3,INDIRECT("Rend_j["&amp;$A6&amp;"]")))-1</f>
        <v>-9.1397130013344485E-2</v>
      </c>
      <c r="C6" s="12" cm="1">
        <f t="array" aca="1" ref="C6" ca="1">PRODUCT(1+IF(Rend_j[[Year]:[Year]]=C$3,INDIRECT("Rend_j["&amp;$A6&amp;"]")))-1</f>
        <v>0.15362252898592055</v>
      </c>
      <c r="E6" s="12" cm="1">
        <f t="array" aca="1" ref="E6" ca="1">PRODUCT(1+IF(Rend_j[Date]&lt;=$I$3,INDIRECT("Rend_j["&amp;$A6&amp;"]")))-1</f>
        <v>0.11286349196031864</v>
      </c>
      <c r="K6" t="s">
        <v>142</v>
      </c>
      <c r="L6" s="31">
        <f>B32</f>
        <v>3.1682405993555936E-2</v>
      </c>
      <c r="M6" s="31">
        <f>C32</f>
        <v>2.5393259393177783E-2</v>
      </c>
      <c r="N6">
        <f>IF(L6&gt;M6,0,1)</f>
        <v>0</v>
      </c>
    </row>
    <row r="7" spans="1:21" x14ac:dyDescent="0.25">
      <c r="A7" t="s">
        <v>3</v>
      </c>
      <c r="B7" s="12" cm="1">
        <f t="array" aca="1" ref="B7" ca="1">PRODUCT(1+IF(Rend_j[[Year]:[Year]]=B$3,INDIRECT("Rend_j["&amp;$A7&amp;"]")))-1</f>
        <v>-0.10036991252767102</v>
      </c>
      <c r="C7" s="12" cm="1">
        <f t="array" aca="1" ref="C7" ca="1">PRODUCT(1+IF(Rend_j[[Year]:[Year]]=C$3,INDIRECT("Rend_j["&amp;$A7&amp;"]")))-1</f>
        <v>2.6168742689704816E-2</v>
      </c>
      <c r="E7" s="12" cm="1">
        <f t="array" aca="1" ref="E7" ca="1">PRODUCT(1+IF(Rend_j[Date]&lt;=$I$3,INDIRECT("Rend_j["&amp;$A7&amp;"]")))-1</f>
        <v>3.2451073784229623E-2</v>
      </c>
    </row>
    <row r="8" spans="1:21" x14ac:dyDescent="0.25">
      <c r="A8" t="s">
        <v>4</v>
      </c>
      <c r="B8" s="12" cm="1">
        <f t="array" aca="1" ref="B8" ca="1">PRODUCT(1+IF(Rend_j[[Year]:[Year]]=B$3,INDIRECT("Rend_j["&amp;$A8&amp;"]")))-1</f>
        <v>-7.0926824903246755E-2</v>
      </c>
      <c r="C8" s="12" cm="1">
        <f t="array" aca="1" ref="C8" ca="1">PRODUCT(1+IF(Rend_j[[Year]:[Year]]=C$3,INDIRECT("Rend_j["&amp;$A8&amp;"]")))-1</f>
        <v>7.4950251597660333E-2</v>
      </c>
      <c r="E8" s="12" cm="1">
        <f t="array" aca="1" ref="E8" ca="1">PRODUCT(1+IF(Rend_j[Date]&lt;=$I$3,INDIRECT("Rend_j["&amp;$A8&amp;"]")))-1</f>
        <v>3.5488195650998033E-2</v>
      </c>
      <c r="K8" s="34" t="s">
        <v>153</v>
      </c>
      <c r="L8" s="34"/>
      <c r="M8" s="34"/>
      <c r="N8" s="34"/>
      <c r="O8" s="34"/>
      <c r="P8" s="34"/>
      <c r="Q8" s="34"/>
      <c r="R8" s="34"/>
      <c r="S8" s="34"/>
      <c r="T8" s="34"/>
      <c r="U8" s="34"/>
    </row>
    <row r="9" spans="1:21" x14ac:dyDescent="0.25">
      <c r="A9" t="s">
        <v>5</v>
      </c>
      <c r="B9" s="35" cm="1">
        <f t="array" aca="1" ref="B9" ca="1">PRODUCT(1+IF(Rend_j[[Year]:[Year]]=B$3,INDIRECT("Rend_j["&amp;$A9&amp;"]")))-1</f>
        <v>-5.7751580541889003E-2</v>
      </c>
      <c r="C9" s="12" cm="1">
        <f t="array" aca="1" ref="C9" ca="1">PRODUCT(1+IF(Rend_j[[Year]:[Year]]=C$3,INDIRECT("Rend_j["&amp;$A9&amp;"]")))-1</f>
        <v>0.25660164528907159</v>
      </c>
      <c r="E9" s="12" cm="1">
        <f t="array" aca="1" ref="E9" ca="1">PRODUCT(1+IF(Rend_j[Date]&lt;=$I$3,INDIRECT("Rend_j["&amp;$A9&amp;"]")))-1</f>
        <v>0.16234781957338873</v>
      </c>
      <c r="K9" t="s">
        <v>147</v>
      </c>
      <c r="L9" t="s">
        <v>140</v>
      </c>
      <c r="M9" s="12" t="s">
        <v>148</v>
      </c>
      <c r="N9" s="12"/>
      <c r="O9" s="44" t="s">
        <v>149</v>
      </c>
      <c r="P9" s="44" t="s">
        <v>144</v>
      </c>
    </row>
    <row r="10" spans="1:21" x14ac:dyDescent="0.25">
      <c r="A10" t="s">
        <v>6</v>
      </c>
      <c r="B10" s="12" cm="1">
        <f t="array" aca="1" ref="B10" ca="1">PRODUCT(1+IF(Rend_j[[Year]:[Year]]=B$3,INDIRECT("Rend_j["&amp;$A10&amp;"]")))-1</f>
        <v>3.1292340798599216E-2</v>
      </c>
      <c r="C10" s="12" cm="1">
        <f t="array" aca="1" ref="C10" ca="1">PRODUCT(1+IF(Rend_j[[Year]:[Year]]=C$3,INDIRECT("Rend_j["&amp;$A10&amp;"]")))-1</f>
        <v>0.22571191325159856</v>
      </c>
      <c r="E10" s="12" cm="1">
        <f t="array" aca="1" ref="E10" ca="1">PRODUCT(1+IF(Rend_j[Date]&lt;=$I$3,INDIRECT("Rend_j["&amp;$A10&amp;"]")))-1</f>
        <v>0.15846480730718415</v>
      </c>
      <c r="K10" t="str">
        <f>A4</f>
        <v>Chine</v>
      </c>
      <c r="L10" s="31">
        <f ca="1">B4</f>
        <v>-0.1100571883870044</v>
      </c>
      <c r="M10" s="10">
        <f>$B$3</f>
        <v>2022</v>
      </c>
      <c r="N10" s="12"/>
      <c r="O10" s="44" t="s">
        <v>146</v>
      </c>
      <c r="P10" s="9">
        <v>2022</v>
      </c>
      <c r="Q10" s="9" t="s">
        <v>145</v>
      </c>
    </row>
    <row r="11" spans="1:21" x14ac:dyDescent="0.25">
      <c r="A11" t="s">
        <v>7</v>
      </c>
      <c r="B11" s="12" cm="1">
        <f t="array" aca="1" ref="B11" ca="1">PRODUCT(1+IF(Rend_j[[Year]:[Year]]=B$3,INDIRECT("Rend_j["&amp;$A11&amp;"]")))-1</f>
        <v>-0.1442912231632214</v>
      </c>
      <c r="C11" s="12" cm="1">
        <f t="array" aca="1" ref="C11" ca="1">PRODUCT(1+IF(Rend_j[[Year]:[Year]]=C$3,INDIRECT("Rend_j["&amp;$A11&amp;"]")))-1</f>
        <v>0.24416195380498973</v>
      </c>
      <c r="E11" s="12" cm="1">
        <f t="array" aca="1" ref="E11" ca="1">PRODUCT(1+IF(Rend_j[Date]&lt;=$I$3,INDIRECT("Rend_j["&amp;$A11&amp;"]")))-1</f>
        <v>0.17204051692249855</v>
      </c>
      <c r="K11" t="str">
        <f t="shared" ref="K11:K20" si="0">A5</f>
        <v>DM</v>
      </c>
      <c r="L11" s="31">
        <f t="shared" ref="L11:L20" ca="1" si="1">B5</f>
        <v>-5.2217872551587163E-2</v>
      </c>
      <c r="M11" s="10">
        <f t="shared" ref="M11:M20" si="2">$B$3</f>
        <v>2022</v>
      </c>
      <c r="N11" s="12"/>
      <c r="O11" s="45" t="s">
        <v>10</v>
      </c>
      <c r="P11" s="31">
        <v>-0.11027259853108795</v>
      </c>
      <c r="Q11" s="31">
        <v>-0.11027259853108795</v>
      </c>
    </row>
    <row r="12" spans="1:21" x14ac:dyDescent="0.25">
      <c r="A12" t="s">
        <v>8</v>
      </c>
      <c r="B12" s="12" cm="1">
        <f t="array" aca="1" ref="B12" ca="1">PRODUCT(1+IF(Rend_j[[Year]:[Year]]=B$3,INDIRECT("Rend_j["&amp;$A12&amp;"]")))-1</f>
        <v>-9.8493897855341461E-2</v>
      </c>
      <c r="C12" s="12" cm="1">
        <f t="array" aca="1" ref="C12" ca="1">PRODUCT(1+IF(Rend_j[[Year]:[Year]]=C$3,INDIRECT("Rend_j["&amp;$A12&amp;"]")))-1</f>
        <v>0.28850684510781877</v>
      </c>
      <c r="E12" s="12" cm="1">
        <f t="array" aca="1" ref="E12" ca="1">PRODUCT(1+IF(Rend_j[Date]&lt;=$I$3,INDIRECT("Rend_j["&amp;$A12&amp;"]")))-1</f>
        <v>0.19497029043071934</v>
      </c>
      <c r="K12" t="str">
        <f t="shared" si="0"/>
        <v>EM ex China</v>
      </c>
      <c r="L12" s="31">
        <f t="shared" ca="1" si="1"/>
        <v>-9.1397130013344485E-2</v>
      </c>
      <c r="M12" s="10">
        <f t="shared" si="2"/>
        <v>2022</v>
      </c>
      <c r="N12" s="12"/>
      <c r="O12" s="45" t="s">
        <v>15</v>
      </c>
      <c r="P12" s="31">
        <v>-0.13659899265299336</v>
      </c>
      <c r="Q12" s="31">
        <v>-0.13659899265299336</v>
      </c>
      <c r="S12" s="12"/>
      <c r="T12" s="12"/>
      <c r="U12" s="12"/>
    </row>
    <row r="13" spans="1:21" x14ac:dyDescent="0.25">
      <c r="A13" t="s">
        <v>9</v>
      </c>
      <c r="B13" s="12" cm="1">
        <f t="array" aca="1" ref="B13" ca="1">PRODUCT(1+IF(Rend_j[[Year]:[Year]]=B$3,INDIRECT("Rend_j["&amp;$A13&amp;"]")))-1</f>
        <v>-0.10316953393326478</v>
      </c>
      <c r="C13" s="12" cm="1">
        <f t="array" aca="1" ref="C13" ca="1">PRODUCT(1+IF(Rend_j[[Year]:[Year]]=C$3,INDIRECT("Rend_j["&amp;$A13&amp;"]")))-1</f>
        <v>0.2210118450968146</v>
      </c>
      <c r="E13" s="12" cm="1">
        <f t="array" aca="1" ref="E13" ca="1">PRODUCT(1+IF(Rend_j[Date]&lt;=$I$3,INDIRECT("Rend_j["&amp;$A13&amp;"]")))-1</f>
        <v>0.15887569269206714</v>
      </c>
      <c r="K13" t="str">
        <f t="shared" si="0"/>
        <v>EM</v>
      </c>
      <c r="L13" s="31">
        <f t="shared" ca="1" si="1"/>
        <v>-0.10036991252767102</v>
      </c>
      <c r="M13" s="10">
        <f t="shared" si="2"/>
        <v>2022</v>
      </c>
      <c r="N13" s="12"/>
      <c r="O13" s="45" t="s">
        <v>1</v>
      </c>
      <c r="P13" s="31">
        <v>1.7341247964210993E-3</v>
      </c>
      <c r="Q13" s="31">
        <v>1.7341247964210993E-3</v>
      </c>
      <c r="R13" t="s">
        <v>1</v>
      </c>
      <c r="S13" s="12">
        <f>P13</f>
        <v>1.7341247964210993E-3</v>
      </c>
      <c r="T13" s="12"/>
      <c r="U13" s="12"/>
    </row>
    <row r="14" spans="1:21" x14ac:dyDescent="0.25">
      <c r="A14" t="s">
        <v>10</v>
      </c>
      <c r="B14" s="12" cm="1">
        <f t="array" aca="1" ref="B14" ca="1">PRODUCT(1+IF(Rend_j[[Year]:[Year]]=B$3,INDIRECT("Rend_j["&amp;$A14&amp;"]")))-1</f>
        <v>-0.1511382843224055</v>
      </c>
      <c r="C14" s="12" cm="1">
        <f t="array" aca="1" ref="C14" ca="1">PRODUCT(1+IF(Rend_j[[Year]:[Year]]=C$3,INDIRECT("Rend_j["&amp;$A14&amp;"]")))-1</f>
        <v>0.15789161645569139</v>
      </c>
      <c r="E14" s="12" cm="1">
        <f t="array" aca="1" ref="E14" ca="1">PRODUCT(1+IF(Rend_j[Date]&lt;=$I$3,INDIRECT("Rend_j["&amp;$A14&amp;"]")))-1</f>
        <v>0.14007730497901516</v>
      </c>
      <c r="K14" t="str">
        <f t="shared" si="0"/>
        <v>Japon</v>
      </c>
      <c r="L14" s="31">
        <f t="shared" ca="1" si="1"/>
        <v>-7.0926824903246755E-2</v>
      </c>
      <c r="M14" s="10">
        <f t="shared" si="2"/>
        <v>2022</v>
      </c>
      <c r="N14" s="12"/>
      <c r="O14" s="45" t="s">
        <v>3</v>
      </c>
      <c r="P14" s="31">
        <v>-8.1172363329155339E-2</v>
      </c>
      <c r="Q14" s="31">
        <v>-8.1172363329155339E-2</v>
      </c>
      <c r="R14" t="s">
        <v>3</v>
      </c>
      <c r="S14" s="12">
        <f>P14</f>
        <v>-8.1172363329155339E-2</v>
      </c>
      <c r="T14" s="12"/>
      <c r="U14" s="12"/>
    </row>
    <row r="15" spans="1:21" x14ac:dyDescent="0.25">
      <c r="K15" t="str">
        <f t="shared" si="0"/>
        <v>Monde</v>
      </c>
      <c r="L15" s="31">
        <f t="shared" ca="1" si="1"/>
        <v>-5.7751580541889003E-2</v>
      </c>
      <c r="M15" s="10">
        <f t="shared" si="2"/>
        <v>2022</v>
      </c>
      <c r="N15" s="12"/>
      <c r="O15" s="45" t="s">
        <v>2</v>
      </c>
      <c r="P15" s="31">
        <v>-4.4806876288320141E-2</v>
      </c>
      <c r="Q15" s="31">
        <v>-4.4806876288320141E-2</v>
      </c>
      <c r="S15" s="12"/>
      <c r="T15" s="12"/>
      <c r="U15" s="12"/>
    </row>
    <row r="16" spans="1:21" x14ac:dyDescent="0.25">
      <c r="A16" t="s">
        <v>114</v>
      </c>
      <c r="K16" t="str">
        <f t="shared" si="0"/>
        <v>RU</v>
      </c>
      <c r="L16" s="31">
        <f t="shared" ca="1" si="1"/>
        <v>3.1292340798599216E-2</v>
      </c>
      <c r="M16" s="10">
        <f t="shared" si="2"/>
        <v>2022</v>
      </c>
      <c r="N16" s="12"/>
      <c r="O16" s="45" t="s">
        <v>9</v>
      </c>
      <c r="P16" s="31">
        <v>-5.0046319315053323E-2</v>
      </c>
      <c r="Q16" s="31">
        <v>-5.0046319315053323E-2</v>
      </c>
      <c r="S16" s="12"/>
      <c r="T16" s="12"/>
      <c r="U16" s="12"/>
    </row>
    <row r="17" spans="1:21" x14ac:dyDescent="0.25">
      <c r="A17" t="s">
        <v>110</v>
      </c>
      <c r="B17">
        <v>2022</v>
      </c>
      <c r="C17">
        <v>2021</v>
      </c>
      <c r="E17" t="s">
        <v>112</v>
      </c>
      <c r="H17" t="s">
        <v>115</v>
      </c>
      <c r="I17">
        <f>_xlfn.MAXIFS(Rend_h[Week],Rend_h[Year],"=2022")</f>
        <v>30</v>
      </c>
      <c r="K17" t="str">
        <f t="shared" si="0"/>
        <v>US</v>
      </c>
      <c r="L17" s="31">
        <f t="shared" ca="1" si="1"/>
        <v>-0.1442912231632214</v>
      </c>
      <c r="M17" s="10">
        <f t="shared" si="2"/>
        <v>2022</v>
      </c>
      <c r="N17" s="12"/>
      <c r="O17" s="45" t="s">
        <v>8</v>
      </c>
      <c r="P17" s="31">
        <v>-3.6885006679948318E-2</v>
      </c>
      <c r="Q17" s="31">
        <v>-3.6885006679948318E-2</v>
      </c>
      <c r="S17" s="12"/>
      <c r="T17" s="12"/>
      <c r="U17" s="12"/>
    </row>
    <row r="18" spans="1:21" x14ac:dyDescent="0.25">
      <c r="A18" t="s">
        <v>15</v>
      </c>
      <c r="B18" s="12" cm="1">
        <f t="array" aca="1" ref="B18" ca="1">_xlfn.STDEV.S(IF(Rend_m[[Year]:[Year]]=B$17,INDIRECT("Rend_m["&amp;$A18&amp;"]")))</f>
        <v>5.6575530006754665E-2</v>
      </c>
      <c r="C18" s="12" cm="1">
        <f t="array" aca="1" ref="C18" ca="1">_xlfn.STDEV.S(IF(Rend_h[[Year]:[Year]]=C$17,INDIRECT("Rend_h["&amp;$A18&amp;"]")))</f>
        <v>2.8676322629974507E-2</v>
      </c>
      <c r="E18" s="12" cm="1">
        <f t="array" aca="1" ref="E18" ca="1">_xlfn.STDEV.S(IF(Rend_h[Year]=2021,IF(Rend_h[Week]&lt;=$I$17,INDIRECT("Rend_h["&amp;$A18&amp;"]"))))</f>
        <v>3.2363774001047389E-2</v>
      </c>
      <c r="K18" t="str">
        <f t="shared" si="0"/>
        <v>France</v>
      </c>
      <c r="L18" s="31">
        <f t="shared" ca="1" si="1"/>
        <v>-9.8493897855341461E-2</v>
      </c>
      <c r="M18" s="10">
        <f t="shared" si="2"/>
        <v>2022</v>
      </c>
      <c r="N18" s="12"/>
      <c r="O18" s="45" t="s">
        <v>4</v>
      </c>
      <c r="P18" s="31">
        <v>-2.3655931569513733E-2</v>
      </c>
      <c r="Q18" s="31">
        <v>-2.3655931569513733E-2</v>
      </c>
      <c r="S18" s="12"/>
      <c r="T18" s="12"/>
      <c r="U18" s="12"/>
    </row>
    <row r="19" spans="1:21" x14ac:dyDescent="0.25">
      <c r="A19" t="s">
        <v>1</v>
      </c>
      <c r="B19" s="12" cm="1">
        <f t="array" aca="1" ref="B19" ca="1">_xlfn.STDEV.S(IF(Rend_h[[Year]:[Year]]=B$17,INDIRECT("Rend_h["&amp;$A19&amp;"]")))</f>
        <v>2.5504097028878497E-2</v>
      </c>
      <c r="C19" s="12" cm="1">
        <f t="array" aca="1" ref="C19" ca="1">_xlfn.STDEV.S(IF(Rend_h[[Year]:[Year]]=C$17,INDIRECT("Rend_h["&amp;$A19&amp;"]")))</f>
        <v>1.5111343114821414E-2</v>
      </c>
      <c r="E19" s="12" cm="1">
        <f t="array" aca="1" ref="E19" ca="1">_xlfn.STDEV.S(IF(Rend_h[Year]=2021,IF(Rend_h[Week]&lt;=$I$17,INDIRECT("Rend_h["&amp;$A19&amp;"]"))))</f>
        <v>1.6305755581967288E-2</v>
      </c>
      <c r="H19" s="23"/>
      <c r="K19" t="str">
        <f t="shared" si="0"/>
        <v>Europe</v>
      </c>
      <c r="L19" s="31">
        <f t="shared" ca="1" si="1"/>
        <v>-0.10316953393326478</v>
      </c>
      <c r="M19" s="10">
        <f t="shared" si="2"/>
        <v>2022</v>
      </c>
      <c r="N19" s="12"/>
      <c r="O19" s="45" t="s">
        <v>5</v>
      </c>
      <c r="P19" s="31">
        <v>-7.8791557839843485E-3</v>
      </c>
      <c r="Q19" s="31">
        <v>-7.8791557839843485E-3</v>
      </c>
    </row>
    <row r="20" spans="1:21" x14ac:dyDescent="0.25">
      <c r="A20" t="s">
        <v>2</v>
      </c>
      <c r="B20" s="12" cm="1">
        <f t="array" aca="1" ref="B20" ca="1">_xlfn.STDEV.S(IF(Rend_h[[Year]:[Year]]=B$17,INDIRECT("Rend_h["&amp;$A20&amp;"]")))</f>
        <v>2.0532937757884565E-2</v>
      </c>
      <c r="C20" s="12" cm="1">
        <f t="array" aca="1" ref="C20" ca="1">_xlfn.STDEV.S(IF(Rend_h[[Year]:[Year]]=C$17,INDIRECT("Rend_h["&amp;$A20&amp;"]")))</f>
        <v>1.9918210526229819E-2</v>
      </c>
      <c r="E20" s="12" cm="1">
        <f t="array" aca="1" ref="E20" ca="1">_xlfn.STDEV.S(IF(Rend_h[Year]=2021,IF(Rend_h[Week]&lt;=$I$17,INDIRECT("Rend_h["&amp;$A20&amp;"]"))))</f>
        <v>2.2340215275957337E-2</v>
      </c>
      <c r="H20" s="23"/>
      <c r="K20" t="str">
        <f t="shared" si="0"/>
        <v>Allemagne</v>
      </c>
      <c r="L20" s="31">
        <f t="shared" ca="1" si="1"/>
        <v>-0.1511382843224055</v>
      </c>
      <c r="M20" s="10">
        <f t="shared" si="2"/>
        <v>2022</v>
      </c>
      <c r="O20" s="45" t="s">
        <v>6</v>
      </c>
      <c r="P20" s="31">
        <v>8.4436727910777165E-2</v>
      </c>
      <c r="Q20" s="31">
        <v>8.4436727910777165E-2</v>
      </c>
    </row>
    <row r="21" spans="1:21" x14ac:dyDescent="0.25">
      <c r="A21" t="s">
        <v>3</v>
      </c>
      <c r="B21" s="12" cm="1">
        <f t="array" aca="1" ref="B21" ca="1">_xlfn.STDEV.S(IF(Rend_h[[Year]:[Year]]=B$17,INDIRECT("Rend_h["&amp;$A21&amp;"]")))</f>
        <v>2.2576480429322195E-2</v>
      </c>
      <c r="C21" s="12" cm="1">
        <f t="array" aca="1" ref="C21" ca="1">_xlfn.STDEV.S(IF(Rend_h[[Year]:[Year]]=C$17,INDIRECT("Rend_h["&amp;$A21&amp;"]")))</f>
        <v>2.2706282997467842E-2</v>
      </c>
      <c r="E21" s="12" cm="1">
        <f t="array" aca="1" ref="E21" ca="1">_xlfn.STDEV.S(IF(Rend_h[Year]=2021,IF(Rend_h[Week]&lt;=$I$17,INDIRECT("Rend_h["&amp;$A21&amp;"]"))))</f>
        <v>2.5706348777007566E-2</v>
      </c>
      <c r="H21" s="23"/>
      <c r="K21" t="str">
        <f>A4</f>
        <v>Chine</v>
      </c>
      <c r="L21" s="31">
        <f ca="1">C4</f>
        <v>-7.5817885402380658E-2</v>
      </c>
      <c r="M21" s="10">
        <f>$C$3</f>
        <v>2021</v>
      </c>
      <c r="O21" s="45" t="s">
        <v>7</v>
      </c>
      <c r="P21" s="31">
        <v>-8.3622705296257371E-2</v>
      </c>
      <c r="Q21" s="31">
        <v>-8.3622705296257371E-2</v>
      </c>
    </row>
    <row r="22" spans="1:21" x14ac:dyDescent="0.25">
      <c r="A22" t="s">
        <v>4</v>
      </c>
      <c r="B22" s="12" cm="1">
        <f t="array" aca="1" ref="B22" ca="1">_xlfn.STDEV.S(IF(Rend_h[[Year]:[Year]]=B$17,INDIRECT("Rend_h["&amp;$A22&amp;"]")))</f>
        <v>2.2356023786801474E-2</v>
      </c>
      <c r="C22" s="12" cm="1">
        <f t="array" aca="1" ref="C22" ca="1">_xlfn.STDEV.S(IF(Rend_h[[Year]:[Year]]=C$17,INDIRECT("Rend_h["&amp;$A22&amp;"]")))</f>
        <v>2.0451539418345079E-2</v>
      </c>
      <c r="E22" s="12" cm="1">
        <f t="array" aca="1" ref="E22" ca="1">_xlfn.STDEV.S(IF(Rend_h[Year]=2021,IF(Rend_h[Week]&lt;=$I$17,INDIRECT("Rend_h["&amp;$A22&amp;"]"))))</f>
        <v>2.0233638354754672E-2</v>
      </c>
      <c r="K22" t="str">
        <f t="shared" ref="K22:K28" si="3">A5</f>
        <v>DM</v>
      </c>
      <c r="L22" s="31">
        <f t="shared" ref="L22:L31" ca="1" si="4">C5</f>
        <v>0.29259112431570244</v>
      </c>
      <c r="M22" s="10">
        <f t="shared" ref="M22:M31" si="5">$C$3</f>
        <v>2021</v>
      </c>
      <c r="O22" s="45" t="s">
        <v>145</v>
      </c>
      <c r="P22" s="31">
        <v>-0.48876909673911562</v>
      </c>
      <c r="Q22" s="31">
        <v>-0.48876909673911562</v>
      </c>
    </row>
    <row r="23" spans="1:21" x14ac:dyDescent="0.25">
      <c r="A23" t="s">
        <v>5</v>
      </c>
      <c r="B23" s="12" cm="1">
        <f t="array" aca="1" ref="B23" ca="1">_xlfn.STDEV.S(IF(Rend_h[[Year]:[Year]]=B$17,INDIRECT("Rend_h["&amp;$A23&amp;"]")))</f>
        <v>2.3633146793033348E-2</v>
      </c>
      <c r="C23" s="12" cm="1">
        <f t="array" aca="1" ref="C23" ca="1">_xlfn.STDEV.S(IF(Rend_h[[Year]:[Year]]=C$17,INDIRECT("Rend_h["&amp;$A23&amp;"]")))</f>
        <v>1.5248265417055911E-2</v>
      </c>
      <c r="E23" s="12" cm="1">
        <f t="array" aca="1" ref="E23" ca="1">_xlfn.STDEV.S(IF(Rend_h[Year]=2021,IF(Rend_h[Week]&lt;=$I$17,INDIRECT("Rend_h["&amp;$A23&amp;"]"))))</f>
        <v>1.6758071457353262E-2</v>
      </c>
      <c r="K23" t="str">
        <f t="shared" si="3"/>
        <v>EM ex China</v>
      </c>
      <c r="L23" s="31">
        <f t="shared" ca="1" si="4"/>
        <v>0.15362252898592055</v>
      </c>
      <c r="M23" s="10">
        <f t="shared" si="5"/>
        <v>2021</v>
      </c>
    </row>
    <row r="24" spans="1:21" x14ac:dyDescent="0.25">
      <c r="A24" t="s">
        <v>6</v>
      </c>
      <c r="B24" s="12" cm="1">
        <f t="array" aca="1" ref="B24" ca="1">_xlfn.STDEV.S(IF(Rend_h[[Year]:[Year]]=B$17,INDIRECT("Rend_h["&amp;$A24&amp;"]")))</f>
        <v>2.3128028018579289E-2</v>
      </c>
      <c r="C24" s="12" cm="1">
        <f t="array" aca="1" ref="C24" ca="1">_xlfn.STDEV.S(IF(Rend_h[[Year]:[Year]]=C$17,INDIRECT("Rend_h["&amp;$A24&amp;"]")))</f>
        <v>1.6344545429897543E-2</v>
      </c>
      <c r="E24" s="12" cm="1">
        <f t="array" aca="1" ref="E24" ca="1">_xlfn.STDEV.S(IF(Rend_h[Year]=2021,IF(Rend_h[Week]&lt;=$I$17,INDIRECT("Rend_h["&amp;$A24&amp;"]"))))</f>
        <v>1.7497218807563726E-2</v>
      </c>
      <c r="K24" t="str">
        <f t="shared" si="3"/>
        <v>EM</v>
      </c>
      <c r="L24" s="31">
        <f t="shared" ca="1" si="4"/>
        <v>2.6168742689704816E-2</v>
      </c>
      <c r="M24" s="10">
        <f t="shared" si="5"/>
        <v>2021</v>
      </c>
    </row>
    <row r="25" spans="1:21" x14ac:dyDescent="0.25">
      <c r="A25" t="s">
        <v>7</v>
      </c>
      <c r="B25" s="12" cm="1">
        <f t="array" aca="1" ref="B25" ca="1">_xlfn.STDEV.S(IF(Rend_h[[Year]:[Year]]=B$17,INDIRECT("Rend_h["&amp;$A25&amp;"]")))</f>
        <v>3.3264632506350915E-2</v>
      </c>
      <c r="C25" s="12" cm="1">
        <f t="array" aca="1" ref="C25" ca="1">_xlfn.STDEV.S(IF(Rend_h[[Year]:[Year]]=C$17,INDIRECT("Rend_h["&amp;$A25&amp;"]")))</f>
        <v>1.7640433473794414E-2</v>
      </c>
      <c r="E25" s="12" cm="1">
        <f t="array" aca="1" ref="E25" ca="1">_xlfn.STDEV.S(IF(Rend_h[Year]=2021,IF(Rend_h[Week]&lt;=$I$17,INDIRECT("Rend_h["&amp;$A25&amp;"]"))))</f>
        <v>1.861403847989037E-2</v>
      </c>
      <c r="K25" t="str">
        <f t="shared" si="3"/>
        <v>Japon</v>
      </c>
      <c r="L25" s="31">
        <f t="shared" ca="1" si="4"/>
        <v>7.4950251597660333E-2</v>
      </c>
      <c r="M25" s="10">
        <f t="shared" si="5"/>
        <v>2021</v>
      </c>
    </row>
    <row r="26" spans="1:21" x14ac:dyDescent="0.25">
      <c r="A26" t="s">
        <v>8</v>
      </c>
      <c r="B26" s="12" cm="1">
        <f t="array" aca="1" ref="B26" ca="1">_xlfn.STDEV.S(IF(Rend_h[[Year]:[Year]]=B$17,INDIRECT("Rend_h["&amp;$A26&amp;"]")))</f>
        <v>3.1767437294544981E-2</v>
      </c>
      <c r="C26" s="12" cm="1">
        <f t="array" aca="1" ref="C26" ca="1">_xlfn.STDEV.S(IF(Rend_h[[Year]:[Year]]=C$17,INDIRECT("Rend_h["&amp;$A26&amp;"]")))</f>
        <v>1.8675863667491428E-2</v>
      </c>
      <c r="E26" s="12" cm="1">
        <f t="array" aca="1" ref="E26" ca="1">_xlfn.STDEV.S(IF(Rend_h[Year]=2021,IF(Rend_h[Week]&lt;=$I$17,INDIRECT("Rend_h["&amp;$A26&amp;"]"))))</f>
        <v>1.6820930667906006E-2</v>
      </c>
      <c r="K26" t="str">
        <f t="shared" si="3"/>
        <v>Monde</v>
      </c>
      <c r="L26" s="31">
        <f t="shared" ca="1" si="4"/>
        <v>0.25660164528907159</v>
      </c>
      <c r="M26" s="10">
        <f t="shared" si="5"/>
        <v>2021</v>
      </c>
    </row>
    <row r="27" spans="1:21" x14ac:dyDescent="0.25">
      <c r="A27" t="s">
        <v>9</v>
      </c>
      <c r="B27" s="12" cm="1">
        <f t="array" aca="1" ref="B27" ca="1">_xlfn.STDEV.S(IF(Rend_h[[Year]:[Year]]=B$17,INDIRECT("Rend_h["&amp;$A27&amp;"]")))</f>
        <v>2.6237319597018211E-2</v>
      </c>
      <c r="C27" s="12" cm="1">
        <f t="array" aca="1" ref="C27" ca="1">_xlfn.STDEV.S(IF(Rend_h[[Year]:[Year]]=C$17,INDIRECT("Rend_h["&amp;$A27&amp;"]")))</f>
        <v>1.5333948482716554E-2</v>
      </c>
      <c r="E27" s="12" cm="1">
        <f t="array" aca="1" ref="E27" ca="1">_xlfn.STDEV.S(IF(Rend_h[Year]=2021,IF(Rend_h[Week]&lt;=$I$17,INDIRECT("Rend_h["&amp;$A27&amp;"]"))))</f>
        <v>1.443763704057955E-2</v>
      </c>
      <c r="K27" t="str">
        <f t="shared" si="3"/>
        <v>RU</v>
      </c>
      <c r="L27" s="31">
        <f t="shared" ca="1" si="4"/>
        <v>0.22571191325159856</v>
      </c>
      <c r="M27" s="10">
        <f t="shared" si="5"/>
        <v>2021</v>
      </c>
    </row>
    <row r="28" spans="1:21" x14ac:dyDescent="0.25">
      <c r="A28" t="s">
        <v>10</v>
      </c>
      <c r="B28" s="12" cm="1">
        <f t="array" aca="1" ref="B28" ca="1">_xlfn.STDEV.S(IF(Rend_h[[Year]:[Year]]=B$17,INDIRECT("Rend_h["&amp;$A28&amp;"]")))</f>
        <v>3.0592125329520301E-2</v>
      </c>
      <c r="C28" s="12" cm="1">
        <f t="array" aca="1" ref="C28" ca="1">_xlfn.STDEV.S(IF(Rend_h[[Year]:[Year]]=C$17,INDIRECT("Rend_h["&amp;$A28&amp;"]")))</f>
        <v>1.7145809596290369E-2</v>
      </c>
      <c r="E28" s="12" cm="1">
        <f t="array" aca="1" ref="E28" ca="1">_xlfn.STDEV.S(IF(Rend_h[Year]=2021,IF(Rend_h[Week]&lt;=$I$17,INDIRECT("Rend_h["&amp;$A28&amp;"]"))))</f>
        <v>1.6552624781477884E-2</v>
      </c>
      <c r="K28" t="str">
        <f t="shared" si="3"/>
        <v>US</v>
      </c>
      <c r="L28" s="31">
        <f t="shared" ca="1" si="4"/>
        <v>0.24416195380498973</v>
      </c>
      <c r="M28" s="10">
        <f t="shared" si="5"/>
        <v>2021</v>
      </c>
    </row>
    <row r="29" spans="1:21" x14ac:dyDescent="0.25">
      <c r="K29" t="str">
        <f>A12</f>
        <v>France</v>
      </c>
      <c r="L29" s="31">
        <f t="shared" ca="1" si="4"/>
        <v>0.28850684510781877</v>
      </c>
      <c r="M29" s="10">
        <f t="shared" si="5"/>
        <v>2021</v>
      </c>
    </row>
    <row r="30" spans="1:21" x14ac:dyDescent="0.25">
      <c r="A30" t="s">
        <v>116</v>
      </c>
      <c r="G30" t="s">
        <v>117</v>
      </c>
      <c r="K30" t="str">
        <f>A13</f>
        <v>Europe</v>
      </c>
      <c r="L30" s="31">
        <f t="shared" ca="1" si="4"/>
        <v>0.2210118450968146</v>
      </c>
      <c r="M30" s="10">
        <f t="shared" si="5"/>
        <v>2021</v>
      </c>
    </row>
    <row r="31" spans="1:21" x14ac:dyDescent="0.25">
      <c r="B31" s="10">
        <v>2022</v>
      </c>
      <c r="C31" t="s">
        <v>112</v>
      </c>
      <c r="H31" s="10">
        <v>2022</v>
      </c>
      <c r="I31" t="s">
        <v>112</v>
      </c>
      <c r="K31" t="str">
        <f t="shared" ref="K31" si="6">A14</f>
        <v>Allemagne</v>
      </c>
      <c r="L31" s="31">
        <f t="shared" ca="1" si="4"/>
        <v>0.15789161645569139</v>
      </c>
      <c r="M31" s="10">
        <f t="shared" si="5"/>
        <v>2021</v>
      </c>
    </row>
    <row r="32" spans="1:21" x14ac:dyDescent="0.25">
      <c r="A32" t="s">
        <v>5</v>
      </c>
      <c r="B32" s="12" cm="1">
        <f t="array" ref="B32">-_xlfn.PERCENTILE.INC(IF(Rend_h[Year]=2022,Rend_h[Monde]),0.05)</f>
        <v>3.1682405993555936E-2</v>
      </c>
      <c r="C32" s="12" cm="1">
        <f t="array" ref="C32">-_xlfn.PERCENTILE.INC(IF(Rend_h[Year]=2021,IF(Rend_h[Week]&lt;=$I$17,Rend_h[Monde])),0.05)</f>
        <v>2.5393259393177783E-2</v>
      </c>
      <c r="G32" t="s">
        <v>5</v>
      </c>
      <c r="H32" s="12" cm="1">
        <f t="array" ref="H32">-_xlfn.PERCENTILE.INC(IF(Rend_j[Year]=2022,Rend_j[Monde]),0.05)</f>
        <v>1.9903180161510922E-2</v>
      </c>
      <c r="I32" s="12" cm="1">
        <f t="array" ref="I32">-_xlfn.PERCENTILE.INC(IF(Rend_j[Date]&lt;=$I$3,Rend_j[Monde]),0.05)</f>
        <v>1.0401713221465681E-2</v>
      </c>
    </row>
    <row r="36" spans="1:12" x14ac:dyDescent="0.25">
      <c r="A36" t="s">
        <v>118</v>
      </c>
      <c r="H36" t="s">
        <v>131</v>
      </c>
      <c r="I36" t="s">
        <v>132</v>
      </c>
      <c r="J36" t="s">
        <v>151</v>
      </c>
    </row>
    <row r="37" spans="1:12" x14ac:dyDescent="0.25">
      <c r="A37" t="s">
        <v>15</v>
      </c>
      <c r="B37" s="12">
        <f ca="1">MAX(INDIRECT("DD["&amp;A37&amp;"]"))</f>
        <v>0.23351829625740059</v>
      </c>
      <c r="H37" s="12">
        <v>3.3300000000000003E-2</v>
      </c>
      <c r="I37" s="31">
        <f ca="1">OFFSET(INDEX(A37:A47,MATCH(J37,A37:A47,0)),0,1)</f>
        <v>0.10985660743254584</v>
      </c>
      <c r="J37" t="s">
        <v>6</v>
      </c>
      <c r="K37" s="32"/>
      <c r="L37" s="32"/>
    </row>
    <row r="38" spans="1:12" x14ac:dyDescent="0.25">
      <c r="A38" t="s">
        <v>1</v>
      </c>
      <c r="B38" s="12">
        <f t="shared" ref="B38:B47" ca="1" si="7">MAX(INDIRECT("DD["&amp;A38&amp;"]"))</f>
        <v>0.17551002315264724</v>
      </c>
      <c r="H38" s="12">
        <v>3.3300000000000003E-2</v>
      </c>
      <c r="I38" s="31">
        <v>2.5000000000000001E-3</v>
      </c>
    </row>
    <row r="39" spans="1:12" x14ac:dyDescent="0.25">
      <c r="A39" t="s">
        <v>2</v>
      </c>
      <c r="B39" s="12">
        <f t="shared" ca="1" si="7"/>
        <v>0.18019400085161266</v>
      </c>
      <c r="H39" s="12">
        <v>3.3300000000000003E-2</v>
      </c>
      <c r="I39" s="31">
        <f ca="1">40%-SUM(I37:I38)</f>
        <v>0.28764339256745419</v>
      </c>
    </row>
    <row r="40" spans="1:12" x14ac:dyDescent="0.25">
      <c r="A40" t="s">
        <v>3</v>
      </c>
      <c r="B40" s="12">
        <f t="shared" ca="1" si="7"/>
        <v>0.15682000688310202</v>
      </c>
      <c r="H40" s="12">
        <v>3.3300000000000003E-2</v>
      </c>
    </row>
    <row r="41" spans="1:12" x14ac:dyDescent="0.25">
      <c r="A41" t="s">
        <v>4</v>
      </c>
      <c r="B41" s="12">
        <f t="shared" ca="1" si="7"/>
        <v>0.18423612477320914</v>
      </c>
      <c r="H41" s="12">
        <v>3.3300000000000003E-2</v>
      </c>
    </row>
    <row r="42" spans="1:12" x14ac:dyDescent="0.25">
      <c r="A42" t="s">
        <v>5</v>
      </c>
      <c r="B42" s="12">
        <f t="shared" ca="1" si="7"/>
        <v>0.17043289337141779</v>
      </c>
      <c r="H42" s="12">
        <v>3.3300000000000003E-2</v>
      </c>
    </row>
    <row r="43" spans="1:12" x14ac:dyDescent="0.25">
      <c r="A43" t="s">
        <v>6</v>
      </c>
      <c r="B43" s="12">
        <f t="shared" ca="1" si="7"/>
        <v>0.10985660743254584</v>
      </c>
      <c r="H43" s="12">
        <v>0.2</v>
      </c>
    </row>
    <row r="44" spans="1:12" x14ac:dyDescent="0.25">
      <c r="A44" t="s">
        <v>7</v>
      </c>
      <c r="B44" s="12">
        <f t="shared" ca="1" si="7"/>
        <v>0.24742664596076036</v>
      </c>
      <c r="H44" s="12"/>
    </row>
    <row r="45" spans="1:12" x14ac:dyDescent="0.25">
      <c r="A45" t="s">
        <v>8</v>
      </c>
      <c r="B45" s="12">
        <f t="shared" ca="1" si="7"/>
        <v>0.21438866690750691</v>
      </c>
    </row>
    <row r="46" spans="1:12" x14ac:dyDescent="0.25">
      <c r="A46" t="s">
        <v>9</v>
      </c>
      <c r="B46" s="12">
        <f t="shared" ca="1" si="7"/>
        <v>0.18948116084376052</v>
      </c>
    </row>
    <row r="47" spans="1:12" x14ac:dyDescent="0.25">
      <c r="A47" t="s">
        <v>10</v>
      </c>
      <c r="B47" s="12">
        <f t="shared" ca="1" si="7"/>
        <v>0.23786930108931126</v>
      </c>
    </row>
    <row r="49" spans="1:8" ht="15.75" thickBot="1" x14ac:dyDescent="0.3">
      <c r="A49" t="s">
        <v>133</v>
      </c>
    </row>
    <row r="50" spans="1:8" x14ac:dyDescent="0.25">
      <c r="A50" s="36">
        <v>21</v>
      </c>
      <c r="B50" s="36">
        <f>A50+1</f>
        <v>22</v>
      </c>
      <c r="C50" s="36">
        <f t="shared" ref="C50:D50" si="8">B50+1</f>
        <v>23</v>
      </c>
      <c r="D50" s="36">
        <f t="shared" si="8"/>
        <v>24</v>
      </c>
      <c r="E50" s="37" t="s">
        <v>135</v>
      </c>
    </row>
    <row r="51" spans="1:8" ht="15.75" thickBot="1" x14ac:dyDescent="0.3">
      <c r="A51" s="38">
        <f>SUMIFS(Rend_h[[Monde]:[Monde]],Rend_h[[Year]:[Year]],"=2022",Rend_h[[Week]:[Week]],"="&amp;A50)</f>
        <v>3.4866996475366951E-2</v>
      </c>
      <c r="B51" s="38">
        <f>SUMIFS(Rend_h[[Monde]:[Monde]],Rend_h[[Year]:[Year]],"=2022",Rend_h[[Week]:[Week]],"="&amp;B50)</f>
        <v>-6.7468499427262296E-3</v>
      </c>
      <c r="C51" s="38">
        <f>SUMIFS(Rend_h[[Monde]:[Monde]],Rend_h[[Year]:[Year]],"=2022",Rend_h[[Week]:[Week]],"="&amp;C50)</f>
        <v>-2.7070767645781313E-2</v>
      </c>
      <c r="D51" s="38">
        <f>SUMIFS(Rend_h[[Monde]:[Monde]],Rend_h[[Year]:[Year]],"=2022",Rend_h[[Week]:[Week]],"="&amp;D50)</f>
        <v>-5.1068587978237101E-2</v>
      </c>
      <c r="E51" s="39"/>
    </row>
    <row r="52" spans="1:8" x14ac:dyDescent="0.25">
      <c r="A52" s="6">
        <f>IF(A51&lt;&gt;0,A51,"")</f>
        <v>3.4866996475366951E-2</v>
      </c>
      <c r="B52" s="6">
        <f t="shared" ref="B52:D52" si="9">IF(B51&lt;&gt;0,B51,"")</f>
        <v>-6.7468499427262296E-3</v>
      </c>
      <c r="C52" s="6">
        <f t="shared" si="9"/>
        <v>-2.7070767645781313E-2</v>
      </c>
      <c r="D52" s="6">
        <f t="shared" si="9"/>
        <v>-5.1068587978237101E-2</v>
      </c>
      <c r="F52" t="s">
        <v>143</v>
      </c>
    </row>
    <row r="55" spans="1:8" x14ac:dyDescent="0.25">
      <c r="A55" t="s">
        <v>134</v>
      </c>
    </row>
    <row r="56" spans="1:8" x14ac:dyDescent="0.25">
      <c r="A56" s="36" t="s">
        <v>150</v>
      </c>
      <c r="B56" s="36" t="s">
        <v>6</v>
      </c>
      <c r="C56" s="36" t="s">
        <v>8</v>
      </c>
      <c r="D56" s="36" t="s">
        <v>10</v>
      </c>
      <c r="H56" t="s">
        <v>130</v>
      </c>
    </row>
    <row r="57" spans="1:8" x14ac:dyDescent="0.25">
      <c r="A57">
        <v>1</v>
      </c>
      <c r="B57" s="6">
        <f ca="1">SUMIFS(INDIRECT("Rend_m["&amp;B$56&amp;"]"),Rend_m[[Year]:[Year]],"=2022",Rend_m[[Month]:[Month]],"="&amp;$A57)</f>
        <v>2.2993544273532063E-2</v>
      </c>
      <c r="C57" s="6">
        <f ca="1">SUMIFS(INDIRECT("Rend_m["&amp;C$56&amp;"]"),Rend_m[[Year]:[Year]],"=2022",Rend_m[[Month]:[Month]],"="&amp;$A57)</f>
        <v>-2.1505515092721139E-2</v>
      </c>
      <c r="D57" s="6">
        <f ca="1">SUMIFS(INDIRECT("Rend_m["&amp;D$56&amp;"]"),Rend_m[[Year]:[Year]],"=2022",Rend_m[[Month]:[Month]],"="&amp;$A57)</f>
        <v>-2.6041157484900657E-2</v>
      </c>
      <c r="H57" t="s">
        <v>129</v>
      </c>
    </row>
    <row r="58" spans="1:8" ht="14.25" customHeight="1" x14ac:dyDescent="0.25">
      <c r="A58">
        <f>A57+1</f>
        <v>2</v>
      </c>
      <c r="B58" s="6">
        <f ca="1">SUMIFS(INDIRECT("Rend_m["&amp;B$56&amp;"]"),Rend_m[[Year]:[Year]],"=2022",Rend_m[[Month]:[Month]],"="&amp;$A58)</f>
        <v>1.5387012582295245E-3</v>
      </c>
      <c r="C58" s="6">
        <f ca="1">SUMIFS(INDIRECT("Rend_m["&amp;C$56&amp;"]"),Rend_m[[Year]:[Year]],"=2022",Rend_m[[Month]:[Month]],"="&amp;$A58)</f>
        <v>-4.8629858772027856E-2</v>
      </c>
      <c r="D58" s="6">
        <f ca="1">SUMIFS(INDIRECT("Rend_m["&amp;D$56&amp;"]"),Rend_m[[Year]:[Year]],"=2022",Rend_m[[Month]:[Month]],"="&amp;$A58)</f>
        <v>-6.5294266568925008E-2</v>
      </c>
      <c r="H58" t="s">
        <v>136</v>
      </c>
    </row>
    <row r="59" spans="1:8" ht="16.5" customHeight="1" x14ac:dyDescent="0.25">
      <c r="A59">
        <f>A58+1</f>
        <v>3</v>
      </c>
      <c r="B59" s="6">
        <f ca="1">SUMIFS(INDIRECT("Rend_m["&amp;B$56&amp;"]"),Rend_m[[Year]:[Year]],"=2022",Rend_m[[Month]:[Month]],"="&amp;$A59)</f>
        <v>3.6366465062913633E-3</v>
      </c>
      <c r="C59" s="6">
        <f ca="1">SUMIFS(INDIRECT("Rend_m["&amp;C$56&amp;"]"),Rend_m[[Year]:[Year]],"=2022",Rend_m[[Month]:[Month]],"="&amp;$A59)</f>
        <v>1.561894488695259E-4</v>
      </c>
      <c r="D59" s="6">
        <f ca="1">SUMIFS(INDIRECT("Rend_m["&amp;D$56&amp;"]"),Rend_m[[Year]:[Year]],"=2022",Rend_m[[Month]:[Month]],"="&amp;$A59)</f>
        <v>-3.199603589775557E-3</v>
      </c>
      <c r="H59" t="s">
        <v>156</v>
      </c>
    </row>
    <row r="60" spans="1:8" ht="25.5" customHeight="1" x14ac:dyDescent="0.25"/>
    <row r="62" spans="1:8" x14ac:dyDescent="0.25">
      <c r="A62" s="36" t="str">
        <f>A56</f>
        <v>Mois</v>
      </c>
      <c r="B62" s="36" t="str">
        <f t="shared" ref="B62:D62" si="10">B56</f>
        <v>RU</v>
      </c>
      <c r="C62" s="36" t="str">
        <f t="shared" si="10"/>
        <v>France</v>
      </c>
      <c r="D62" s="36" t="str">
        <f t="shared" si="10"/>
        <v>Allemagne</v>
      </c>
    </row>
    <row r="63" spans="1:8" x14ac:dyDescent="0.25">
      <c r="A63" s="48">
        <f t="shared" ref="A63:A65" si="11">A57</f>
        <v>1</v>
      </c>
      <c r="B63" s="49">
        <f ca="1">IF(B57&lt;&gt;0,B57,"")</f>
        <v>2.2993544273532063E-2</v>
      </c>
      <c r="C63" s="49">
        <f t="shared" ref="C63:D63" ca="1" si="12">IF(C57&lt;&gt;0,C57,"")</f>
        <v>-2.1505515092721139E-2</v>
      </c>
      <c r="D63" s="49">
        <f t="shared" ca="1" si="12"/>
        <v>-2.6041157484900657E-2</v>
      </c>
    </row>
    <row r="64" spans="1:8" x14ac:dyDescent="0.25">
      <c r="A64" s="48">
        <f t="shared" si="11"/>
        <v>2</v>
      </c>
      <c r="B64" s="49">
        <f t="shared" ref="B64:D64" ca="1" si="13">IF(B58&lt;&gt;0,B58,"")</f>
        <v>1.5387012582295245E-3</v>
      </c>
      <c r="C64" s="49">
        <f t="shared" ca="1" si="13"/>
        <v>-4.8629858772027856E-2</v>
      </c>
      <c r="D64" s="49">
        <f t="shared" ca="1" si="13"/>
        <v>-6.5294266568925008E-2</v>
      </c>
    </row>
    <row r="65" spans="1:4" x14ac:dyDescent="0.25">
      <c r="A65" s="50">
        <f t="shared" si="11"/>
        <v>3</v>
      </c>
      <c r="B65" s="51">
        <f t="shared" ref="B65:D65" ca="1" si="14">IF(B59&lt;&gt;0,B59,"")</f>
        <v>3.6366465062913633E-3</v>
      </c>
      <c r="C65" s="51">
        <f t="shared" ca="1" si="14"/>
        <v>1.561894488695259E-4</v>
      </c>
      <c r="D65" s="51">
        <f t="shared" ca="1" si="14"/>
        <v>-3.199603589775557E-3</v>
      </c>
    </row>
    <row r="66" spans="1:4" ht="28.5" customHeight="1" x14ac:dyDescent="0.25">
      <c r="A66" s="34"/>
      <c r="B66" s="34"/>
      <c r="C66" s="34"/>
      <c r="D66" s="34"/>
    </row>
    <row r="67" spans="1:4" x14ac:dyDescent="0.25">
      <c r="A67" t="s">
        <v>152</v>
      </c>
    </row>
    <row r="68" spans="1:4" x14ac:dyDescent="0.25">
      <c r="A68" t="str">
        <f>IF('Corrélation roulante'!M4=2022,"Invasion Ukraine","")</f>
        <v>Invasion Ukraine</v>
      </c>
    </row>
  </sheetData>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164" r:id="rId5" name="Scroll Bar 20">
              <controlPr defaultSize="0" autoPict="0">
                <anchor moveWithCells="1">
                  <from>
                    <xdr:col>0</xdr:col>
                    <xdr:colOff>0</xdr:colOff>
                    <xdr:row>52</xdr:row>
                    <xdr:rowOff>38100</xdr:rowOff>
                  </from>
                  <to>
                    <xdr:col>4</xdr:col>
                    <xdr:colOff>390525</xdr:colOff>
                    <xdr:row>53</xdr:row>
                    <xdr:rowOff>38100</xdr:rowOff>
                  </to>
                </anchor>
              </controlPr>
            </control>
          </mc:Choice>
        </mc:AlternateContent>
        <mc:AlternateContent xmlns:mc="http://schemas.openxmlformats.org/markup-compatibility/2006">
          <mc:Choice Requires="x14">
            <control shapeId="6174" r:id="rId6" name="Scroll Bar 30">
              <controlPr defaultSize="0" autoPict="0">
                <anchor moveWithCells="1">
                  <from>
                    <xdr:col>4</xdr:col>
                    <xdr:colOff>285750</xdr:colOff>
                    <xdr:row>56</xdr:row>
                    <xdr:rowOff>9525</xdr:rowOff>
                  </from>
                  <to>
                    <xdr:col>4</xdr:col>
                    <xdr:colOff>600075</xdr:colOff>
                    <xdr:row>58</xdr:row>
                    <xdr:rowOff>200025</xdr:rowOff>
                  </to>
                </anchor>
              </controlPr>
            </control>
          </mc:Choice>
        </mc:AlternateContent>
        <mc:AlternateContent xmlns:mc="http://schemas.openxmlformats.org/markup-compatibility/2006">
          <mc:Choice Requires="x14">
            <control shapeId="6177" r:id="rId7" name="Spinner 33">
              <controlPr defaultSize="0" autoPict="0">
                <anchor moveWithCells="1" sizeWithCells="1">
                  <from>
                    <xdr:col>0</xdr:col>
                    <xdr:colOff>0</xdr:colOff>
                    <xdr:row>56</xdr:row>
                    <xdr:rowOff>0</xdr:rowOff>
                  </from>
                  <to>
                    <xdr:col>0</xdr:col>
                    <xdr:colOff>209550</xdr:colOff>
                    <xdr:row>59</xdr:row>
                    <xdr:rowOff>0</xdr:rowOff>
                  </to>
                </anchor>
              </controlPr>
            </control>
          </mc:Choice>
        </mc:AlternateContent>
      </controls>
    </mc:Choice>
  </mc:AlternateContent>
  <extLst>
    <ext xmlns:x14="http://schemas.microsoft.com/office/spreadsheetml/2009/9/main" uri="{05C60535-1F16-4fd2-B633-F4F36F0B64E0}">
      <x14:sparklineGroups xmlns:xm="http://schemas.microsoft.com/office/excel/2006/main">
        <x14:sparklineGroup type="column" displayEmptyCellsAs="gap" negative="1" xr2:uid="{7175FFAF-A41F-4DF9-B615-C55E63E957EA}">
          <x14:colorSeries rgb="FF376092"/>
          <x14:colorNegative rgb="FFD00000"/>
          <x14:colorAxis rgb="FF000000"/>
          <x14:colorMarkers rgb="FFD00000"/>
          <x14:colorFirst rgb="FFD00000"/>
          <x14:colorLast rgb="FFD00000"/>
          <x14:colorHigh rgb="FFD00000"/>
          <x14:colorLow rgb="FFD00000"/>
          <x14:sparklines>
            <x14:sparkline>
              <xm:f>Indicateurs!B63:B65</xm:f>
              <xm:sqref>B66</xm:sqref>
            </x14:sparkline>
            <x14:sparkline>
              <xm:f>Indicateurs!C63:C65</xm:f>
              <xm:sqref>C66</xm:sqref>
            </x14:sparkline>
            <x14:sparkline>
              <xm:f>Indicateurs!D63:D65</xm:f>
              <xm:sqref>D66</xm:sqref>
            </x14:sparkline>
          </x14:sparklines>
        </x14:sparklineGroup>
        <x14:sparklineGroup displayEmptyCellsAs="gap" markers="1" xr2:uid="{387EA342-2C7C-438E-BBEE-9E2ADBFF030F}">
          <x14:colorSeries rgb="FF376092"/>
          <x14:colorNegative rgb="FFD00000"/>
          <x14:colorAxis rgb="FF000000"/>
          <x14:colorMarkers rgb="FFD00000"/>
          <x14:colorFirst rgb="FFD00000"/>
          <x14:colorLast rgb="FFD00000"/>
          <x14:colorHigh rgb="FFD00000"/>
          <x14:colorLow rgb="FFD00000"/>
          <x14:sparklines>
            <x14:sparkline>
              <xm:f>Indicateurs!A52:D52</xm:f>
              <xm:sqref>E52</xm:sqref>
            </x14:sparkline>
          </x14:sparklines>
        </x14:sparklineGroup>
        <x14:sparklineGroup displayEmptyCellsAs="gap" markers="1" xr2:uid="{408B6F88-91C0-4CE7-AE03-EE50A2365789}">
          <x14:colorSeries rgb="FF0070C0"/>
          <x14:colorNegative rgb="FF000000"/>
          <x14:colorAxis rgb="FF000000"/>
          <x14:colorMarkers rgb="FF000000"/>
          <x14:colorFirst rgb="FF000000"/>
          <x14:colorLast rgb="FF000000"/>
          <x14:colorHigh rgb="FF000000"/>
          <x14:colorLow rgb="FF000000"/>
          <x14:sparklines>
            <x14:sparkline>
              <xm:f>Indicateurs!A51:D51</xm:f>
              <xm:sqref>E51</xm:sqref>
            </x14:sparkline>
          </x14:sparklines>
        </x14:sparklineGroup>
        <x14:sparklineGroup type="column" displayEmptyCellsAs="gap" negative="1" xr2:uid="{7A1FA6C4-BE31-4B69-B23E-71E844D0D267}">
          <x14:colorSeries rgb="FF376092"/>
          <x14:colorNegative rgb="FFD00000"/>
          <x14:colorAxis rgb="FF000000"/>
          <x14:colorMarkers rgb="FFD00000"/>
          <x14:colorFirst rgb="FFD00000"/>
          <x14:colorLast rgb="FFD00000"/>
          <x14:colorHigh rgb="FFD00000"/>
          <x14:colorLow rgb="FFD00000"/>
          <x14:sparklines>
            <x14:sparkline>
              <xm:f>Indicateurs!B57:B59</xm:f>
              <xm:sqref>B60</xm:sqref>
            </x14:sparkline>
            <x14:sparkline>
              <xm:f>Indicateurs!C57:C59</xm:f>
              <xm:sqref>C60</xm:sqref>
            </x14:sparkline>
            <x14:sparkline>
              <xm:f>Indicateurs!D57:D59</xm:f>
              <xm:sqref>D60</xm:sqref>
            </x14:sparkline>
          </x14:sparklines>
        </x14:sparklineGroup>
      </x14:sparklineGroups>
    </ext>
    <ext xmlns:x14="http://schemas.microsoft.com/office/spreadsheetml/2009/9/main" uri="{A8765BA9-456A-4dab-B4F3-ACF838C121DE}">
      <x14:slicerList>
        <x14:slicer r:id="rId8"/>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0BDA4D-A0B2-445B-9BB3-824CEABBD22E}">
  <sheetPr codeName="Sheet8">
    <tabColor theme="1" tint="4.9989318521683403E-2"/>
  </sheetPr>
  <dimension ref="B1:T32"/>
  <sheetViews>
    <sheetView showGridLines="0" showRowColHeaders="0" zoomScaleNormal="100" workbookViewId="0">
      <selection activeCell="Y3" sqref="Y3"/>
    </sheetView>
  </sheetViews>
  <sheetFormatPr defaultRowHeight="15" x14ac:dyDescent="0.25"/>
  <cols>
    <col min="1" max="1" width="2.42578125" style="28" customWidth="1"/>
    <col min="2" max="2" width="8.85546875" style="28" customWidth="1"/>
    <col min="3" max="3" width="8.28515625" style="28" customWidth="1"/>
    <col min="4" max="4" width="8.85546875" style="28" customWidth="1"/>
    <col min="5" max="6" width="7.7109375" style="28" customWidth="1"/>
    <col min="7" max="7" width="8.7109375" style="28" customWidth="1"/>
    <col min="8" max="8" width="9" style="28" customWidth="1"/>
    <col min="9" max="9" width="6.5703125" style="28" customWidth="1"/>
    <col min="10" max="10" width="6.140625" style="28" customWidth="1"/>
    <col min="11" max="11" width="6" style="28" customWidth="1"/>
    <col min="12" max="13" width="9.140625" style="28"/>
    <col min="14" max="14" width="6.5703125" style="28" customWidth="1"/>
    <col min="15" max="16" width="6.140625" style="28" customWidth="1"/>
    <col min="17" max="17" width="9.140625" style="28"/>
    <col min="18" max="18" width="8.140625" style="28" customWidth="1"/>
    <col min="19" max="19" width="7.140625" style="28" customWidth="1"/>
    <col min="20" max="20" width="4" style="28" customWidth="1"/>
    <col min="21" max="16384" width="9.140625" style="28"/>
  </cols>
  <sheetData>
    <row r="1" spans="2:20" s="33" customFormat="1" x14ac:dyDescent="0.25"/>
    <row r="2" spans="2:20" s="33" customFormat="1" x14ac:dyDescent="0.25"/>
    <row r="4" spans="2:20" ht="13.5" customHeight="1" x14ac:dyDescent="0.25"/>
    <row r="5" spans="2:20" ht="14.25" customHeight="1" x14ac:dyDescent="0.25">
      <c r="B5" s="34"/>
      <c r="C5" s="34"/>
      <c r="D5" s="34"/>
      <c r="E5" s="34"/>
      <c r="G5" s="34"/>
      <c r="H5" s="34"/>
      <c r="I5" s="34"/>
      <c r="J5" s="34"/>
      <c r="L5" s="34"/>
      <c r="M5" s="34"/>
      <c r="N5" s="34"/>
      <c r="O5" s="34"/>
      <c r="Q5" s="34"/>
      <c r="R5" s="34"/>
      <c r="S5" s="34"/>
      <c r="T5" s="34"/>
    </row>
    <row r="6" spans="2:20" x14ac:dyDescent="0.25">
      <c r="B6" s="34"/>
      <c r="C6" s="34"/>
      <c r="D6" s="34"/>
      <c r="E6" s="34"/>
      <c r="G6" s="34"/>
      <c r="H6" s="34"/>
      <c r="I6" s="34"/>
      <c r="J6" s="34"/>
      <c r="L6" s="34"/>
      <c r="M6" s="34"/>
      <c r="N6" s="34"/>
      <c r="O6" s="34"/>
      <c r="Q6" s="34"/>
      <c r="R6" s="34"/>
      <c r="S6" s="34"/>
      <c r="T6" s="34"/>
    </row>
    <row r="7" spans="2:20" x14ac:dyDescent="0.25">
      <c r="B7" s="34"/>
      <c r="C7" s="34"/>
      <c r="D7" s="34"/>
      <c r="E7" s="34"/>
      <c r="G7" s="34"/>
      <c r="H7" s="34"/>
      <c r="I7" s="34"/>
      <c r="J7" s="34"/>
      <c r="L7" s="34"/>
      <c r="M7" s="34"/>
      <c r="N7" s="34"/>
      <c r="O7" s="34"/>
      <c r="Q7" s="34"/>
      <c r="R7" s="34"/>
      <c r="S7" s="34"/>
      <c r="T7" s="34"/>
    </row>
    <row r="8" spans="2:20" x14ac:dyDescent="0.25">
      <c r="B8" s="34"/>
      <c r="C8" s="34"/>
      <c r="D8" s="34"/>
      <c r="E8" s="34"/>
      <c r="G8" s="34"/>
      <c r="H8" s="34"/>
      <c r="I8" s="34"/>
      <c r="J8" s="34"/>
      <c r="L8" s="34"/>
      <c r="M8" s="34"/>
      <c r="N8" s="34"/>
      <c r="O8" s="34"/>
      <c r="Q8" s="34"/>
      <c r="R8" s="34"/>
      <c r="S8" s="34"/>
      <c r="T8" s="34"/>
    </row>
    <row r="9" spans="2:20" x14ac:dyDescent="0.25">
      <c r="B9" s="34"/>
      <c r="C9" s="34"/>
      <c r="D9" s="34"/>
      <c r="E9" s="34"/>
      <c r="G9" s="34"/>
      <c r="H9" s="34"/>
      <c r="I9" s="34"/>
      <c r="J9" s="34"/>
      <c r="L9" s="34"/>
      <c r="M9" s="34"/>
      <c r="N9" s="34"/>
      <c r="O9" s="34"/>
      <c r="Q9" s="34"/>
      <c r="R9" s="34"/>
      <c r="S9" s="34"/>
      <c r="T9" s="34"/>
    </row>
    <row r="10" spans="2:20" x14ac:dyDescent="0.25">
      <c r="B10" s="40"/>
      <c r="C10" s="34"/>
      <c r="D10" s="34"/>
      <c r="E10" s="34"/>
      <c r="G10" s="34"/>
      <c r="H10" s="34"/>
      <c r="I10" s="34"/>
      <c r="J10" s="34"/>
      <c r="L10" s="34"/>
      <c r="M10" s="34"/>
      <c r="N10" s="34"/>
      <c r="O10" s="34"/>
      <c r="Q10" s="34"/>
      <c r="R10" s="34"/>
      <c r="S10" s="34"/>
      <c r="T10" s="34"/>
    </row>
    <row r="11" spans="2:20" x14ac:dyDescent="0.25">
      <c r="B11" s="41"/>
      <c r="C11" s="42">
        <v>2021</v>
      </c>
      <c r="D11" s="40">
        <f ca="1">Indicateurs!N4</f>
        <v>0</v>
      </c>
      <c r="E11" s="43">
        <f ca="1">Indicateurs!M4</f>
        <v>0.16234781957338873</v>
      </c>
      <c r="G11" s="34"/>
      <c r="H11" s="42">
        <v>2021</v>
      </c>
      <c r="I11" s="40">
        <f ca="1">Indicateurs!N5</f>
        <v>0</v>
      </c>
      <c r="J11" s="43">
        <f ca="1">Indicateurs!M5</f>
        <v>1.5248265417055911E-2</v>
      </c>
      <c r="L11" s="34"/>
      <c r="M11" s="42">
        <v>2021</v>
      </c>
      <c r="N11" s="40">
        <f>Indicateurs!N6</f>
        <v>0</v>
      </c>
      <c r="O11" s="43">
        <f>Indicateurs!M6</f>
        <v>2.5393259393177783E-2</v>
      </c>
      <c r="Q11" s="34"/>
      <c r="R11" s="34"/>
      <c r="S11" s="34"/>
      <c r="T11" s="34"/>
    </row>
    <row r="12" spans="2:20" ht="2.25" customHeight="1" x14ac:dyDescent="0.25">
      <c r="B12" s="34"/>
      <c r="C12" s="34"/>
      <c r="D12" s="34"/>
      <c r="E12" s="34"/>
      <c r="G12" s="34"/>
      <c r="H12" s="34"/>
      <c r="I12" s="34"/>
      <c r="J12" s="34"/>
      <c r="L12" s="34"/>
      <c r="M12" s="34"/>
      <c r="N12" s="34"/>
      <c r="O12" s="34"/>
      <c r="Q12" s="34"/>
      <c r="R12" s="34"/>
      <c r="S12" s="34"/>
      <c r="T12" s="34"/>
    </row>
    <row r="13" spans="2:20" ht="1.5" customHeight="1" x14ac:dyDescent="0.25"/>
    <row r="28" spans="2:8" ht="15.75" customHeight="1" thickBot="1" x14ac:dyDescent="0.3">
      <c r="B28" s="46"/>
      <c r="C28" s="46"/>
      <c r="D28" s="46"/>
      <c r="E28" s="46"/>
      <c r="F28" s="47" t="str">
        <f>IF(F29="Sem 8","Guerre Ukr","")</f>
        <v/>
      </c>
      <c r="G28" s="46"/>
      <c r="H28" s="46"/>
    </row>
    <row r="29" spans="2:8" ht="20.25" customHeight="1" x14ac:dyDescent="0.25">
      <c r="B29" s="46"/>
      <c r="C29" s="36" t="str">
        <f>"Sem " &amp; Indicateurs!A50</f>
        <v>Sem 21</v>
      </c>
      <c r="D29" s="36" t="str">
        <f>"Sem " &amp; Indicateurs!B50</f>
        <v>Sem 22</v>
      </c>
      <c r="E29" s="36" t="str">
        <f>"Sem " &amp; Indicateurs!C50</f>
        <v>Sem 23</v>
      </c>
      <c r="F29" s="36" t="str">
        <f>"Sem " &amp; Indicateurs!D50</f>
        <v>Sem 24</v>
      </c>
      <c r="G29" s="37" t="s">
        <v>135</v>
      </c>
      <c r="H29" s="46"/>
    </row>
    <row r="30" spans="2:8" ht="16.5" customHeight="1" thickBot="1" x14ac:dyDescent="0.3">
      <c r="B30" s="46"/>
      <c r="C30" s="38">
        <f>Indicateurs!A52</f>
        <v>3.4866996475366951E-2</v>
      </c>
      <c r="D30" s="38">
        <f>Indicateurs!B52</f>
        <v>-6.7468499427262296E-3</v>
      </c>
      <c r="E30" s="38">
        <f>Indicateurs!C52</f>
        <v>-2.7070767645781313E-2</v>
      </c>
      <c r="F30" s="38">
        <f>Indicateurs!D52</f>
        <v>-5.1068587978237101E-2</v>
      </c>
      <c r="G30" s="39"/>
      <c r="H30" s="46"/>
    </row>
    <row r="31" spans="2:8" x14ac:dyDescent="0.25">
      <c r="B31" s="46"/>
      <c r="C31" s="46"/>
      <c r="D31" s="46"/>
      <c r="E31" s="46"/>
      <c r="F31" s="46"/>
      <c r="G31" s="46"/>
      <c r="H31" s="46"/>
    </row>
    <row r="32" spans="2:8" x14ac:dyDescent="0.25">
      <c r="B32" s="46"/>
      <c r="C32" s="46"/>
      <c r="D32" s="46"/>
      <c r="E32" s="46"/>
      <c r="F32" s="46"/>
      <c r="G32" s="46"/>
      <c r="H32" s="46"/>
    </row>
  </sheetData>
  <conditionalFormatting sqref="C30:F30">
    <cfRule type="expression" dxfId="3" priority="1">
      <formula>C30=""</formula>
    </cfRule>
    <cfRule type="expression" dxfId="2" priority="2">
      <formula>C30&gt;0</formula>
    </cfRule>
    <cfRule type="expression" dxfId="1" priority="3">
      <formula>C30&lt;0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12342" r:id="rId4" name="ComboBox1">
          <controlPr defaultSize="0" autoLine="0" autoPict="0" linkedCell="Indicateurs!J37" listFillRange="Indicateurs!A37:A47" r:id="rId5">
            <anchor moveWithCells="1">
              <from>
                <xdr:col>21</xdr:col>
                <xdr:colOff>219075</xdr:colOff>
                <xdr:row>2</xdr:row>
                <xdr:rowOff>161925</xdr:rowOff>
              </from>
              <to>
                <xdr:col>23</xdr:col>
                <xdr:colOff>104775</xdr:colOff>
                <xdr:row>4</xdr:row>
                <xdr:rowOff>0</xdr:rowOff>
              </to>
            </anchor>
          </controlPr>
        </control>
      </mc:Choice>
      <mc:Fallback>
        <control shapeId="12342" r:id="rId4" name="ComboBox1"/>
      </mc:Fallback>
    </mc:AlternateContent>
    <mc:AlternateContent xmlns:mc="http://schemas.openxmlformats.org/markup-compatibility/2006">
      <mc:Choice Requires="x14">
        <control shapeId="12330" r:id="rId6" name="Spinner 42">
          <controlPr defaultSize="0" autoPict="0">
            <anchor moveWithCells="1" sizeWithCells="1">
              <from>
                <xdr:col>12</xdr:col>
                <xdr:colOff>161925</xdr:colOff>
                <xdr:row>26</xdr:row>
                <xdr:rowOff>142875</xdr:rowOff>
              </from>
              <to>
                <xdr:col>12</xdr:col>
                <xdr:colOff>400050</xdr:colOff>
                <xdr:row>29</xdr:row>
                <xdr:rowOff>142875</xdr:rowOff>
              </to>
            </anchor>
          </controlPr>
        </control>
      </mc:Choice>
    </mc:AlternateContent>
    <mc:AlternateContent xmlns:mc="http://schemas.openxmlformats.org/markup-compatibility/2006">
      <mc:Choice Requires="x14">
        <control shapeId="12362" r:id="rId7" name="Group Box 74">
          <controlPr defaultSize="0" autoFill="0" autoPict="0">
            <anchor moveWithCells="1">
              <from>
                <xdr:col>23</xdr:col>
                <xdr:colOff>57150</xdr:colOff>
                <xdr:row>17</xdr:row>
                <xdr:rowOff>76200</xdr:rowOff>
              </from>
              <to>
                <xdr:col>24</xdr:col>
                <xdr:colOff>523875</xdr:colOff>
                <xdr:row>18</xdr:row>
                <xdr:rowOff>171450</xdr:rowOff>
              </to>
            </anchor>
          </controlPr>
        </control>
      </mc:Choice>
    </mc:AlternateContent>
    <mc:AlternateContent xmlns:mc="http://schemas.openxmlformats.org/markup-compatibility/2006">
      <mc:Choice Requires="x14">
        <control shapeId="12364" r:id="rId8" name="Option Button 76">
          <controlPr defaultSize="0" autoFill="0" autoLine="0" autoPict="0">
            <anchor moveWithCells="1">
              <from>
                <xdr:col>23</xdr:col>
                <xdr:colOff>85725</xdr:colOff>
                <xdr:row>17</xdr:row>
                <xdr:rowOff>161925</xdr:rowOff>
              </from>
              <to>
                <xdr:col>23</xdr:col>
                <xdr:colOff>581025</xdr:colOff>
                <xdr:row>18</xdr:row>
                <xdr:rowOff>133350</xdr:rowOff>
              </to>
            </anchor>
          </controlPr>
        </control>
      </mc:Choice>
    </mc:AlternateContent>
    <mc:AlternateContent xmlns:mc="http://schemas.openxmlformats.org/markup-compatibility/2006">
      <mc:Choice Requires="x14">
        <control shapeId="12365" r:id="rId9" name="Option Button 77">
          <controlPr defaultSize="0" autoFill="0" autoLine="0" autoPict="0">
            <anchor moveWithCells="1">
              <from>
                <xdr:col>23</xdr:col>
                <xdr:colOff>542925</xdr:colOff>
                <xdr:row>17</xdr:row>
                <xdr:rowOff>171450</xdr:rowOff>
              </from>
              <to>
                <xdr:col>24</xdr:col>
                <xdr:colOff>390525</xdr:colOff>
                <xdr:row>18</xdr:row>
                <xdr:rowOff>123825</xdr:rowOff>
              </to>
            </anchor>
          </controlPr>
        </control>
      </mc:Choice>
    </mc:AlternateContent>
    <mc:AlternateContent xmlns:mc="http://schemas.openxmlformats.org/markup-compatibility/2006">
      <mc:Choice Requires="x14">
        <control shapeId="12521" r:id="rId10" name="Scroll Bar 233">
          <controlPr locked="0" defaultSize="0" autoPict="0">
            <anchor moveWithCells="1">
              <from>
                <xdr:col>1</xdr:col>
                <xdr:colOff>581025</xdr:colOff>
                <xdr:row>30</xdr:row>
                <xdr:rowOff>9525</xdr:rowOff>
              </from>
              <to>
                <xdr:col>7</xdr:col>
                <xdr:colOff>9525</xdr:colOff>
                <xdr:row>31</xdr:row>
                <xdr:rowOff>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iconSet" priority="11" id="{968C94B3-FF1D-48EA-ABBD-38179BBA8C04}">
            <x14:iconSet showValue="0" custom="1">
              <x14:cfvo type="percent">
                <xm:f>0</xm:f>
              </x14:cfvo>
              <x14:cfvo type="num">
                <xm:f>0</xm:f>
              </x14:cfvo>
              <x14:cfvo type="num">
                <xm:f>1</xm:f>
              </x14:cfvo>
              <x14:cfIcon iconSet="3Triangles" iconId="1"/>
              <x14:cfIcon iconSet="3Triangles" iconId="0"/>
              <x14:cfIcon iconSet="3Triangles" iconId="2"/>
            </x14:iconSet>
          </x14:cfRule>
          <xm:sqref>B11</xm:sqref>
        </x14:conditionalFormatting>
        <x14:conditionalFormatting xmlns:xm="http://schemas.microsoft.com/office/excel/2006/main">
          <x14:cfRule type="iconSet" priority="10" id="{5398DF2A-9835-47CA-85FD-E4F0583A795D}">
            <x14:iconSet showValue="0" custom="1">
              <x14:cfvo type="percent">
                <xm:f>0</xm:f>
              </x14:cfvo>
              <x14:cfvo type="num">
                <xm:f>0</xm:f>
              </x14:cfvo>
              <x14:cfvo type="num">
                <xm:f>1</xm:f>
              </x14:cfvo>
              <x14:cfIcon iconSet="3Triangles" iconId="1"/>
              <x14:cfIcon iconSet="3Triangles" iconId="0"/>
              <x14:cfIcon iconSet="3Triangles" iconId="2"/>
            </x14:iconSet>
          </x14:cfRule>
          <xm:sqref>D11</xm:sqref>
        </x14:conditionalFormatting>
        <x14:conditionalFormatting xmlns:xm="http://schemas.microsoft.com/office/excel/2006/main">
          <x14:cfRule type="iconSet" priority="9" id="{F0DE84E7-B189-4D60-B627-865EBB29C33D}">
            <x14:iconSet showValue="0" custom="1">
              <x14:cfvo type="percent">
                <xm:f>0</xm:f>
              </x14:cfvo>
              <x14:cfvo type="num">
                <xm:f>0</xm:f>
              </x14:cfvo>
              <x14:cfvo type="num">
                <xm:f>1</xm:f>
              </x14:cfvo>
              <x14:cfIcon iconSet="3Triangles" iconId="1"/>
              <x14:cfIcon iconSet="3Triangles" iconId="0"/>
              <x14:cfIcon iconSet="3Triangles" iconId="2"/>
            </x14:iconSet>
          </x14:cfRule>
          <xm:sqref>I11</xm:sqref>
        </x14:conditionalFormatting>
        <x14:conditionalFormatting xmlns:xm="http://schemas.microsoft.com/office/excel/2006/main">
          <x14:cfRule type="iconSet" priority="8" id="{47720015-B592-417D-BCB7-F5451125C791}">
            <x14:iconSet showValue="0" custom="1">
              <x14:cfvo type="percent">
                <xm:f>0</xm:f>
              </x14:cfvo>
              <x14:cfvo type="num">
                <xm:f>0</xm:f>
              </x14:cfvo>
              <x14:cfvo type="num">
                <xm:f>1</xm:f>
              </x14:cfvo>
              <x14:cfIcon iconSet="3Triangles" iconId="1"/>
              <x14:cfIcon iconSet="3Triangles" iconId="0"/>
              <x14:cfIcon iconSet="3Triangles" iconId="2"/>
            </x14:iconSet>
          </x14:cfRule>
          <xm:sqref>N11</xm:sqref>
        </x14:conditionalFormatting>
      </x14:conditionalFormattings>
    </ext>
    <ext xmlns:x14="http://schemas.microsoft.com/office/spreadsheetml/2009/9/main" uri="{05C60535-1F16-4fd2-B633-F4F36F0B64E0}">
      <x14:sparklineGroups xmlns:xm="http://schemas.microsoft.com/office/excel/2006/main">
        <x14:sparklineGroup displayEmptyCellsAs="gap" markers="1" xr2:uid="{8A0A64C6-773E-4ADB-ADE5-A03568169417}">
          <x14:colorSeries rgb="FF376092"/>
          <x14:colorNegative rgb="FFD00000"/>
          <x14:colorAxis rgb="FF000000"/>
          <x14:colorMarkers rgb="FFD00000"/>
          <x14:colorFirst rgb="FFD00000"/>
          <x14:colorLast rgb="FFD00000"/>
          <x14:colorHigh rgb="FFD00000"/>
          <x14:colorLow rgb="FFD00000"/>
          <x14:sparklines>
            <x14:sparkline>
              <xm:f>Dashboard!C30:F30</xm:f>
              <xm:sqref>G30</xm:sqref>
            </x14:sparkline>
          </x14:sparklines>
        </x14:sparklineGroup>
      </x14:sparklineGroups>
    </ext>
    <ext xmlns:x14="http://schemas.microsoft.com/office/spreadsheetml/2009/9/main" uri="{A8765BA9-456A-4dab-B4F3-ACF838C121DE}">
      <x14:slicerList>
        <x14:slicer r:id="rId11"/>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FDB3F3E-2998-4B25-BDE6-CD1D711EEA1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Indices</vt:lpstr>
      <vt:lpstr>Rend journaliers</vt:lpstr>
      <vt:lpstr>Rend hebdo</vt:lpstr>
      <vt:lpstr>Rend mensuels</vt:lpstr>
      <vt:lpstr>Drawdown 2022</vt:lpstr>
      <vt:lpstr>Corrélation roulante</vt:lpstr>
      <vt:lpstr>Indicateurs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ASUS</cp:lastModifiedBy>
  <dcterms:created xsi:type="dcterms:W3CDTF">2015-06-05T18:17:20Z</dcterms:created>
  <dcterms:modified xsi:type="dcterms:W3CDTF">2022-08-14T10:23:28Z</dcterms:modified>
</cp:coreProperties>
</file>